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66925"/>
  <mc:AlternateContent xmlns:mc="http://schemas.openxmlformats.org/markup-compatibility/2006">
    <mc:Choice Requires="x15">
      <x15ac:absPath xmlns:x15ac="http://schemas.microsoft.com/office/spreadsheetml/2010/11/ac" url="https://rspsupply.sharepoint.com/sites/RSPSupply/Shared Documents/Master Workbooks/Master Product Workbooks/Enclosures/"/>
    </mc:Choice>
  </mc:AlternateContent>
  <xr:revisionPtr revIDLastSave="81839" documentId="13_ncr:1_{137C4170-C1C8-4B0F-9F38-BE9EC8CC76D2}" xr6:coauthVersionLast="47" xr6:coauthVersionMax="47" xr10:uidLastSave="{F67D01B4-27C4-40D5-BB7F-5E923C4305E2}"/>
  <bookViews>
    <workbookView xWindow="3735" yWindow="810" windowWidth="25140" windowHeight="12870" firstSheet="1" activeTab="6" xr2:uid="{C0D23634-C880-459D-87D8-A19DEF7B6C4B}"/>
  </bookViews>
  <sheets>
    <sheet name="Non-Metallic Enclosures" sheetId="1" r:id="rId1"/>
    <sheet name="Accessories" sheetId="8" r:id="rId2"/>
    <sheet name="Pushbutton Enclosures" sheetId="2" r:id="rId3"/>
    <sheet name="Hinged Front Panel" sheetId="7" r:id="rId4"/>
    <sheet name="Backplates" sheetId="3" r:id="rId5"/>
    <sheet name="Hole Seals" sheetId="4" r:id="rId6"/>
    <sheet name="Inspection Windows" sheetId="5" r:id="rId7"/>
  </sheets>
  <definedNames>
    <definedName name="_xlnm._FilterDatabase" localSheetId="1" hidden="1">Accessories!$A$3:$CK$3</definedName>
    <definedName name="_xlnm._FilterDatabase" localSheetId="4" hidden="1">Backplates!$A$3:$DE$3</definedName>
    <definedName name="_xlnm._FilterDatabase" localSheetId="3" hidden="1">'Hinged Front Panel'!$A$3:$DK$3</definedName>
    <definedName name="_xlnm._FilterDatabase" localSheetId="5" hidden="1">'Hole Seals'!$A$3:$CQ$3</definedName>
    <definedName name="_xlnm._FilterDatabase" localSheetId="6" hidden="1">'Inspection Windows'!$A$3:$CS$3</definedName>
    <definedName name="_xlnm._FilterDatabase" localSheetId="0" hidden="1">'Non-Metallic Enclosures'!$A$3:$CV$3</definedName>
    <definedName name="_xlnm._FilterDatabase" localSheetId="2" hidden="1">'Pushbutton Enclosures'!$A$3:$DG$3</definedName>
  </definedNames>
  <calcPr calcId="191028" calcMode="manual"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C81" i="3" l="1"/>
  <c r="CC80" i="3"/>
  <c r="CC79" i="3"/>
  <c r="AM79" i="3"/>
  <c r="CC78" i="3"/>
  <c r="CC77" i="3"/>
  <c r="AG77" i="3"/>
  <c r="AG78" i="3"/>
  <c r="AD78" i="3" s="1"/>
  <c r="AG79" i="3"/>
  <c r="AD79" i="3" s="1"/>
  <c r="AL79" i="3" s="1"/>
  <c r="AG80" i="3"/>
  <c r="AD80" i="3" s="1"/>
  <c r="AM80" i="3" s="1"/>
  <c r="AG81" i="3"/>
  <c r="AD77" i="3"/>
  <c r="AF77" i="3" s="1"/>
  <c r="AD81" i="3"/>
  <c r="Y81" i="3" s="1"/>
  <c r="CC35" i="7"/>
  <c r="CC34" i="7"/>
  <c r="AO34" i="7"/>
  <c r="AK34" i="7"/>
  <c r="CC33" i="7"/>
  <c r="AM33" i="7"/>
  <c r="AG33" i="7"/>
  <c r="AD33" i="7" s="1"/>
  <c r="AO33" i="7" s="1"/>
  <c r="AG34" i="7"/>
  <c r="AG35" i="7"/>
  <c r="AD35" i="7" s="1"/>
  <c r="AL35" i="7" s="1"/>
  <c r="AD34" i="7"/>
  <c r="AF34" i="7" s="1"/>
  <c r="CC743" i="1"/>
  <c r="CC742" i="1"/>
  <c r="AO742" i="1"/>
  <c r="CC741" i="1"/>
  <c r="CC740" i="1"/>
  <c r="CC739" i="1"/>
  <c r="CC738" i="1"/>
  <c r="CC737" i="1"/>
  <c r="CC736" i="1"/>
  <c r="CC735" i="1"/>
  <c r="CC734" i="1"/>
  <c r="CC733" i="1"/>
  <c r="CC732" i="1"/>
  <c r="AO732" i="1"/>
  <c r="CC731" i="1"/>
  <c r="CC730" i="1"/>
  <c r="CC729" i="1"/>
  <c r="CC728" i="1"/>
  <c r="CC727" i="1"/>
  <c r="CC726" i="1"/>
  <c r="AO726" i="1"/>
  <c r="CC725" i="1"/>
  <c r="CC724" i="1"/>
  <c r="CC723" i="1"/>
  <c r="CC722" i="1"/>
  <c r="CC721" i="1"/>
  <c r="AL721" i="1"/>
  <c r="CC720" i="1"/>
  <c r="CC719" i="1"/>
  <c r="CC718" i="1"/>
  <c r="CC717" i="1"/>
  <c r="CC716" i="1"/>
  <c r="AK716" i="1"/>
  <c r="CC715" i="1"/>
  <c r="CC714" i="1"/>
  <c r="CC713" i="1"/>
  <c r="CC712" i="1"/>
  <c r="CC711" i="1"/>
  <c r="CC710" i="1"/>
  <c r="AO710" i="1"/>
  <c r="CC709" i="1"/>
  <c r="CC708" i="1"/>
  <c r="CC707" i="1"/>
  <c r="CC706" i="1"/>
  <c r="CC705" i="1"/>
  <c r="AL705" i="1"/>
  <c r="CC704" i="1"/>
  <c r="CC703" i="1"/>
  <c r="CC702" i="1"/>
  <c r="CC701" i="1"/>
  <c r="CC700" i="1"/>
  <c r="AN700" i="1"/>
  <c r="CC699" i="1"/>
  <c r="CC698" i="1"/>
  <c r="CC697" i="1"/>
  <c r="CC696" i="1"/>
  <c r="AL696" i="1"/>
  <c r="CC695" i="1"/>
  <c r="CC694" i="1"/>
  <c r="AN694" i="1"/>
  <c r="CC693" i="1"/>
  <c r="CC692" i="1"/>
  <c r="CC691" i="1"/>
  <c r="CC690" i="1"/>
  <c r="CC689" i="1"/>
  <c r="AL689" i="1"/>
  <c r="CC688" i="1"/>
  <c r="CC687" i="1"/>
  <c r="CC686" i="1"/>
  <c r="CC685" i="1"/>
  <c r="CC684" i="1"/>
  <c r="AN684" i="1"/>
  <c r="AK684" i="1"/>
  <c r="CC683" i="1"/>
  <c r="CC682" i="1"/>
  <c r="AF682" i="1"/>
  <c r="AG682" i="1"/>
  <c r="AF683" i="1"/>
  <c r="AG683" i="1"/>
  <c r="AD683" i="1" s="1"/>
  <c r="Y683" i="1" s="1"/>
  <c r="AF684" i="1"/>
  <c r="AG684" i="1"/>
  <c r="AF685" i="1"/>
  <c r="AG685" i="1"/>
  <c r="AF686" i="1"/>
  <c r="AG686" i="1"/>
  <c r="AD686" i="1" s="1"/>
  <c r="AN686" i="1" s="1"/>
  <c r="AF687" i="1"/>
  <c r="AG687" i="1"/>
  <c r="AD687" i="1" s="1"/>
  <c r="AK687" i="1" s="1"/>
  <c r="AF688" i="1"/>
  <c r="AG688" i="1"/>
  <c r="AF689" i="1"/>
  <c r="AG689" i="1"/>
  <c r="AF690" i="1"/>
  <c r="AG690" i="1"/>
  <c r="AF691" i="1"/>
  <c r="AG691" i="1"/>
  <c r="AD691" i="1" s="1"/>
  <c r="AM691" i="1" s="1"/>
  <c r="AF692" i="1"/>
  <c r="AG692" i="1"/>
  <c r="AD692" i="1" s="1"/>
  <c r="AM692" i="1" s="1"/>
  <c r="AF693" i="1"/>
  <c r="AG693" i="1"/>
  <c r="AF694" i="1"/>
  <c r="AG694" i="1"/>
  <c r="AF695" i="1"/>
  <c r="AG695" i="1"/>
  <c r="AD695" i="1" s="1"/>
  <c r="AF696" i="1"/>
  <c r="AG696" i="1"/>
  <c r="AF697" i="1"/>
  <c r="AG697" i="1"/>
  <c r="AF698" i="1"/>
  <c r="AG698" i="1"/>
  <c r="AF699" i="1"/>
  <c r="AG699" i="1"/>
  <c r="AD699" i="1" s="1"/>
  <c r="AM699" i="1" s="1"/>
  <c r="AF700" i="1"/>
  <c r="AG700" i="1"/>
  <c r="AF701" i="1"/>
  <c r="AG701" i="1"/>
  <c r="AF702" i="1"/>
  <c r="AG702" i="1"/>
  <c r="AD702" i="1" s="1"/>
  <c r="AF703" i="1"/>
  <c r="AG703" i="1"/>
  <c r="AD703" i="1" s="1"/>
  <c r="AF704" i="1"/>
  <c r="AG704" i="1"/>
  <c r="AF705" i="1"/>
  <c r="AG705" i="1"/>
  <c r="AF706" i="1"/>
  <c r="AG706" i="1"/>
  <c r="AF707" i="1"/>
  <c r="AG707" i="1"/>
  <c r="AD707" i="1" s="1"/>
  <c r="AM707" i="1" s="1"/>
  <c r="AF708" i="1"/>
  <c r="AG708" i="1"/>
  <c r="AD708" i="1" s="1"/>
  <c r="AM708" i="1" s="1"/>
  <c r="AF709" i="1"/>
  <c r="AG709" i="1"/>
  <c r="AF710" i="1"/>
  <c r="AG710" i="1"/>
  <c r="AF711" i="1"/>
  <c r="AG711" i="1"/>
  <c r="AD711" i="1" s="1"/>
  <c r="AF712" i="1"/>
  <c r="AG712" i="1"/>
  <c r="AF713" i="1"/>
  <c r="AG713" i="1"/>
  <c r="AF714" i="1"/>
  <c r="AG714" i="1"/>
  <c r="AF715" i="1"/>
  <c r="AG715" i="1"/>
  <c r="AD715" i="1" s="1"/>
  <c r="AM715" i="1" s="1"/>
  <c r="AF716" i="1"/>
  <c r="AG716" i="1"/>
  <c r="AF717" i="1"/>
  <c r="AG717" i="1"/>
  <c r="AF718" i="1"/>
  <c r="AG718" i="1"/>
  <c r="AD718" i="1" s="1"/>
  <c r="AK718" i="1" s="1"/>
  <c r="AF719" i="1"/>
  <c r="AG719" i="1"/>
  <c r="AD719" i="1" s="1"/>
  <c r="AF720" i="1"/>
  <c r="AG720" i="1"/>
  <c r="AF721" i="1"/>
  <c r="AG721" i="1"/>
  <c r="AF722" i="1"/>
  <c r="AG722" i="1"/>
  <c r="AF723" i="1"/>
  <c r="AG723" i="1"/>
  <c r="AD723" i="1" s="1"/>
  <c r="AM723" i="1" s="1"/>
  <c r="AF724" i="1"/>
  <c r="AG724" i="1"/>
  <c r="AD724" i="1" s="1"/>
  <c r="AM724" i="1" s="1"/>
  <c r="AF725" i="1"/>
  <c r="AG725" i="1"/>
  <c r="AF726" i="1"/>
  <c r="AG726" i="1"/>
  <c r="AF727" i="1"/>
  <c r="AG727" i="1"/>
  <c r="AD727" i="1" s="1"/>
  <c r="AF728" i="1"/>
  <c r="AG728" i="1"/>
  <c r="AF729" i="1"/>
  <c r="AG729" i="1"/>
  <c r="AF730" i="1"/>
  <c r="AG730" i="1"/>
  <c r="AF731" i="1"/>
  <c r="AG731" i="1"/>
  <c r="AD731" i="1" s="1"/>
  <c r="AM731" i="1" s="1"/>
  <c r="AF732" i="1"/>
  <c r="AG732" i="1"/>
  <c r="AF733" i="1"/>
  <c r="AG733" i="1"/>
  <c r="AF734" i="1"/>
  <c r="AG734" i="1"/>
  <c r="AD734" i="1" s="1"/>
  <c r="AN734" i="1" s="1"/>
  <c r="AF735" i="1"/>
  <c r="AG735" i="1"/>
  <c r="AD735" i="1" s="1"/>
  <c r="AF736" i="1"/>
  <c r="AG736" i="1"/>
  <c r="AF737" i="1"/>
  <c r="AG737" i="1"/>
  <c r="AF738" i="1"/>
  <c r="AG738" i="1"/>
  <c r="AF739" i="1"/>
  <c r="AG739" i="1"/>
  <c r="AD739" i="1" s="1"/>
  <c r="AF740" i="1"/>
  <c r="AG740" i="1"/>
  <c r="AD740" i="1" s="1"/>
  <c r="AK740" i="1" s="1"/>
  <c r="AF741" i="1"/>
  <c r="AG741" i="1"/>
  <c r="AF742" i="1"/>
  <c r="AG742" i="1"/>
  <c r="AF743" i="1"/>
  <c r="AG743" i="1"/>
  <c r="AD743" i="1" s="1"/>
  <c r="AM743" i="1" s="1"/>
  <c r="AD682" i="1"/>
  <c r="AN682" i="1" s="1"/>
  <c r="AD684" i="1"/>
  <c r="AM684" i="1" s="1"/>
  <c r="AD685" i="1"/>
  <c r="AL685" i="1" s="1"/>
  <c r="AD688" i="1"/>
  <c r="AM688" i="1" s="1"/>
  <c r="AD689" i="1"/>
  <c r="AM689" i="1" s="1"/>
  <c r="AD690" i="1"/>
  <c r="AM690" i="1" s="1"/>
  <c r="AD693" i="1"/>
  <c r="AL693" i="1" s="1"/>
  <c r="AD694" i="1"/>
  <c r="AM694" i="1" s="1"/>
  <c r="AD696" i="1"/>
  <c r="AM696" i="1" s="1"/>
  <c r="AD697" i="1"/>
  <c r="AD698" i="1"/>
  <c r="AM698" i="1" s="1"/>
  <c r="AD700" i="1"/>
  <c r="AM700" i="1" s="1"/>
  <c r="AD701" i="1"/>
  <c r="AN701" i="1" s="1"/>
  <c r="AD704" i="1"/>
  <c r="AM704" i="1" s="1"/>
  <c r="AD705" i="1"/>
  <c r="AM705" i="1" s="1"/>
  <c r="AD706" i="1"/>
  <c r="AK706" i="1" s="1"/>
  <c r="AD709" i="1"/>
  <c r="AL709" i="1" s="1"/>
  <c r="AD710" i="1"/>
  <c r="AN710" i="1" s="1"/>
  <c r="AD712" i="1"/>
  <c r="AM712" i="1" s="1"/>
  <c r="AD713" i="1"/>
  <c r="AN713" i="1" s="1"/>
  <c r="AD714" i="1"/>
  <c r="AN714" i="1" s="1"/>
  <c r="AD716" i="1"/>
  <c r="AM716" i="1" s="1"/>
  <c r="AD717" i="1"/>
  <c r="AL717" i="1" s="1"/>
  <c r="AD720" i="1"/>
  <c r="AM720" i="1" s="1"/>
  <c r="AD721" i="1"/>
  <c r="AM721" i="1" s="1"/>
  <c r="AD722" i="1"/>
  <c r="AN722" i="1" s="1"/>
  <c r="AD725" i="1"/>
  <c r="AL725" i="1" s="1"/>
  <c r="AD726" i="1"/>
  <c r="AN726" i="1" s="1"/>
  <c r="AD728" i="1"/>
  <c r="AM728" i="1" s="1"/>
  <c r="AD729" i="1"/>
  <c r="AN729" i="1" s="1"/>
  <c r="AD730" i="1"/>
  <c r="AN730" i="1" s="1"/>
  <c r="AD732" i="1"/>
  <c r="AM732" i="1" s="1"/>
  <c r="AD733" i="1"/>
  <c r="AD736" i="1"/>
  <c r="AO736" i="1" s="1"/>
  <c r="AD737" i="1"/>
  <c r="AD738" i="1"/>
  <c r="AD741" i="1"/>
  <c r="AM741" i="1" s="1"/>
  <c r="AD742" i="1"/>
  <c r="Y737" i="1"/>
  <c r="Y732" i="1"/>
  <c r="Y729" i="1"/>
  <c r="Y721" i="1"/>
  <c r="Y716" i="1"/>
  <c r="Y713" i="1"/>
  <c r="Y705" i="1"/>
  <c r="Y700" i="1"/>
  <c r="Y694" i="1"/>
  <c r="Y689" i="1"/>
  <c r="Y684" i="1"/>
  <c r="CC48" i="5"/>
  <c r="AG48" i="5"/>
  <c r="AD48" i="5" s="1"/>
  <c r="AL48" i="5" s="1"/>
  <c r="AF48" i="5"/>
  <c r="CC47" i="5"/>
  <c r="AG47" i="5"/>
  <c r="AD47" i="5" s="1"/>
  <c r="AF47" i="5"/>
  <c r="CC46" i="5"/>
  <c r="AG46" i="5"/>
  <c r="AD46" i="5" s="1"/>
  <c r="AL46" i="5" s="1"/>
  <c r="AF46" i="5"/>
  <c r="CC45" i="5"/>
  <c r="AG45" i="5"/>
  <c r="AD45" i="5" s="1"/>
  <c r="AF45" i="5"/>
  <c r="CC44" i="5"/>
  <c r="AG44" i="5"/>
  <c r="AF44" i="5"/>
  <c r="AD44" i="5"/>
  <c r="AL44" i="5" s="1"/>
  <c r="CC43" i="5"/>
  <c r="AG43" i="5"/>
  <c r="AD43" i="5" s="1"/>
  <c r="AF43" i="5"/>
  <c r="CC53" i="8"/>
  <c r="CC52" i="8"/>
  <c r="CC51" i="8"/>
  <c r="CC50" i="8"/>
  <c r="CC49" i="8"/>
  <c r="CC48" i="8"/>
  <c r="CC47" i="8"/>
  <c r="AL47" i="8"/>
  <c r="CC46" i="8"/>
  <c r="CC45" i="8"/>
  <c r="CC44" i="8"/>
  <c r="CC43" i="8"/>
  <c r="CC42" i="8"/>
  <c r="CC41" i="8"/>
  <c r="CC40" i="8"/>
  <c r="CC39" i="8"/>
  <c r="CC38" i="8"/>
  <c r="CC37" i="8"/>
  <c r="CC36" i="8"/>
  <c r="AG36" i="8"/>
  <c r="AD36" i="8" s="1"/>
  <c r="AN36" i="8" s="1"/>
  <c r="AG37" i="8"/>
  <c r="AD37" i="8" s="1"/>
  <c r="AO37" i="8" s="1"/>
  <c r="AG38" i="8"/>
  <c r="AG39" i="8"/>
  <c r="AG40" i="8"/>
  <c r="AD40" i="8" s="1"/>
  <c r="AM40" i="8" s="1"/>
  <c r="AG41" i="8"/>
  <c r="AD41" i="8" s="1"/>
  <c r="AO41" i="8" s="1"/>
  <c r="AG42" i="8"/>
  <c r="AD42" i="8" s="1"/>
  <c r="AF42" i="8" s="1"/>
  <c r="AG43" i="8"/>
  <c r="AG44" i="8"/>
  <c r="AD44" i="8" s="1"/>
  <c r="AN44" i="8" s="1"/>
  <c r="AG45" i="8"/>
  <c r="AD45" i="8" s="1"/>
  <c r="AO45" i="8" s="1"/>
  <c r="AG46" i="8"/>
  <c r="AG47" i="8"/>
  <c r="AG48" i="8"/>
  <c r="AD48" i="8" s="1"/>
  <c r="AN48" i="8" s="1"/>
  <c r="AG49" i="8"/>
  <c r="AD49" i="8" s="1"/>
  <c r="AO49" i="8" s="1"/>
  <c r="AG50" i="8"/>
  <c r="AD50" i="8" s="1"/>
  <c r="AF50" i="8" s="1"/>
  <c r="AG51" i="8"/>
  <c r="AG52" i="8"/>
  <c r="AD52" i="8" s="1"/>
  <c r="AN52" i="8" s="1"/>
  <c r="AG53" i="8"/>
  <c r="AD53" i="8" s="1"/>
  <c r="AO53" i="8" s="1"/>
  <c r="AD38" i="8"/>
  <c r="AF38" i="8" s="1"/>
  <c r="AD39" i="8"/>
  <c r="Y39" i="8" s="1"/>
  <c r="AD43" i="8"/>
  <c r="AF43" i="8" s="1"/>
  <c r="AD46" i="8"/>
  <c r="AF46" i="8" s="1"/>
  <c r="AD47" i="8"/>
  <c r="Y47" i="8" s="1"/>
  <c r="AD51" i="8"/>
  <c r="AF51" i="8" s="1"/>
  <c r="AF35" i="5"/>
  <c r="AG17" i="5"/>
  <c r="AD17" i="5" s="1"/>
  <c r="AF17" i="5" s="1"/>
  <c r="CC17" i="5"/>
  <c r="AG18" i="5"/>
  <c r="AD18" i="5" s="1"/>
  <c r="AF18" i="5" s="1"/>
  <c r="CC18" i="5"/>
  <c r="AG19" i="5"/>
  <c r="AD19" i="5" s="1"/>
  <c r="AF19" i="5" s="1"/>
  <c r="CC19" i="5"/>
  <c r="AG20" i="5"/>
  <c r="AD20" i="5" s="1"/>
  <c r="AF20" i="5" s="1"/>
  <c r="CC20" i="5"/>
  <c r="AG21" i="5"/>
  <c r="AD21" i="5" s="1"/>
  <c r="AF21" i="5" s="1"/>
  <c r="CC21" i="5"/>
  <c r="AG22" i="5"/>
  <c r="AD22" i="5" s="1"/>
  <c r="AF22" i="5" s="1"/>
  <c r="CC22" i="5"/>
  <c r="AG23" i="5"/>
  <c r="AD23" i="5" s="1"/>
  <c r="AF23" i="5" s="1"/>
  <c r="CC23" i="5"/>
  <c r="AG24" i="5"/>
  <c r="AD24" i="5" s="1"/>
  <c r="AF24" i="5" s="1"/>
  <c r="CC24" i="5"/>
  <c r="AG25" i="5"/>
  <c r="AD25" i="5" s="1"/>
  <c r="AF25" i="5" s="1"/>
  <c r="CC25" i="5"/>
  <c r="AG26" i="5"/>
  <c r="AD26" i="5" s="1"/>
  <c r="AF26" i="5" s="1"/>
  <c r="CC26" i="5"/>
  <c r="AG27" i="5"/>
  <c r="AD27" i="5" s="1"/>
  <c r="AF27" i="5" s="1"/>
  <c r="CC27" i="5"/>
  <c r="AG28" i="5"/>
  <c r="AD28" i="5" s="1"/>
  <c r="AF28" i="5" s="1"/>
  <c r="CC28" i="5"/>
  <c r="AG29" i="5"/>
  <c r="AD29" i="5" s="1"/>
  <c r="AF29" i="5" s="1"/>
  <c r="CC29" i="5"/>
  <c r="AG30" i="5"/>
  <c r="AD30" i="5" s="1"/>
  <c r="AF30" i="5" s="1"/>
  <c r="CC30" i="5"/>
  <c r="AG31" i="5"/>
  <c r="AD31" i="5" s="1"/>
  <c r="AF31" i="5" s="1"/>
  <c r="CC31" i="5"/>
  <c r="AG32" i="5"/>
  <c r="AD32" i="5" s="1"/>
  <c r="AF32" i="5" s="1"/>
  <c r="CC32" i="5"/>
  <c r="AG33" i="5"/>
  <c r="AD33" i="5" s="1"/>
  <c r="AF33" i="5" s="1"/>
  <c r="CC33" i="5"/>
  <c r="AG34" i="5"/>
  <c r="AD34" i="5" s="1"/>
  <c r="AF34" i="5" s="1"/>
  <c r="CC34" i="5"/>
  <c r="AG35" i="5"/>
  <c r="AD35" i="5" s="1"/>
  <c r="CC35" i="5"/>
  <c r="AG36" i="5"/>
  <c r="AD36" i="5" s="1"/>
  <c r="AM36" i="5" s="1"/>
  <c r="CC36" i="5"/>
  <c r="AG37" i="5"/>
  <c r="AD37" i="5" s="1"/>
  <c r="AF37" i="5" s="1"/>
  <c r="CC37" i="5"/>
  <c r="AG38" i="5"/>
  <c r="AD38" i="5" s="1"/>
  <c r="AF38" i="5" s="1"/>
  <c r="CC38" i="5"/>
  <c r="AG39" i="5"/>
  <c r="AD39" i="5" s="1"/>
  <c r="AF39" i="5" s="1"/>
  <c r="CC39" i="5"/>
  <c r="AG40" i="5"/>
  <c r="AD40" i="5" s="1"/>
  <c r="AM40" i="5" s="1"/>
  <c r="CC40" i="5"/>
  <c r="AG41" i="5"/>
  <c r="AD41" i="5" s="1"/>
  <c r="AF41" i="5" s="1"/>
  <c r="CC41" i="5"/>
  <c r="AG42" i="5"/>
  <c r="AD42" i="5" s="1"/>
  <c r="CC42" i="5"/>
  <c r="CC24" i="7"/>
  <c r="AG24" i="7"/>
  <c r="AD24" i="7" s="1"/>
  <c r="Y24" i="7" s="1"/>
  <c r="Y78" i="3" l="1"/>
  <c r="AK78" i="3"/>
  <c r="AO78" i="3"/>
  <c r="AN43" i="8"/>
  <c r="AM49" i="8"/>
  <c r="AL698" i="1"/>
  <c r="AK730" i="1"/>
  <c r="AN51" i="8"/>
  <c r="AL682" i="1"/>
  <c r="AK714" i="1"/>
  <c r="AN720" i="1"/>
  <c r="AM35" i="7"/>
  <c r="AK80" i="3"/>
  <c r="AM37" i="8"/>
  <c r="AN704" i="1"/>
  <c r="AN80" i="3"/>
  <c r="AN39" i="8"/>
  <c r="AM41" i="8"/>
  <c r="AL43" i="8"/>
  <c r="AM53" i="8"/>
  <c r="AL37" i="8"/>
  <c r="AN38" i="8"/>
  <c r="AN41" i="8"/>
  <c r="AM43" i="8"/>
  <c r="AL45" i="8"/>
  <c r="AL49" i="8"/>
  <c r="Y688" i="1"/>
  <c r="Y698" i="1"/>
  <c r="AO682" i="1"/>
  <c r="AL684" i="1"/>
  <c r="AM685" i="1"/>
  <c r="AL688" i="1"/>
  <c r="AL694" i="1"/>
  <c r="AK698" i="1"/>
  <c r="AK700" i="1"/>
  <c r="AL704" i="1"/>
  <c r="AL712" i="1"/>
  <c r="AL714" i="1"/>
  <c r="AO716" i="1"/>
  <c r="AK722" i="1"/>
  <c r="AN725" i="1"/>
  <c r="AK732" i="1"/>
  <c r="AL33" i="7"/>
  <c r="AN34" i="7"/>
  <c r="AL80" i="3"/>
  <c r="AL81" i="3"/>
  <c r="AM45" i="8"/>
  <c r="AL51" i="8"/>
  <c r="AN688" i="1"/>
  <c r="AM81" i="3"/>
  <c r="AN37" i="8"/>
  <c r="AL39" i="8"/>
  <c r="AL41" i="8"/>
  <c r="AN45" i="8"/>
  <c r="AN49" i="8"/>
  <c r="AM51" i="8"/>
  <c r="AL53" i="8"/>
  <c r="Y682" i="1"/>
  <c r="Y693" i="1"/>
  <c r="Y704" i="1"/>
  <c r="Y720" i="1"/>
  <c r="Y736" i="1"/>
  <c r="AK682" i="1"/>
  <c r="AO684" i="1"/>
  <c r="AK690" i="1"/>
  <c r="AN693" i="1"/>
  <c r="AO694" i="1"/>
  <c r="AO700" i="1"/>
  <c r="AN709" i="1"/>
  <c r="AN717" i="1"/>
  <c r="AL720" i="1"/>
  <c r="AL728" i="1"/>
  <c r="AK736" i="1"/>
  <c r="AO80" i="3"/>
  <c r="AM77" i="3"/>
  <c r="AN77" i="3"/>
  <c r="AL78" i="3"/>
  <c r="AN79" i="3"/>
  <c r="AN81" i="3"/>
  <c r="AK77" i="3"/>
  <c r="AO77" i="3"/>
  <c r="AM78" i="3"/>
  <c r="AK79" i="3"/>
  <c r="AO79" i="3"/>
  <c r="AK81" i="3"/>
  <c r="AO81" i="3"/>
  <c r="AL77" i="3"/>
  <c r="AN78" i="3"/>
  <c r="Y80" i="3"/>
  <c r="AF80" i="3"/>
  <c r="AF79" i="3"/>
  <c r="Y79" i="3"/>
  <c r="Y77" i="3"/>
  <c r="AF78" i="3"/>
  <c r="AF81" i="3"/>
  <c r="AN33" i="7"/>
  <c r="AL34" i="7"/>
  <c r="AN35" i="7"/>
  <c r="AK33" i="7"/>
  <c r="AM34" i="7"/>
  <c r="AK35" i="7"/>
  <c r="AO35" i="7"/>
  <c r="AF33" i="7"/>
  <c r="Y33" i="7"/>
  <c r="AF35" i="7"/>
  <c r="Y35" i="7"/>
  <c r="Y34" i="7"/>
  <c r="Y702" i="1"/>
  <c r="AM702" i="1"/>
  <c r="AO697" i="1"/>
  <c r="AK697" i="1"/>
  <c r="Y739" i="1"/>
  <c r="AL739" i="1"/>
  <c r="AO739" i="1"/>
  <c r="AK739" i="1"/>
  <c r="AN739" i="1"/>
  <c r="Y735" i="1"/>
  <c r="AO735" i="1"/>
  <c r="AK735" i="1"/>
  <c r="AN735" i="1"/>
  <c r="Y727" i="1"/>
  <c r="AO727" i="1"/>
  <c r="AK727" i="1"/>
  <c r="Y719" i="1"/>
  <c r="AO719" i="1"/>
  <c r="AK719" i="1"/>
  <c r="Y711" i="1"/>
  <c r="AO711" i="1"/>
  <c r="AK711" i="1"/>
  <c r="Y703" i="1"/>
  <c r="AO703" i="1"/>
  <c r="AK703" i="1"/>
  <c r="Y695" i="1"/>
  <c r="AO695" i="1"/>
  <c r="AK695" i="1"/>
  <c r="AM683" i="1"/>
  <c r="AO686" i="1"/>
  <c r="AO692" i="1"/>
  <c r="AM695" i="1"/>
  <c r="AL697" i="1"/>
  <c r="AN702" i="1"/>
  <c r="AM727" i="1"/>
  <c r="AL729" i="1"/>
  <c r="Y708" i="1"/>
  <c r="Y724" i="1"/>
  <c r="Y738" i="1"/>
  <c r="AN738" i="1"/>
  <c r="AM738" i="1"/>
  <c r="AL738" i="1"/>
  <c r="AO733" i="1"/>
  <c r="AK733" i="1"/>
  <c r="AN733" i="1"/>
  <c r="Y706" i="1"/>
  <c r="AM706" i="1"/>
  <c r="AO701" i="1"/>
  <c r="AK701" i="1"/>
  <c r="AN683" i="1"/>
  <c r="AL690" i="1"/>
  <c r="AK692" i="1"/>
  <c r="AN696" i="1"/>
  <c r="AL699" i="1"/>
  <c r="AO702" i="1"/>
  <c r="AN703" i="1"/>
  <c r="AL706" i="1"/>
  <c r="AL707" i="1"/>
  <c r="AK708" i="1"/>
  <c r="AN711" i="1"/>
  <c r="AN712" i="1"/>
  <c r="AM713" i="1"/>
  <c r="AL715" i="1"/>
  <c r="AO718" i="1"/>
  <c r="AN719" i="1"/>
  <c r="AL722" i="1"/>
  <c r="AL723" i="1"/>
  <c r="AK724" i="1"/>
  <c r="AN727" i="1"/>
  <c r="AN728" i="1"/>
  <c r="AM729" i="1"/>
  <c r="AL730" i="1"/>
  <c r="AL731" i="1"/>
  <c r="AK734" i="1"/>
  <c r="AL735" i="1"/>
  <c r="AK738" i="1"/>
  <c r="Y685" i="1"/>
  <c r="Y690" i="1"/>
  <c r="Y696" i="1"/>
  <c r="Y701" i="1"/>
  <c r="Y709" i="1"/>
  <c r="Y717" i="1"/>
  <c r="Y725" i="1"/>
  <c r="Y733" i="1"/>
  <c r="Y742" i="1"/>
  <c r="AN742" i="1"/>
  <c r="AM742" i="1"/>
  <c r="AL742" i="1"/>
  <c r="AL737" i="1"/>
  <c r="AO737" i="1"/>
  <c r="AK737" i="1"/>
  <c r="AN737" i="1"/>
  <c r="Y726" i="1"/>
  <c r="AM726" i="1"/>
  <c r="AO721" i="1"/>
  <c r="AK721" i="1"/>
  <c r="Y710" i="1"/>
  <c r="AM710" i="1"/>
  <c r="AO705" i="1"/>
  <c r="AK705" i="1"/>
  <c r="AO689" i="1"/>
  <c r="AK689" i="1"/>
  <c r="AM682" i="1"/>
  <c r="AK683" i="1"/>
  <c r="AO683" i="1"/>
  <c r="AK685" i="1"/>
  <c r="AO685" i="1"/>
  <c r="AM686" i="1"/>
  <c r="AO688" i="1"/>
  <c r="AN689" i="1"/>
  <c r="AN690" i="1"/>
  <c r="AL692" i="1"/>
  <c r="AK694" i="1"/>
  <c r="AO696" i="1"/>
  <c r="AN697" i="1"/>
  <c r="AN698" i="1"/>
  <c r="AL700" i="1"/>
  <c r="AL701" i="1"/>
  <c r="AK702" i="1"/>
  <c r="AO704" i="1"/>
  <c r="AN705" i="1"/>
  <c r="AN706" i="1"/>
  <c r="AL708" i="1"/>
  <c r="AK710" i="1"/>
  <c r="AO712" i="1"/>
  <c r="AL716" i="1"/>
  <c r="AO720" i="1"/>
  <c r="AN721" i="1"/>
  <c r="AL724" i="1"/>
  <c r="AK726" i="1"/>
  <c r="AO728" i="1"/>
  <c r="AL732" i="1"/>
  <c r="AL733" i="1"/>
  <c r="AM735" i="1"/>
  <c r="AO738" i="1"/>
  <c r="AN740" i="1"/>
  <c r="AM740" i="1"/>
  <c r="AL740" i="1"/>
  <c r="Y734" i="1"/>
  <c r="AM734" i="1"/>
  <c r="AL734" i="1"/>
  <c r="AO729" i="1"/>
  <c r="AK729" i="1"/>
  <c r="Y718" i="1"/>
  <c r="AM718" i="1"/>
  <c r="AO713" i="1"/>
  <c r="AK713" i="1"/>
  <c r="Y743" i="1"/>
  <c r="AL743" i="1"/>
  <c r="AO743" i="1"/>
  <c r="AK743" i="1"/>
  <c r="AN743" i="1"/>
  <c r="Y731" i="1"/>
  <c r="AO731" i="1"/>
  <c r="AK731" i="1"/>
  <c r="Y723" i="1"/>
  <c r="AO723" i="1"/>
  <c r="AK723" i="1"/>
  <c r="Y715" i="1"/>
  <c r="AO715" i="1"/>
  <c r="AK715" i="1"/>
  <c r="Y707" i="1"/>
  <c r="AO707" i="1"/>
  <c r="AK707" i="1"/>
  <c r="Y699" i="1"/>
  <c r="AO699" i="1"/>
  <c r="AK699" i="1"/>
  <c r="Y691" i="1"/>
  <c r="AO691" i="1"/>
  <c r="AK691" i="1"/>
  <c r="Y687" i="1"/>
  <c r="AO687" i="1"/>
  <c r="AK686" i="1"/>
  <c r="AM687" i="1"/>
  <c r="AM703" i="1"/>
  <c r="AO708" i="1"/>
  <c r="AM711" i="1"/>
  <c r="AL713" i="1"/>
  <c r="AN718" i="1"/>
  <c r="AM719" i="1"/>
  <c r="AO724" i="1"/>
  <c r="AM739" i="1"/>
  <c r="Y740" i="1"/>
  <c r="Y722" i="1"/>
  <c r="AM722" i="1"/>
  <c r="AO717" i="1"/>
  <c r="AK717" i="1"/>
  <c r="AN685" i="1"/>
  <c r="AL686" i="1"/>
  <c r="AN687" i="1"/>
  <c r="AL691" i="1"/>
  <c r="AN695" i="1"/>
  <c r="AM697" i="1"/>
  <c r="Y686" i="1"/>
  <c r="Y692" i="1"/>
  <c r="Y697" i="1"/>
  <c r="Y712" i="1"/>
  <c r="Y728" i="1"/>
  <c r="Y741" i="1"/>
  <c r="AL741" i="1"/>
  <c r="AO741" i="1"/>
  <c r="AK741" i="1"/>
  <c r="AN741" i="1"/>
  <c r="AN736" i="1"/>
  <c r="AM736" i="1"/>
  <c r="AL736" i="1"/>
  <c r="Y730" i="1"/>
  <c r="AM730" i="1"/>
  <c r="AO725" i="1"/>
  <c r="AK725" i="1"/>
  <c r="Y714" i="1"/>
  <c r="AM714" i="1"/>
  <c r="AO709" i="1"/>
  <c r="AK709" i="1"/>
  <c r="AO693" i="1"/>
  <c r="AK693" i="1"/>
  <c r="AL683" i="1"/>
  <c r="AL687" i="1"/>
  <c r="AK688" i="1"/>
  <c r="AO690" i="1"/>
  <c r="AN691" i="1"/>
  <c r="AN692" i="1"/>
  <c r="AM693" i="1"/>
  <c r="AL695" i="1"/>
  <c r="AK696" i="1"/>
  <c r="AO698" i="1"/>
  <c r="AN699" i="1"/>
  <c r="AM701" i="1"/>
  <c r="AL702" i="1"/>
  <c r="AL703" i="1"/>
  <c r="AK704" i="1"/>
  <c r="AO706" i="1"/>
  <c r="AN707" i="1"/>
  <c r="AN708" i="1"/>
  <c r="AM709" i="1"/>
  <c r="AL710" i="1"/>
  <c r="AL711" i="1"/>
  <c r="AK712" i="1"/>
  <c r="AO714" i="1"/>
  <c r="AN715" i="1"/>
  <c r="AN716" i="1"/>
  <c r="AM717" i="1"/>
  <c r="AL718" i="1"/>
  <c r="AL719" i="1"/>
  <c r="AK720" i="1"/>
  <c r="AO722" i="1"/>
  <c r="AN723" i="1"/>
  <c r="AN724" i="1"/>
  <c r="AM725" i="1"/>
  <c r="AL726" i="1"/>
  <c r="AL727" i="1"/>
  <c r="AK728" i="1"/>
  <c r="AO730" i="1"/>
  <c r="AN731" i="1"/>
  <c r="AN732" i="1"/>
  <c r="AM733" i="1"/>
  <c r="AO734" i="1"/>
  <c r="AM737" i="1"/>
  <c r="AO740" i="1"/>
  <c r="AK742" i="1"/>
  <c r="AN47" i="5"/>
  <c r="AM47" i="5"/>
  <c r="AL47" i="5"/>
  <c r="AO47" i="5"/>
  <c r="AK47" i="5"/>
  <c r="Y47" i="5"/>
  <c r="AN45" i="5"/>
  <c r="AM45" i="5"/>
  <c r="AL45" i="5"/>
  <c r="AO45" i="5"/>
  <c r="AK45" i="5"/>
  <c r="Y45" i="5"/>
  <c r="AN43" i="5"/>
  <c r="AM43" i="5"/>
  <c r="AL43" i="5"/>
  <c r="AO43" i="5"/>
  <c r="AK43" i="5"/>
  <c r="Y43" i="5"/>
  <c r="AF36" i="5"/>
  <c r="AM44" i="5"/>
  <c r="AM46" i="5"/>
  <c r="AM48" i="5"/>
  <c r="AN44" i="5"/>
  <c r="AN46" i="5"/>
  <c r="AN48" i="5"/>
  <c r="Y44" i="5"/>
  <c r="AK44" i="5"/>
  <c r="AO44" i="5"/>
  <c r="Y46" i="5"/>
  <c r="AK46" i="5"/>
  <c r="AO46" i="5"/>
  <c r="Y48" i="5"/>
  <c r="AK48" i="5"/>
  <c r="AO48" i="5"/>
  <c r="Y42" i="8"/>
  <c r="AK36" i="8"/>
  <c r="AO36" i="8"/>
  <c r="AK38" i="8"/>
  <c r="AO38" i="8"/>
  <c r="AM39" i="8"/>
  <c r="AK40" i="8"/>
  <c r="AO40" i="8"/>
  <c r="AK42" i="8"/>
  <c r="AO42" i="8"/>
  <c r="AK44" i="8"/>
  <c r="AO44" i="8"/>
  <c r="AK46" i="8"/>
  <c r="AO46" i="8"/>
  <c r="AM47" i="8"/>
  <c r="AK48" i="8"/>
  <c r="AO48" i="8"/>
  <c r="AK50" i="8"/>
  <c r="AO50" i="8"/>
  <c r="AK52" i="8"/>
  <c r="AO52" i="8"/>
  <c r="AN40" i="8"/>
  <c r="AL38" i="8"/>
  <c r="AL42" i="8"/>
  <c r="AL44" i="8"/>
  <c r="AL46" i="8"/>
  <c r="AN47" i="8"/>
  <c r="AL48" i="8"/>
  <c r="AL52" i="8"/>
  <c r="AN53" i="8"/>
  <c r="Y50" i="8"/>
  <c r="AL36" i="8"/>
  <c r="AL40" i="8"/>
  <c r="AL50" i="8"/>
  <c r="AM36" i="8"/>
  <c r="AK37" i="8"/>
  <c r="AM38" i="8"/>
  <c r="AK39" i="8"/>
  <c r="AO39" i="8"/>
  <c r="AK41" i="8"/>
  <c r="AM42" i="8"/>
  <c r="AK43" i="8"/>
  <c r="AO43" i="8"/>
  <c r="AM44" i="8"/>
  <c r="AK45" i="8"/>
  <c r="AM46" i="8"/>
  <c r="AK47" i="8"/>
  <c r="AO47" i="8"/>
  <c r="AM48" i="8"/>
  <c r="AK49" i="8"/>
  <c r="AM50" i="8"/>
  <c r="AK51" i="8"/>
  <c r="AO51" i="8"/>
  <c r="AM52" i="8"/>
  <c r="AK53" i="8"/>
  <c r="AN42" i="8"/>
  <c r="AN46" i="8"/>
  <c r="AN50" i="8"/>
  <c r="Y53" i="8"/>
  <c r="AF53" i="8"/>
  <c r="Y49" i="8"/>
  <c r="AF49" i="8"/>
  <c r="Y45" i="8"/>
  <c r="AF45" i="8"/>
  <c r="Y41" i="8"/>
  <c r="AF41" i="8"/>
  <c r="Y37" i="8"/>
  <c r="AF37" i="8"/>
  <c r="Y52" i="8"/>
  <c r="AF52" i="8"/>
  <c r="Y48" i="8"/>
  <c r="AF48" i="8"/>
  <c r="Y44" i="8"/>
  <c r="AF44" i="8"/>
  <c r="Y40" i="8"/>
  <c r="AF40" i="8"/>
  <c r="Y36" i="8"/>
  <c r="AF36" i="8"/>
  <c r="Y43" i="8"/>
  <c r="Y51" i="8"/>
  <c r="AF47" i="8"/>
  <c r="AF39" i="8"/>
  <c r="Y38" i="8"/>
  <c r="Y46" i="8"/>
  <c r="AM42" i="5"/>
  <c r="AF42" i="5"/>
  <c r="AF40" i="5"/>
  <c r="AF24" i="7"/>
  <c r="AM32" i="5"/>
  <c r="AL32" i="5"/>
  <c r="AM26" i="5"/>
  <c r="AL26" i="5"/>
  <c r="AM34" i="5"/>
  <c r="AL34" i="5"/>
  <c r="AM22" i="5"/>
  <c r="AL22" i="5"/>
  <c r="AM20" i="5"/>
  <c r="AL20" i="5"/>
  <c r="AM38" i="5"/>
  <c r="AL38" i="5"/>
  <c r="AM24" i="5"/>
  <c r="AL24" i="5"/>
  <c r="AM30" i="5"/>
  <c r="AL30" i="5"/>
  <c r="AM18" i="5"/>
  <c r="AL18" i="5"/>
  <c r="AM28" i="5"/>
  <c r="AL28" i="5"/>
  <c r="Y35" i="5"/>
  <c r="AK35" i="5"/>
  <c r="AO35" i="5"/>
  <c r="AL35" i="5"/>
  <c r="AM35" i="5"/>
  <c r="AN35" i="5"/>
  <c r="Y33" i="5"/>
  <c r="AK33" i="5"/>
  <c r="AO33" i="5"/>
  <c r="AL33" i="5"/>
  <c r="AM33" i="5"/>
  <c r="AN33" i="5"/>
  <c r="Y31" i="5"/>
  <c r="AK31" i="5"/>
  <c r="AO31" i="5"/>
  <c r="AL31" i="5"/>
  <c r="AM31" i="5"/>
  <c r="AN31" i="5"/>
  <c r="Y29" i="5"/>
  <c r="AK29" i="5"/>
  <c r="AO29" i="5"/>
  <c r="AL29" i="5"/>
  <c r="AM29" i="5"/>
  <c r="AN29" i="5"/>
  <c r="Y27" i="5"/>
  <c r="AK27" i="5"/>
  <c r="AO27" i="5"/>
  <c r="AL27" i="5"/>
  <c r="AM27" i="5"/>
  <c r="AN27" i="5"/>
  <c r="Y25" i="5"/>
  <c r="AK25" i="5"/>
  <c r="AO25" i="5"/>
  <c r="AL25" i="5"/>
  <c r="AM25" i="5"/>
  <c r="AN25" i="5"/>
  <c r="Y23" i="5"/>
  <c r="AK23" i="5"/>
  <c r="AO23" i="5"/>
  <c r="AL23" i="5"/>
  <c r="AM23" i="5"/>
  <c r="AN23" i="5"/>
  <c r="Y21" i="5"/>
  <c r="AK21" i="5"/>
  <c r="AO21" i="5"/>
  <c r="AL21" i="5"/>
  <c r="AM21" i="5"/>
  <c r="AN21" i="5"/>
  <c r="Y19" i="5"/>
  <c r="AK19" i="5"/>
  <c r="AO19" i="5"/>
  <c r="AL19" i="5"/>
  <c r="AM19" i="5"/>
  <c r="AN19" i="5"/>
  <c r="Y17" i="5"/>
  <c r="AK17" i="5"/>
  <c r="AO17" i="5"/>
  <c r="AL17" i="5"/>
  <c r="AM17" i="5"/>
  <c r="AN17" i="5"/>
  <c r="Y39" i="5"/>
  <c r="AK39" i="5"/>
  <c r="AO39" i="5"/>
  <c r="AL39" i="5"/>
  <c r="AM39" i="5"/>
  <c r="AN39" i="5"/>
  <c r="Y37" i="5"/>
  <c r="AK37" i="5"/>
  <c r="AO37" i="5"/>
  <c r="AL37" i="5"/>
  <c r="AN37" i="5"/>
  <c r="AM37" i="5"/>
  <c r="Y41" i="5"/>
  <c r="AK41" i="5"/>
  <c r="AO41" i="5"/>
  <c r="AL41" i="5"/>
  <c r="AM41" i="5"/>
  <c r="AN41" i="5"/>
  <c r="AO42" i="5"/>
  <c r="AK42" i="5"/>
  <c r="Y42" i="5"/>
  <c r="AO40" i="5"/>
  <c r="AK40" i="5"/>
  <c r="Y40" i="5"/>
  <c r="AO38" i="5"/>
  <c r="AK38" i="5"/>
  <c r="Y38" i="5"/>
  <c r="AO36" i="5"/>
  <c r="AK36" i="5"/>
  <c r="Y36" i="5"/>
  <c r="AO34" i="5"/>
  <c r="AK34" i="5"/>
  <c r="Y34" i="5"/>
  <c r="AO32" i="5"/>
  <c r="AK32" i="5"/>
  <c r="Y32" i="5"/>
  <c r="AO30" i="5"/>
  <c r="AK30" i="5"/>
  <c r="Y30" i="5"/>
  <c r="AO28" i="5"/>
  <c r="AK28" i="5"/>
  <c r="Y28" i="5"/>
  <c r="AO26" i="5"/>
  <c r="AK26" i="5"/>
  <c r="Y26" i="5"/>
  <c r="AO24" i="5"/>
  <c r="AK24" i="5"/>
  <c r="Y24" i="5"/>
  <c r="AO22" i="5"/>
  <c r="AK22" i="5"/>
  <c r="Y22" i="5"/>
  <c r="AO20" i="5"/>
  <c r="AK20" i="5"/>
  <c r="Y20" i="5"/>
  <c r="AO18" i="5"/>
  <c r="AK18" i="5"/>
  <c r="Y18" i="5"/>
  <c r="AL42" i="5"/>
  <c r="AL40" i="5"/>
  <c r="AL36" i="5"/>
  <c r="AN40" i="5"/>
  <c r="AN36" i="5"/>
  <c r="AN34" i="5"/>
  <c r="AN32" i="5"/>
  <c r="AN30" i="5"/>
  <c r="AN28" i="5"/>
  <c r="AN26" i="5"/>
  <c r="AN24" i="5"/>
  <c r="AN22" i="5"/>
  <c r="AN20" i="5"/>
  <c r="AN18" i="5"/>
  <c r="AN42" i="5"/>
  <c r="AN38" i="5"/>
  <c r="AO24" i="7"/>
  <c r="AN24" i="7"/>
  <c r="AM24" i="7"/>
  <c r="AL24" i="7"/>
  <c r="AK24" i="7"/>
  <c r="AF397" i="1"/>
  <c r="AG397" i="1"/>
  <c r="AD397" i="1" s="1"/>
  <c r="Y397" i="1" s="1"/>
  <c r="CC397" i="1"/>
  <c r="AF459" i="1"/>
  <c r="AG459" i="1"/>
  <c r="AD459" i="1" s="1"/>
  <c r="Y459" i="1" s="1"/>
  <c r="CC459" i="1"/>
  <c r="AF460" i="1"/>
  <c r="AG460" i="1"/>
  <c r="AD460" i="1" s="1"/>
  <c r="Y460" i="1" s="1"/>
  <c r="CC460" i="1"/>
  <c r="AF521" i="1"/>
  <c r="AG521" i="1"/>
  <c r="AD521" i="1" s="1"/>
  <c r="Y521" i="1" s="1"/>
  <c r="CC521" i="1"/>
  <c r="AF522" i="1"/>
  <c r="AG522" i="1"/>
  <c r="AD522" i="1" s="1"/>
  <c r="Y522" i="1" s="1"/>
  <c r="CC522" i="1"/>
  <c r="AF673" i="1"/>
  <c r="AG673" i="1"/>
  <c r="AD673" i="1" s="1"/>
  <c r="Y673" i="1" s="1"/>
  <c r="CC673" i="1"/>
  <c r="AF674" i="1"/>
  <c r="AG674" i="1"/>
  <c r="AD674" i="1" s="1"/>
  <c r="Y674" i="1" s="1"/>
  <c r="CC674" i="1"/>
  <c r="AF651" i="1"/>
  <c r="AG651" i="1"/>
  <c r="AD651" i="1" s="1"/>
  <c r="Y651" i="1" s="1"/>
  <c r="CC651" i="1"/>
  <c r="AF652" i="1"/>
  <c r="AG652" i="1"/>
  <c r="AD652" i="1" s="1"/>
  <c r="Y652" i="1" s="1"/>
  <c r="CC652" i="1"/>
  <c r="AF653" i="1"/>
  <c r="AG653" i="1"/>
  <c r="AD653" i="1" s="1"/>
  <c r="Y653" i="1" s="1"/>
  <c r="CC653" i="1"/>
  <c r="AF654" i="1"/>
  <c r="AG654" i="1"/>
  <c r="AD654" i="1" s="1"/>
  <c r="Y654" i="1" s="1"/>
  <c r="CC654" i="1"/>
  <c r="AF630" i="1"/>
  <c r="AG630" i="1"/>
  <c r="AD630" i="1" s="1"/>
  <c r="Y630" i="1" s="1"/>
  <c r="CC630" i="1"/>
  <c r="AF631" i="1"/>
  <c r="AG631" i="1"/>
  <c r="AD631" i="1" s="1"/>
  <c r="Y631" i="1" s="1"/>
  <c r="CC631" i="1"/>
  <c r="AF99" i="1"/>
  <c r="AG99" i="1"/>
  <c r="AD99" i="1" s="1"/>
  <c r="Y99" i="1" s="1"/>
  <c r="CC99" i="1"/>
  <c r="AF100" i="1"/>
  <c r="AG100" i="1"/>
  <c r="AD100" i="1" s="1"/>
  <c r="Y100" i="1" s="1"/>
  <c r="CC100" i="1"/>
  <c r="AF101" i="1"/>
  <c r="AG101" i="1"/>
  <c r="AD101" i="1" s="1"/>
  <c r="Y101" i="1" s="1"/>
  <c r="CC101" i="1"/>
  <c r="AF102" i="1"/>
  <c r="AG102" i="1"/>
  <c r="AD102" i="1" s="1"/>
  <c r="Y102" i="1" s="1"/>
  <c r="CC102" i="1"/>
  <c r="AF204" i="1"/>
  <c r="AG204" i="1"/>
  <c r="AD204" i="1" s="1"/>
  <c r="Y204" i="1" s="1"/>
  <c r="CC204" i="1"/>
  <c r="AF205" i="1"/>
  <c r="AG205" i="1"/>
  <c r="AD205" i="1" s="1"/>
  <c r="Y205" i="1" s="1"/>
  <c r="CC205" i="1"/>
  <c r="AF263" i="1"/>
  <c r="AG263" i="1"/>
  <c r="AD263" i="1" s="1"/>
  <c r="Y263" i="1" s="1"/>
  <c r="CC263" i="1"/>
  <c r="AF264" i="1"/>
  <c r="AG264" i="1"/>
  <c r="AD264" i="1" s="1"/>
  <c r="Y264" i="1" s="1"/>
  <c r="CC264" i="1"/>
  <c r="AF315" i="1"/>
  <c r="AG315" i="1"/>
  <c r="AD315" i="1" s="1"/>
  <c r="Y315" i="1" s="1"/>
  <c r="CC315" i="1"/>
  <c r="AF316" i="1"/>
  <c r="AG316" i="1"/>
  <c r="AD316" i="1" s="1"/>
  <c r="Y316" i="1" s="1"/>
  <c r="CC316" i="1"/>
  <c r="AF398" i="1"/>
  <c r="AG398" i="1"/>
  <c r="AD398" i="1" s="1"/>
  <c r="Y398" i="1" s="1"/>
  <c r="CC398" i="1"/>
  <c r="AF461" i="1"/>
  <c r="AG461" i="1"/>
  <c r="AD461" i="1" s="1"/>
  <c r="Y461" i="1" s="1"/>
  <c r="CC461" i="1"/>
  <c r="AF462" i="1"/>
  <c r="AG462" i="1"/>
  <c r="AD462" i="1" s="1"/>
  <c r="Y462" i="1" s="1"/>
  <c r="CC462" i="1"/>
  <c r="AF523" i="1"/>
  <c r="AG523" i="1"/>
  <c r="AD523" i="1" s="1"/>
  <c r="Y523" i="1" s="1"/>
  <c r="CC523" i="1"/>
  <c r="AF524" i="1"/>
  <c r="AG524" i="1"/>
  <c r="AD524" i="1" s="1"/>
  <c r="Y524" i="1" s="1"/>
  <c r="CC524" i="1"/>
  <c r="AF675" i="1"/>
  <c r="AG675" i="1"/>
  <c r="AD675" i="1" s="1"/>
  <c r="Y675" i="1" s="1"/>
  <c r="CC675" i="1"/>
  <c r="AF676" i="1"/>
  <c r="AG676" i="1"/>
  <c r="AD676" i="1" s="1"/>
  <c r="Y676" i="1" s="1"/>
  <c r="CC676" i="1"/>
  <c r="AF655" i="1"/>
  <c r="AG655" i="1"/>
  <c r="AD655" i="1" s="1"/>
  <c r="Y655" i="1" s="1"/>
  <c r="CC655" i="1"/>
  <c r="AF656" i="1"/>
  <c r="AG656" i="1"/>
  <c r="AD656" i="1" s="1"/>
  <c r="Y656" i="1" s="1"/>
  <c r="CC656" i="1"/>
  <c r="AF657" i="1"/>
  <c r="AG657" i="1"/>
  <c r="AD657" i="1" s="1"/>
  <c r="Y657" i="1" s="1"/>
  <c r="CC657" i="1"/>
  <c r="AF658" i="1"/>
  <c r="AG658" i="1"/>
  <c r="AD658" i="1" s="1"/>
  <c r="Y658" i="1" s="1"/>
  <c r="CC658" i="1"/>
  <c r="AF632" i="1"/>
  <c r="AG632" i="1"/>
  <c r="AD632" i="1" s="1"/>
  <c r="Y632" i="1" s="1"/>
  <c r="CC632" i="1"/>
  <c r="AF633" i="1"/>
  <c r="AG633" i="1"/>
  <c r="AD633" i="1" s="1"/>
  <c r="Y633" i="1" s="1"/>
  <c r="CC633" i="1"/>
  <c r="AF103" i="1"/>
  <c r="AG103" i="1"/>
  <c r="AD103" i="1" s="1"/>
  <c r="Y103" i="1" s="1"/>
  <c r="CC103" i="1"/>
  <c r="AF104" i="1"/>
  <c r="AG104" i="1"/>
  <c r="AD104" i="1" s="1"/>
  <c r="Y104" i="1" s="1"/>
  <c r="CC104" i="1"/>
  <c r="AF105" i="1"/>
  <c r="AG105" i="1"/>
  <c r="AD105" i="1" s="1"/>
  <c r="Y105" i="1" s="1"/>
  <c r="CC105" i="1"/>
  <c r="AF106" i="1"/>
  <c r="AG106" i="1"/>
  <c r="AD106" i="1" s="1"/>
  <c r="Y106" i="1" s="1"/>
  <c r="CC106" i="1"/>
  <c r="AF206" i="1"/>
  <c r="AG206" i="1"/>
  <c r="AD206" i="1" s="1"/>
  <c r="Y206" i="1" s="1"/>
  <c r="CC206" i="1"/>
  <c r="AF195" i="1"/>
  <c r="AG195" i="1"/>
  <c r="AD195" i="1" s="1"/>
  <c r="Y195" i="1" s="1"/>
  <c r="CC195" i="1"/>
  <c r="AF265" i="1"/>
  <c r="AG265" i="1"/>
  <c r="AD265" i="1" s="1"/>
  <c r="Y265" i="1" s="1"/>
  <c r="CC265" i="1"/>
  <c r="AF266" i="1"/>
  <c r="AG266" i="1"/>
  <c r="AD266" i="1" s="1"/>
  <c r="Y266" i="1" s="1"/>
  <c r="CC266" i="1"/>
  <c r="AF317" i="1"/>
  <c r="AG317" i="1"/>
  <c r="AD317" i="1" s="1"/>
  <c r="Y317" i="1" s="1"/>
  <c r="CC317" i="1"/>
  <c r="AF318" i="1"/>
  <c r="AG318" i="1"/>
  <c r="AD318" i="1" s="1"/>
  <c r="Y318" i="1" s="1"/>
  <c r="CC318" i="1"/>
  <c r="AF399" i="1"/>
  <c r="AG399" i="1"/>
  <c r="AD399" i="1" s="1"/>
  <c r="Y399" i="1" s="1"/>
  <c r="CC399" i="1"/>
  <c r="AF463" i="1"/>
  <c r="AG463" i="1"/>
  <c r="AD463" i="1" s="1"/>
  <c r="Y463" i="1" s="1"/>
  <c r="CC463" i="1"/>
  <c r="AF464" i="1"/>
  <c r="AG464" i="1"/>
  <c r="AD464" i="1" s="1"/>
  <c r="Y464" i="1" s="1"/>
  <c r="CC464" i="1"/>
  <c r="AF525" i="1"/>
  <c r="AG525" i="1"/>
  <c r="AD525" i="1" s="1"/>
  <c r="Y525" i="1" s="1"/>
  <c r="CC525" i="1"/>
  <c r="AF526" i="1"/>
  <c r="AG526" i="1"/>
  <c r="AD526" i="1" s="1"/>
  <c r="Y526" i="1" s="1"/>
  <c r="CC526" i="1"/>
  <c r="AF677" i="1"/>
  <c r="AG677" i="1"/>
  <c r="AD677" i="1" s="1"/>
  <c r="Y677" i="1" s="1"/>
  <c r="CC677" i="1"/>
  <c r="AF678" i="1"/>
  <c r="AG678" i="1"/>
  <c r="AD678" i="1" s="1"/>
  <c r="Y678" i="1" s="1"/>
  <c r="CC678" i="1"/>
  <c r="AF659" i="1"/>
  <c r="AG659" i="1"/>
  <c r="AD659" i="1" s="1"/>
  <c r="Y659" i="1" s="1"/>
  <c r="CC659" i="1"/>
  <c r="AF660" i="1"/>
  <c r="AG660" i="1"/>
  <c r="AD660" i="1" s="1"/>
  <c r="Y660" i="1" s="1"/>
  <c r="CC660" i="1"/>
  <c r="AF661" i="1"/>
  <c r="AG661" i="1"/>
  <c r="AD661" i="1" s="1"/>
  <c r="Y661" i="1" s="1"/>
  <c r="CC661" i="1"/>
  <c r="AF662" i="1"/>
  <c r="AG662" i="1"/>
  <c r="AD662" i="1" s="1"/>
  <c r="Y662" i="1" s="1"/>
  <c r="CC662" i="1"/>
  <c r="AF634" i="1"/>
  <c r="AG634" i="1"/>
  <c r="AD634" i="1" s="1"/>
  <c r="Y634" i="1" s="1"/>
  <c r="CC634" i="1"/>
  <c r="AF635" i="1"/>
  <c r="AG635" i="1"/>
  <c r="AD635" i="1" s="1"/>
  <c r="Y635" i="1" s="1"/>
  <c r="CC635" i="1"/>
  <c r="AF107" i="1"/>
  <c r="AG107" i="1"/>
  <c r="AD107" i="1" s="1"/>
  <c r="Y107" i="1" s="1"/>
  <c r="CC107" i="1"/>
  <c r="AF108" i="1"/>
  <c r="AG108" i="1"/>
  <c r="AD108" i="1" s="1"/>
  <c r="Y108" i="1" s="1"/>
  <c r="CC108" i="1"/>
  <c r="AF109" i="1"/>
  <c r="AG109" i="1"/>
  <c r="AD109" i="1" s="1"/>
  <c r="Y109" i="1" s="1"/>
  <c r="CC109" i="1"/>
  <c r="AF110" i="1"/>
  <c r="AG110" i="1"/>
  <c r="AD110" i="1" s="1"/>
  <c r="Y110" i="1" s="1"/>
  <c r="CC110" i="1"/>
  <c r="AF207" i="1"/>
  <c r="AG207" i="1"/>
  <c r="AD207" i="1" s="1"/>
  <c r="Y207" i="1" s="1"/>
  <c r="CC207" i="1"/>
  <c r="AF196" i="1"/>
  <c r="AG196" i="1"/>
  <c r="AD196" i="1" s="1"/>
  <c r="Y196" i="1" s="1"/>
  <c r="CC196" i="1"/>
  <c r="AF267" i="1"/>
  <c r="AG267" i="1"/>
  <c r="AD267" i="1" s="1"/>
  <c r="Y267" i="1" s="1"/>
  <c r="CC267" i="1"/>
  <c r="AF268" i="1"/>
  <c r="AG268" i="1"/>
  <c r="AD268" i="1" s="1"/>
  <c r="Y268" i="1" s="1"/>
  <c r="CC268" i="1"/>
  <c r="AF319" i="1"/>
  <c r="AG319" i="1"/>
  <c r="AD319" i="1" s="1"/>
  <c r="Y319" i="1" s="1"/>
  <c r="CC319" i="1"/>
  <c r="AF320" i="1"/>
  <c r="AG320" i="1"/>
  <c r="AD320" i="1" s="1"/>
  <c r="Y320" i="1" s="1"/>
  <c r="CC320" i="1"/>
  <c r="AF400" i="1"/>
  <c r="AG400" i="1"/>
  <c r="AD400" i="1" s="1"/>
  <c r="Y400" i="1" s="1"/>
  <c r="CC400" i="1"/>
  <c r="AF465" i="1"/>
  <c r="AG465" i="1"/>
  <c r="AD465" i="1" s="1"/>
  <c r="Y465" i="1" s="1"/>
  <c r="CC465" i="1"/>
  <c r="AF466" i="1"/>
  <c r="AG466" i="1"/>
  <c r="AD466" i="1" s="1"/>
  <c r="Y466" i="1" s="1"/>
  <c r="CC466" i="1"/>
  <c r="AF527" i="1"/>
  <c r="AG527" i="1"/>
  <c r="AD527" i="1" s="1"/>
  <c r="Y527" i="1" s="1"/>
  <c r="CC527" i="1"/>
  <c r="AF528" i="1"/>
  <c r="AG528" i="1"/>
  <c r="AD528" i="1" s="1"/>
  <c r="Y528" i="1" s="1"/>
  <c r="CC528" i="1"/>
  <c r="AF679" i="1"/>
  <c r="AG679" i="1"/>
  <c r="AD679" i="1" s="1"/>
  <c r="Y679" i="1" s="1"/>
  <c r="CC679" i="1"/>
  <c r="AF680" i="1"/>
  <c r="AG680" i="1"/>
  <c r="AD680" i="1" s="1"/>
  <c r="Y680" i="1" s="1"/>
  <c r="CC680" i="1"/>
  <c r="AF663" i="1"/>
  <c r="AG663" i="1"/>
  <c r="AD663" i="1" s="1"/>
  <c r="Y663" i="1" s="1"/>
  <c r="CC663" i="1"/>
  <c r="AF664" i="1"/>
  <c r="AG664" i="1"/>
  <c r="AD664" i="1" s="1"/>
  <c r="Y664" i="1" s="1"/>
  <c r="CC664" i="1"/>
  <c r="AF636" i="1"/>
  <c r="AG636" i="1"/>
  <c r="AD636" i="1" s="1"/>
  <c r="Y636" i="1" s="1"/>
  <c r="CC636" i="1"/>
  <c r="AF637" i="1"/>
  <c r="AG637" i="1"/>
  <c r="AD637" i="1" s="1"/>
  <c r="Y637" i="1" s="1"/>
  <c r="CC637" i="1"/>
  <c r="AF111" i="1"/>
  <c r="AG111" i="1"/>
  <c r="AD111" i="1" s="1"/>
  <c r="Y111" i="1" s="1"/>
  <c r="CC111" i="1"/>
  <c r="AF112" i="1"/>
  <c r="AG112" i="1"/>
  <c r="AD112" i="1" s="1"/>
  <c r="Y112" i="1" s="1"/>
  <c r="CC112" i="1"/>
  <c r="AF113" i="1"/>
  <c r="AG113" i="1"/>
  <c r="AD113" i="1" s="1"/>
  <c r="Y113" i="1" s="1"/>
  <c r="CC113" i="1"/>
  <c r="AF114" i="1"/>
  <c r="AG114" i="1"/>
  <c r="AD114" i="1" s="1"/>
  <c r="Y114" i="1" s="1"/>
  <c r="CC114" i="1"/>
  <c r="AF208" i="1"/>
  <c r="AG208" i="1"/>
  <c r="AD208" i="1" s="1"/>
  <c r="Y208" i="1" s="1"/>
  <c r="CC208" i="1"/>
  <c r="AF197" i="1"/>
  <c r="AG197" i="1"/>
  <c r="AD197" i="1" s="1"/>
  <c r="Y197" i="1" s="1"/>
  <c r="CC197" i="1"/>
  <c r="AF269" i="1"/>
  <c r="AG269" i="1"/>
  <c r="AD269" i="1" s="1"/>
  <c r="Y269" i="1" s="1"/>
  <c r="CC269" i="1"/>
  <c r="AF270" i="1"/>
  <c r="AG270" i="1"/>
  <c r="AD270" i="1" s="1"/>
  <c r="Y270" i="1" s="1"/>
  <c r="CC270" i="1"/>
  <c r="AF321" i="1"/>
  <c r="AG321" i="1"/>
  <c r="AD321" i="1" s="1"/>
  <c r="Y321" i="1" s="1"/>
  <c r="CC321" i="1"/>
  <c r="AF322" i="1"/>
  <c r="AG322" i="1"/>
  <c r="AD322" i="1" s="1"/>
  <c r="Y322" i="1" s="1"/>
  <c r="CC322" i="1"/>
  <c r="CC33" i="2"/>
  <c r="AG33" i="2"/>
  <c r="AD33" i="2" s="1"/>
  <c r="CC32" i="2"/>
  <c r="AG32" i="2"/>
  <c r="AD32" i="2" s="1"/>
  <c r="AF32" i="2" s="1"/>
  <c r="Y33" i="2" l="1"/>
  <c r="AF33" i="2"/>
  <c r="AO32" i="2"/>
  <c r="Y32" i="2"/>
  <c r="AK269" i="1"/>
  <c r="AK636" i="1"/>
  <c r="AK465" i="1"/>
  <c r="AK110" i="1"/>
  <c r="AK399" i="1"/>
  <c r="AK105" i="1"/>
  <c r="AK655" i="1"/>
  <c r="AK316" i="1"/>
  <c r="AK100" i="1"/>
  <c r="AK674" i="1"/>
  <c r="AK660" i="1"/>
  <c r="AK680" i="1"/>
  <c r="AK633" i="1"/>
  <c r="AK521" i="1"/>
  <c r="AK107" i="1"/>
  <c r="AM322" i="1"/>
  <c r="AM525" i="1"/>
  <c r="AM195" i="1"/>
  <c r="AM658" i="1"/>
  <c r="AM462" i="1"/>
  <c r="AM204" i="1"/>
  <c r="AM653" i="1"/>
  <c r="AM459" i="1"/>
  <c r="AM112" i="1"/>
  <c r="AM528" i="1"/>
  <c r="AM267" i="1"/>
  <c r="AM634" i="1"/>
  <c r="AN196" i="1"/>
  <c r="AO196" i="1"/>
  <c r="AK524" i="1"/>
  <c r="AO524" i="1"/>
  <c r="AN111" i="1"/>
  <c r="AO111" i="1"/>
  <c r="AN464" i="1"/>
  <c r="AO464" i="1"/>
  <c r="AN206" i="1"/>
  <c r="AM206" i="1"/>
  <c r="AO633" i="1"/>
  <c r="AK114" i="1"/>
  <c r="AO114" i="1"/>
  <c r="AL661" i="1"/>
  <c r="AN664" i="1"/>
  <c r="AO664" i="1"/>
  <c r="AK664" i="1"/>
  <c r="AL664" i="1"/>
  <c r="AM664" i="1"/>
  <c r="AK315" i="1"/>
  <c r="AL315" i="1"/>
  <c r="AM315" i="1"/>
  <c r="AN315" i="1"/>
  <c r="AO315" i="1"/>
  <c r="AK630" i="1"/>
  <c r="AO630" i="1"/>
  <c r="AM321" i="1"/>
  <c r="AO321" i="1"/>
  <c r="AN321" i="1"/>
  <c r="AK104" i="1"/>
  <c r="AL104" i="1"/>
  <c r="AM104" i="1"/>
  <c r="AN104" i="1"/>
  <c r="AO104" i="1"/>
  <c r="AK319" i="1"/>
  <c r="AO319" i="1"/>
  <c r="AL637" i="1"/>
  <c r="AK270" i="1"/>
  <c r="AL270" i="1"/>
  <c r="AM527" i="1"/>
  <c r="AO527" i="1"/>
  <c r="AN527" i="1"/>
  <c r="AO657" i="1"/>
  <c r="AM657" i="1"/>
  <c r="AN657" i="1"/>
  <c r="AL207" i="1"/>
  <c r="AL99" i="1"/>
  <c r="AM99" i="1"/>
  <c r="AN99" i="1"/>
  <c r="AO99" i="1"/>
  <c r="AK99" i="1"/>
  <c r="AO109" i="1"/>
  <c r="AN109" i="1"/>
  <c r="AK109" i="1"/>
  <c r="AL109" i="1"/>
  <c r="AM109" i="1"/>
  <c r="AN676" i="1"/>
  <c r="AO676" i="1"/>
  <c r="AL676" i="1"/>
  <c r="AK676" i="1"/>
  <c r="AM676" i="1"/>
  <c r="AK263" i="1"/>
  <c r="AO263" i="1"/>
  <c r="AL466" i="1"/>
  <c r="AK266" i="1"/>
  <c r="AO266" i="1"/>
  <c r="AM461" i="1"/>
  <c r="AN461" i="1"/>
  <c r="AO461" i="1"/>
  <c r="AM397" i="1"/>
  <c r="AN397" i="1"/>
  <c r="AO397" i="1"/>
  <c r="AN318" i="1"/>
  <c r="AK318" i="1"/>
  <c r="AL318" i="1"/>
  <c r="AM318" i="1"/>
  <c r="AO318" i="1"/>
  <c r="AM662" i="1"/>
  <c r="AN662" i="1"/>
  <c r="AO662" i="1"/>
  <c r="AK677" i="1"/>
  <c r="AO677" i="1"/>
  <c r="AM111" i="1"/>
  <c r="AM196" i="1"/>
  <c r="AM464" i="1"/>
  <c r="AO673" i="1"/>
  <c r="AO652" i="1"/>
  <c r="AM673" i="1"/>
  <c r="AN652" i="1"/>
  <c r="AL673" i="1"/>
  <c r="AM652" i="1"/>
  <c r="AK673" i="1"/>
  <c r="AO206" i="1"/>
  <c r="AO659" i="1"/>
  <c r="AO400" i="1"/>
  <c r="AN197" i="1"/>
  <c r="AN400" i="1"/>
  <c r="AN659" i="1"/>
  <c r="AO197" i="1"/>
  <c r="AM197" i="1"/>
  <c r="AM400" i="1"/>
  <c r="AM659" i="1"/>
  <c r="AL400" i="1"/>
  <c r="AL659" i="1"/>
  <c r="AK197" i="1"/>
  <c r="AO680" i="1"/>
  <c r="AO107" i="1"/>
  <c r="AK659" i="1"/>
  <c r="AO102" i="1"/>
  <c r="AL197" i="1"/>
  <c r="AK400" i="1"/>
  <c r="AN102" i="1"/>
  <c r="AO521" i="1"/>
  <c r="AM102" i="1"/>
  <c r="AL679" i="1"/>
  <c r="AM679" i="1"/>
  <c r="AN679" i="1"/>
  <c r="AO679" i="1"/>
  <c r="AK679" i="1"/>
  <c r="AO320" i="1"/>
  <c r="AK320" i="1"/>
  <c r="AL320" i="1"/>
  <c r="AM320" i="1"/>
  <c r="AN320" i="1"/>
  <c r="AK635" i="1"/>
  <c r="AL635" i="1"/>
  <c r="AM635" i="1"/>
  <c r="AN635" i="1"/>
  <c r="AO635" i="1"/>
  <c r="AO678" i="1"/>
  <c r="AK678" i="1"/>
  <c r="AL678" i="1"/>
  <c r="AM678" i="1"/>
  <c r="AN678" i="1"/>
  <c r="AO208" i="1"/>
  <c r="AK208" i="1"/>
  <c r="AL208" i="1"/>
  <c r="AM208" i="1"/>
  <c r="AN208" i="1"/>
  <c r="AK460" i="1"/>
  <c r="AL460" i="1"/>
  <c r="AM460" i="1"/>
  <c r="AN460" i="1"/>
  <c r="AO460" i="1"/>
  <c r="AO631" i="1"/>
  <c r="AK631" i="1"/>
  <c r="AL631" i="1"/>
  <c r="AM631" i="1"/>
  <c r="AN631" i="1"/>
  <c r="AK205" i="1"/>
  <c r="AL205" i="1"/>
  <c r="AM205" i="1"/>
  <c r="AN205" i="1"/>
  <c r="AO205" i="1"/>
  <c r="AO675" i="1"/>
  <c r="AK675" i="1"/>
  <c r="AL675" i="1"/>
  <c r="AM675" i="1"/>
  <c r="AN675" i="1"/>
  <c r="AK265" i="1"/>
  <c r="AL265" i="1"/>
  <c r="AM265" i="1"/>
  <c r="AN265" i="1"/>
  <c r="AO265" i="1"/>
  <c r="AK632" i="1"/>
  <c r="AL632" i="1"/>
  <c r="AM632" i="1"/>
  <c r="AN632" i="1"/>
  <c r="AO632" i="1"/>
  <c r="AO317" i="1"/>
  <c r="AK317" i="1"/>
  <c r="AL317" i="1"/>
  <c r="AM317" i="1"/>
  <c r="AN317" i="1"/>
  <c r="AL113" i="1"/>
  <c r="AM113" i="1"/>
  <c r="AN113" i="1"/>
  <c r="AO113" i="1"/>
  <c r="AK113" i="1"/>
  <c r="AO663" i="1"/>
  <c r="AK663" i="1"/>
  <c r="AL663" i="1"/>
  <c r="AM663" i="1"/>
  <c r="AN663" i="1"/>
  <c r="AK268" i="1"/>
  <c r="AL268" i="1"/>
  <c r="AM268" i="1"/>
  <c r="AN268" i="1"/>
  <c r="AO268" i="1"/>
  <c r="AO108" i="1"/>
  <c r="AK108" i="1"/>
  <c r="AL108" i="1"/>
  <c r="AM108" i="1"/>
  <c r="AN108" i="1"/>
  <c r="AK526" i="1"/>
  <c r="AL526" i="1"/>
  <c r="AM526" i="1"/>
  <c r="AN526" i="1"/>
  <c r="AO526" i="1"/>
  <c r="AO522" i="1"/>
  <c r="AK522" i="1"/>
  <c r="AL522" i="1"/>
  <c r="AM522" i="1"/>
  <c r="AN522" i="1"/>
  <c r="AK654" i="1"/>
  <c r="AL654" i="1"/>
  <c r="AM654" i="1"/>
  <c r="AN654" i="1"/>
  <c r="AO654" i="1"/>
  <c r="AO264" i="1"/>
  <c r="AK264" i="1"/>
  <c r="AL264" i="1"/>
  <c r="AM264" i="1"/>
  <c r="AN264" i="1"/>
  <c r="AO103" i="1"/>
  <c r="AK103" i="1"/>
  <c r="AL103" i="1"/>
  <c r="AM103" i="1"/>
  <c r="AN103" i="1"/>
  <c r="AK523" i="1"/>
  <c r="AL523" i="1"/>
  <c r="AM523" i="1"/>
  <c r="AN523" i="1"/>
  <c r="AO523" i="1"/>
  <c r="AL322" i="1"/>
  <c r="AL267" i="1"/>
  <c r="AL634" i="1"/>
  <c r="AL525" i="1"/>
  <c r="AL204" i="1"/>
  <c r="AL653" i="1"/>
  <c r="AL459" i="1"/>
  <c r="AL112" i="1"/>
  <c r="AL528" i="1"/>
  <c r="AL195" i="1"/>
  <c r="AL658" i="1"/>
  <c r="AL462" i="1"/>
  <c r="AK322" i="1"/>
  <c r="AO270" i="1"/>
  <c r="AK112" i="1"/>
  <c r="AO637" i="1"/>
  <c r="AK528" i="1"/>
  <c r="AO466" i="1"/>
  <c r="AK267" i="1"/>
  <c r="AO207" i="1"/>
  <c r="AK634" i="1"/>
  <c r="AO661" i="1"/>
  <c r="AK525" i="1"/>
  <c r="AO463" i="1"/>
  <c r="AK195" i="1"/>
  <c r="AO106" i="1"/>
  <c r="AK658" i="1"/>
  <c r="AO656" i="1"/>
  <c r="AK462" i="1"/>
  <c r="AO398" i="1"/>
  <c r="AK204" i="1"/>
  <c r="AO101" i="1"/>
  <c r="AK653" i="1"/>
  <c r="AO651" i="1"/>
  <c r="AK459" i="1"/>
  <c r="AN637" i="1"/>
  <c r="AN466" i="1"/>
  <c r="AN207" i="1"/>
  <c r="AN661" i="1"/>
  <c r="AN463" i="1"/>
  <c r="AN106" i="1"/>
  <c r="AN656" i="1"/>
  <c r="AN398" i="1"/>
  <c r="AN101" i="1"/>
  <c r="AN651" i="1"/>
  <c r="AN270" i="1"/>
  <c r="AM270" i="1"/>
  <c r="AM637" i="1"/>
  <c r="AM466" i="1"/>
  <c r="AM207" i="1"/>
  <c r="AM661" i="1"/>
  <c r="AM463" i="1"/>
  <c r="AM106" i="1"/>
  <c r="AM656" i="1"/>
  <c r="AM398" i="1"/>
  <c r="AM101" i="1"/>
  <c r="AM651" i="1"/>
  <c r="AL463" i="1"/>
  <c r="AL106" i="1"/>
  <c r="AL656" i="1"/>
  <c r="AL398" i="1"/>
  <c r="AL101" i="1"/>
  <c r="AL651" i="1"/>
  <c r="AK637" i="1"/>
  <c r="AK466" i="1"/>
  <c r="AK207" i="1"/>
  <c r="AK661" i="1"/>
  <c r="AK463" i="1"/>
  <c r="AK106" i="1"/>
  <c r="AK656" i="1"/>
  <c r="AK398" i="1"/>
  <c r="AK101" i="1"/>
  <c r="AK651" i="1"/>
  <c r="AN673" i="1"/>
  <c r="AL321" i="1"/>
  <c r="AN114" i="1"/>
  <c r="AL111" i="1"/>
  <c r="AN680" i="1"/>
  <c r="AL527" i="1"/>
  <c r="AN319" i="1"/>
  <c r="AL196" i="1"/>
  <c r="AN107" i="1"/>
  <c r="AL662" i="1"/>
  <c r="AN677" i="1"/>
  <c r="AL464" i="1"/>
  <c r="AN266" i="1"/>
  <c r="AL206" i="1"/>
  <c r="AN633" i="1"/>
  <c r="AL657" i="1"/>
  <c r="AN524" i="1"/>
  <c r="AL461" i="1"/>
  <c r="AN263" i="1"/>
  <c r="AL102" i="1"/>
  <c r="AN630" i="1"/>
  <c r="AL652" i="1"/>
  <c r="AN521" i="1"/>
  <c r="AL397" i="1"/>
  <c r="AK321" i="1"/>
  <c r="AO269" i="1"/>
  <c r="AM114" i="1"/>
  <c r="AK111" i="1"/>
  <c r="AO636" i="1"/>
  <c r="AM680" i="1"/>
  <c r="AK527" i="1"/>
  <c r="AO465" i="1"/>
  <c r="AM319" i="1"/>
  <c r="AK196" i="1"/>
  <c r="AO110" i="1"/>
  <c r="AM107" i="1"/>
  <c r="AK662" i="1"/>
  <c r="AO660" i="1"/>
  <c r="AM677" i="1"/>
  <c r="AK464" i="1"/>
  <c r="AO399" i="1"/>
  <c r="AM266" i="1"/>
  <c r="AK206" i="1"/>
  <c r="AO105" i="1"/>
  <c r="AM633" i="1"/>
  <c r="AK657" i="1"/>
  <c r="AO655" i="1"/>
  <c r="AM524" i="1"/>
  <c r="AK461" i="1"/>
  <c r="AO316" i="1"/>
  <c r="AM263" i="1"/>
  <c r="AK102" i="1"/>
  <c r="AO100" i="1"/>
  <c r="AM630" i="1"/>
  <c r="AK652" i="1"/>
  <c r="AO674" i="1"/>
  <c r="AM521" i="1"/>
  <c r="AK397" i="1"/>
  <c r="AN269" i="1"/>
  <c r="AN636" i="1"/>
  <c r="AL680" i="1"/>
  <c r="AN465" i="1"/>
  <c r="AN110" i="1"/>
  <c r="AL107" i="1"/>
  <c r="AN660" i="1"/>
  <c r="AN399" i="1"/>
  <c r="AL266" i="1"/>
  <c r="AN105" i="1"/>
  <c r="AL633" i="1"/>
  <c r="AN655" i="1"/>
  <c r="AL524" i="1"/>
  <c r="AN316" i="1"/>
  <c r="AL263" i="1"/>
  <c r="AN100" i="1"/>
  <c r="AL630" i="1"/>
  <c r="AN674" i="1"/>
  <c r="AL521" i="1"/>
  <c r="AL114" i="1"/>
  <c r="AL319" i="1"/>
  <c r="AL677" i="1"/>
  <c r="AO322" i="1"/>
  <c r="AM269" i="1"/>
  <c r="AO112" i="1"/>
  <c r="AM636" i="1"/>
  <c r="AO528" i="1"/>
  <c r="AM465" i="1"/>
  <c r="AO267" i="1"/>
  <c r="AM110" i="1"/>
  <c r="AO634" i="1"/>
  <c r="AM660" i="1"/>
  <c r="AO525" i="1"/>
  <c r="AM399" i="1"/>
  <c r="AO195" i="1"/>
  <c r="AM105" i="1"/>
  <c r="AO658" i="1"/>
  <c r="AM655" i="1"/>
  <c r="AO462" i="1"/>
  <c r="AM316" i="1"/>
  <c r="AO204" i="1"/>
  <c r="AM100" i="1"/>
  <c r="AO653" i="1"/>
  <c r="AM674" i="1"/>
  <c r="AO459" i="1"/>
  <c r="AN322" i="1"/>
  <c r="AN112" i="1"/>
  <c r="AN528" i="1"/>
  <c r="AL660" i="1"/>
  <c r="AN525" i="1"/>
  <c r="AN195" i="1"/>
  <c r="AN658" i="1"/>
  <c r="AL655" i="1"/>
  <c r="AN462" i="1"/>
  <c r="AL316" i="1"/>
  <c r="AL100" i="1"/>
  <c r="AL674" i="1"/>
  <c r="AN459" i="1"/>
  <c r="AL269" i="1"/>
  <c r="AL636" i="1"/>
  <c r="AL465" i="1"/>
  <c r="AN267" i="1"/>
  <c r="AL110" i="1"/>
  <c r="AN634" i="1"/>
  <c r="AL399" i="1"/>
  <c r="AL105" i="1"/>
  <c r="AN204" i="1"/>
  <c r="AN653" i="1"/>
  <c r="AN32" i="2"/>
  <c r="AN33" i="2"/>
  <c r="AL33" i="2"/>
  <c r="AO33" i="2"/>
  <c r="AM33" i="2"/>
  <c r="AK33" i="2"/>
  <c r="AK32" i="2"/>
  <c r="AL32" i="2"/>
  <c r="AM32" i="2"/>
  <c r="CC31" i="2"/>
  <c r="AG31" i="2"/>
  <c r="AD31" i="2" s="1"/>
  <c r="AF31" i="2" s="1"/>
  <c r="CC30" i="2"/>
  <c r="AG30" i="2"/>
  <c r="AD30" i="2" s="1"/>
  <c r="CC35" i="8"/>
  <c r="AG35" i="8"/>
  <c r="AD35" i="8" s="1"/>
  <c r="CC34" i="8"/>
  <c r="AG34" i="8"/>
  <c r="AD34" i="8" s="1"/>
  <c r="CC33" i="8"/>
  <c r="AG33" i="8"/>
  <c r="AD33" i="8" s="1"/>
  <c r="CC32" i="8"/>
  <c r="AG32" i="8"/>
  <c r="AD32" i="8" s="1"/>
  <c r="CC31" i="8"/>
  <c r="AG31" i="8"/>
  <c r="AD31" i="8" s="1"/>
  <c r="AF31" i="8" s="1"/>
  <c r="CC30" i="8"/>
  <c r="AG30" i="8"/>
  <c r="AD30" i="8" s="1"/>
  <c r="AF30" i="8" s="1"/>
  <c r="CC29" i="8"/>
  <c r="AG29" i="8"/>
  <c r="AD29" i="8" s="1"/>
  <c r="CC28" i="8"/>
  <c r="AG28" i="8"/>
  <c r="AD28" i="8" s="1"/>
  <c r="CC27" i="8"/>
  <c r="AG27" i="8"/>
  <c r="AD27" i="8" s="1"/>
  <c r="CC26" i="8"/>
  <c r="AG26" i="8"/>
  <c r="AD26" i="8" s="1"/>
  <c r="CC25" i="8"/>
  <c r="AG25" i="8"/>
  <c r="AD25" i="8" s="1"/>
  <c r="CC24" i="8"/>
  <c r="AG24" i="8"/>
  <c r="AD24" i="8" s="1"/>
  <c r="CC23" i="8"/>
  <c r="AG23" i="8"/>
  <c r="AD23" i="8" s="1"/>
  <c r="AF23" i="8" s="1"/>
  <c r="CC22" i="8"/>
  <c r="AG22" i="8"/>
  <c r="AD22" i="8" s="1"/>
  <c r="CC21" i="8"/>
  <c r="AG21" i="8"/>
  <c r="AD21" i="8" s="1"/>
  <c r="CC20" i="8"/>
  <c r="AG20" i="8"/>
  <c r="AD20" i="8" s="1"/>
  <c r="CC19" i="8"/>
  <c r="AG19" i="8"/>
  <c r="AD19" i="8" s="1"/>
  <c r="CC18" i="8"/>
  <c r="AG18" i="8"/>
  <c r="AD18" i="8" s="1"/>
  <c r="CC17" i="8"/>
  <c r="AG17" i="8"/>
  <c r="AD17" i="8" s="1"/>
  <c r="CC16" i="8"/>
  <c r="AG16" i="8"/>
  <c r="AD16" i="8" s="1"/>
  <c r="CC15" i="8"/>
  <c r="AG15" i="8"/>
  <c r="AD15" i="8" s="1"/>
  <c r="CC14" i="8"/>
  <c r="AG14" i="8"/>
  <c r="AD14" i="8" s="1"/>
  <c r="CC13" i="8"/>
  <c r="AG13" i="8"/>
  <c r="AD13" i="8" s="1"/>
  <c r="AF13" i="8" s="1"/>
  <c r="CC12" i="8"/>
  <c r="AG12" i="8"/>
  <c r="AD12" i="8" s="1"/>
  <c r="CC11" i="8"/>
  <c r="AG11" i="8"/>
  <c r="AD11" i="8" s="1"/>
  <c r="CC10" i="8"/>
  <c r="AG10" i="8"/>
  <c r="AD10" i="8" s="1"/>
  <c r="CC9" i="8"/>
  <c r="AG9" i="8"/>
  <c r="AD9" i="8" s="1"/>
  <c r="CC8" i="8"/>
  <c r="AG8" i="8"/>
  <c r="AD8" i="8" s="1"/>
  <c r="CC7" i="8"/>
  <c r="AG7" i="8"/>
  <c r="AD7" i="8" s="1"/>
  <c r="AF7" i="8" s="1"/>
  <c r="CC6" i="8"/>
  <c r="AG6" i="8"/>
  <c r="AD6" i="8" s="1"/>
  <c r="CC5" i="8"/>
  <c r="AG5" i="8"/>
  <c r="AD5" i="8" s="1"/>
  <c r="CC4" i="8"/>
  <c r="AG4" i="8"/>
  <c r="AD4" i="8" s="1"/>
  <c r="CC4" i="3"/>
  <c r="AG4" i="3"/>
  <c r="AD4" i="3" s="1"/>
  <c r="CC7" i="3"/>
  <c r="AG7" i="3"/>
  <c r="AD7" i="3" s="1"/>
  <c r="CC5" i="3"/>
  <c r="AG5" i="3"/>
  <c r="AD5" i="3" s="1"/>
  <c r="CC6" i="3"/>
  <c r="AG6" i="3"/>
  <c r="AD6" i="3" s="1"/>
  <c r="CC8" i="3"/>
  <c r="AG8" i="3"/>
  <c r="AD8" i="3" s="1"/>
  <c r="CC10" i="3"/>
  <c r="AG10" i="3"/>
  <c r="AD10" i="3" s="1"/>
  <c r="AF10" i="3" s="1"/>
  <c r="CC16" i="3"/>
  <c r="AG16" i="3"/>
  <c r="AD16" i="3" s="1"/>
  <c r="CC9" i="3"/>
  <c r="AG9" i="3"/>
  <c r="AD9" i="3" s="1"/>
  <c r="CC32" i="7"/>
  <c r="AG32" i="7"/>
  <c r="AD32" i="7" s="1"/>
  <c r="CC31" i="7"/>
  <c r="AG31" i="7"/>
  <c r="AD31" i="7" s="1"/>
  <c r="CC30" i="7"/>
  <c r="AG30" i="7"/>
  <c r="AD30" i="7" s="1"/>
  <c r="AF30" i="7" s="1"/>
  <c r="CC29" i="7"/>
  <c r="AG29" i="7"/>
  <c r="AD29" i="7" s="1"/>
  <c r="CC28" i="7"/>
  <c r="AG28" i="7"/>
  <c r="AD28" i="7" s="1"/>
  <c r="CC27" i="7"/>
  <c r="AG27" i="7"/>
  <c r="AD27" i="7" s="1"/>
  <c r="AF27" i="7" s="1"/>
  <c r="CC26" i="7"/>
  <c r="AG26" i="7"/>
  <c r="AD26" i="7" s="1"/>
  <c r="CC25" i="7"/>
  <c r="AG25" i="7"/>
  <c r="AD25" i="7" s="1"/>
  <c r="AF25" i="7" s="1"/>
  <c r="CC23" i="7"/>
  <c r="AG23" i="7"/>
  <c r="AD23" i="7" s="1"/>
  <c r="CC22" i="7"/>
  <c r="AG22" i="7"/>
  <c r="AD22" i="7" s="1"/>
  <c r="CC21" i="7"/>
  <c r="AG21" i="7"/>
  <c r="AD21" i="7" s="1"/>
  <c r="AF21" i="7" s="1"/>
  <c r="CC20" i="7"/>
  <c r="AG20" i="7"/>
  <c r="AD20" i="7" s="1"/>
  <c r="CC19" i="7"/>
  <c r="AG19" i="7"/>
  <c r="AD19" i="7" s="1"/>
  <c r="CC18" i="7"/>
  <c r="AG18" i="7"/>
  <c r="AD18" i="7" s="1"/>
  <c r="CC17" i="7"/>
  <c r="AG17" i="7"/>
  <c r="AD17" i="7" s="1"/>
  <c r="CC16" i="7"/>
  <c r="AG16" i="7"/>
  <c r="AD16" i="7" s="1"/>
  <c r="AF16" i="7" s="1"/>
  <c r="CC15" i="7"/>
  <c r="AG15" i="7"/>
  <c r="AD15" i="7" s="1"/>
  <c r="CC14" i="7"/>
  <c r="AG14" i="7"/>
  <c r="AD14" i="7" s="1"/>
  <c r="CC13" i="7"/>
  <c r="AG13" i="7"/>
  <c r="AD13" i="7" s="1"/>
  <c r="AF13" i="7" s="1"/>
  <c r="CC12" i="7"/>
  <c r="AG12" i="7"/>
  <c r="AD12" i="7" s="1"/>
  <c r="CC11" i="7"/>
  <c r="AG11" i="7"/>
  <c r="AD11" i="7" s="1"/>
  <c r="CC10" i="7"/>
  <c r="AG10" i="7"/>
  <c r="AD10" i="7" s="1"/>
  <c r="AF10" i="7" s="1"/>
  <c r="CC9" i="7"/>
  <c r="AG9" i="7"/>
  <c r="AD9" i="7" s="1"/>
  <c r="CC8" i="7"/>
  <c r="AG8" i="7"/>
  <c r="AD8" i="7" s="1"/>
  <c r="AF8" i="7" s="1"/>
  <c r="CC7" i="7"/>
  <c r="AG7" i="7"/>
  <c r="AD7" i="7" s="1"/>
  <c r="CC6" i="7"/>
  <c r="AG6" i="7"/>
  <c r="AD6" i="7" s="1"/>
  <c r="CC5" i="7"/>
  <c r="AG5" i="7"/>
  <c r="AD5" i="7" s="1"/>
  <c r="AF5" i="7" s="1"/>
  <c r="CC4" i="7"/>
  <c r="AG4" i="7"/>
  <c r="AD4" i="7" s="1"/>
  <c r="CC42" i="3"/>
  <c r="AG42" i="3"/>
  <c r="AD42" i="3" s="1"/>
  <c r="CC52" i="3"/>
  <c r="AG52" i="3"/>
  <c r="AD52" i="3" s="1"/>
  <c r="CC51" i="3"/>
  <c r="AG51" i="3"/>
  <c r="AD51" i="3" s="1"/>
  <c r="CC50" i="3"/>
  <c r="AG50" i="3"/>
  <c r="AD50" i="3" s="1"/>
  <c r="CC76" i="3"/>
  <c r="AG76" i="3"/>
  <c r="AD76" i="3" s="1"/>
  <c r="CC75" i="3"/>
  <c r="AG75" i="3"/>
  <c r="AD75" i="3" s="1"/>
  <c r="AF75" i="3" s="1"/>
  <c r="CC74" i="3"/>
  <c r="AG74" i="3"/>
  <c r="AD74" i="3" s="1"/>
  <c r="CC73" i="3"/>
  <c r="AG73" i="3"/>
  <c r="AD73" i="3" s="1"/>
  <c r="CC72" i="3"/>
  <c r="AG72" i="3"/>
  <c r="AD72" i="3" s="1"/>
  <c r="CC71" i="3"/>
  <c r="AG71" i="3"/>
  <c r="AD71" i="3" s="1"/>
  <c r="CC70" i="3"/>
  <c r="AG70" i="3"/>
  <c r="AD70" i="3" s="1"/>
  <c r="CC69" i="3"/>
  <c r="AG69" i="3"/>
  <c r="AD69" i="3" s="1"/>
  <c r="CC68" i="3"/>
  <c r="AG68" i="3"/>
  <c r="AD68" i="3" s="1"/>
  <c r="CC12" i="3"/>
  <c r="AG12" i="3"/>
  <c r="AD12" i="3" s="1"/>
  <c r="CC14" i="3"/>
  <c r="AG14" i="3"/>
  <c r="AD14" i="3" s="1"/>
  <c r="CC17" i="3"/>
  <c r="AG17" i="3"/>
  <c r="AD17" i="3" s="1"/>
  <c r="AF17" i="3" s="1"/>
  <c r="CC32" i="3"/>
  <c r="AG32" i="3"/>
  <c r="AD32" i="3" s="1"/>
  <c r="CC31" i="3"/>
  <c r="AG31" i="3"/>
  <c r="AD31" i="3" s="1"/>
  <c r="CC41" i="3"/>
  <c r="AG41" i="3"/>
  <c r="AD41" i="3" s="1"/>
  <c r="CC18" i="3"/>
  <c r="AG18" i="3"/>
  <c r="AD18" i="3" s="1"/>
  <c r="CC22" i="3"/>
  <c r="AG22" i="3"/>
  <c r="AD22" i="3" s="1"/>
  <c r="CC26" i="3"/>
  <c r="AG26" i="3"/>
  <c r="AD26" i="3" s="1"/>
  <c r="CC11" i="3"/>
  <c r="AG11" i="3"/>
  <c r="AD11" i="3" s="1"/>
  <c r="CC13" i="3"/>
  <c r="AG13" i="3"/>
  <c r="AD13" i="3" s="1"/>
  <c r="AF13" i="3" s="1"/>
  <c r="CC15" i="3"/>
  <c r="AG15" i="3"/>
  <c r="AD15" i="3" s="1"/>
  <c r="AF15" i="3" s="1"/>
  <c r="CC19" i="3"/>
  <c r="AG19" i="3"/>
  <c r="AD19" i="3" s="1"/>
  <c r="CC21" i="3"/>
  <c r="AG21" i="3"/>
  <c r="AD21" i="3" s="1"/>
  <c r="CC25" i="3"/>
  <c r="AG25" i="3"/>
  <c r="AD25" i="3" s="1"/>
  <c r="CC40" i="3"/>
  <c r="AG40" i="3"/>
  <c r="AD40" i="3" s="1"/>
  <c r="CC39" i="3"/>
  <c r="AG39" i="3"/>
  <c r="AD39" i="3" s="1"/>
  <c r="CC49" i="3"/>
  <c r="AG49" i="3"/>
  <c r="AD49" i="3" s="1"/>
  <c r="CC48" i="3"/>
  <c r="AG48" i="3"/>
  <c r="AD48" i="3" s="1"/>
  <c r="AF48" i="3" s="1"/>
  <c r="CC67" i="3"/>
  <c r="AG67" i="3"/>
  <c r="AD67" i="3" s="1"/>
  <c r="CC66" i="3"/>
  <c r="AG66" i="3"/>
  <c r="AD66" i="3" s="1"/>
  <c r="AF66" i="3" s="1"/>
  <c r="CC47" i="3"/>
  <c r="AG47" i="3"/>
  <c r="AD47" i="3" s="1"/>
  <c r="CC30" i="3"/>
  <c r="AG30" i="3"/>
  <c r="AD30" i="3" s="1"/>
  <c r="CC38" i="3"/>
  <c r="AG38" i="3"/>
  <c r="AD38" i="3" s="1"/>
  <c r="CC37" i="3"/>
  <c r="AG37" i="3"/>
  <c r="AD37" i="3" s="1"/>
  <c r="CC46" i="3"/>
  <c r="AG46" i="3"/>
  <c r="AD46" i="3" s="1"/>
  <c r="AF46" i="3" s="1"/>
  <c r="CC45" i="3"/>
  <c r="AG45" i="3"/>
  <c r="AD45" i="3" s="1"/>
  <c r="AF45" i="3" s="1"/>
  <c r="CC44" i="3"/>
  <c r="AG44" i="3"/>
  <c r="AD44" i="3" s="1"/>
  <c r="AF44" i="3" s="1"/>
  <c r="CC65" i="3"/>
  <c r="AG65" i="3"/>
  <c r="AD65" i="3" s="1"/>
  <c r="AF65" i="3" s="1"/>
  <c r="CC64" i="3"/>
  <c r="AG64" i="3"/>
  <c r="AD64" i="3" s="1"/>
  <c r="CC63" i="3"/>
  <c r="AG63" i="3"/>
  <c r="AD63" i="3" s="1"/>
  <c r="CC20" i="3"/>
  <c r="AG20" i="3"/>
  <c r="AD20" i="3" s="1"/>
  <c r="AF20" i="3" s="1"/>
  <c r="CC29" i="3"/>
  <c r="AG29" i="3"/>
  <c r="AD29" i="3" s="1"/>
  <c r="CC36" i="3"/>
  <c r="AG36" i="3"/>
  <c r="AD36" i="3" s="1"/>
  <c r="Y63" i="3" l="1"/>
  <c r="AF63" i="3"/>
  <c r="Y37" i="3"/>
  <c r="AF37" i="3"/>
  <c r="Y31" i="3"/>
  <c r="AF31" i="3"/>
  <c r="Y71" i="3"/>
  <c r="AF71" i="3"/>
  <c r="Y50" i="3"/>
  <c r="AF50" i="3"/>
  <c r="Y6" i="7"/>
  <c r="AF6" i="7"/>
  <c r="Y12" i="7"/>
  <c r="AF12" i="7"/>
  <c r="Y22" i="7"/>
  <c r="AF22" i="7"/>
  <c r="Y31" i="7"/>
  <c r="AF31" i="7"/>
  <c r="Y8" i="3"/>
  <c r="AF8" i="3"/>
  <c r="Y4" i="3"/>
  <c r="AF4" i="3"/>
  <c r="Y17" i="8"/>
  <c r="AF17" i="8"/>
  <c r="Y21" i="8"/>
  <c r="AF21" i="8"/>
  <c r="Y25" i="8"/>
  <c r="AF25" i="8"/>
  <c r="Y29" i="8"/>
  <c r="AF29" i="8"/>
  <c r="Y33" i="8"/>
  <c r="AF33" i="8"/>
  <c r="Y36" i="3"/>
  <c r="AF36" i="3"/>
  <c r="Y30" i="3"/>
  <c r="AF30" i="3"/>
  <c r="Y39" i="3"/>
  <c r="AF39" i="3"/>
  <c r="Y19" i="3"/>
  <c r="AF19" i="3"/>
  <c r="Y18" i="3"/>
  <c r="AF18" i="3"/>
  <c r="Y12" i="3"/>
  <c r="AF12" i="3"/>
  <c r="Y73" i="3"/>
  <c r="AF73" i="3"/>
  <c r="Y52" i="3"/>
  <c r="AF52" i="3"/>
  <c r="Y14" i="7"/>
  <c r="AF14" i="7"/>
  <c r="Y20" i="7"/>
  <c r="AF20" i="7"/>
  <c r="Y29" i="7"/>
  <c r="AF29" i="7"/>
  <c r="Y9" i="3"/>
  <c r="AF9" i="3"/>
  <c r="Y5" i="3"/>
  <c r="AF5" i="3"/>
  <c r="Y5" i="8"/>
  <c r="AF5" i="8"/>
  <c r="Y9" i="8"/>
  <c r="AF9" i="8"/>
  <c r="Y11" i="8"/>
  <c r="AF11" i="8"/>
  <c r="Y15" i="8"/>
  <c r="AF15" i="8"/>
  <c r="Y19" i="8"/>
  <c r="AF19" i="8"/>
  <c r="Y27" i="8"/>
  <c r="AF27" i="8"/>
  <c r="Y30" i="2"/>
  <c r="AF30" i="2"/>
  <c r="Y25" i="3"/>
  <c r="AF25" i="3"/>
  <c r="Y26" i="3"/>
  <c r="AF26" i="3"/>
  <c r="Y69" i="3"/>
  <c r="AF69" i="3"/>
  <c r="Y4" i="7"/>
  <c r="AF4" i="7"/>
  <c r="Y18" i="7"/>
  <c r="AF18" i="7"/>
  <c r="Y29" i="3"/>
  <c r="AF29" i="3"/>
  <c r="Y64" i="3"/>
  <c r="AF64" i="3"/>
  <c r="Y38" i="3"/>
  <c r="AF38" i="3"/>
  <c r="Y47" i="3"/>
  <c r="AF47" i="3"/>
  <c r="Y67" i="3"/>
  <c r="AF67" i="3"/>
  <c r="Y49" i="3"/>
  <c r="AF49" i="3"/>
  <c r="Y40" i="3"/>
  <c r="AF40" i="3"/>
  <c r="Y21" i="3"/>
  <c r="AF21" i="3"/>
  <c r="Y11" i="3"/>
  <c r="AF11" i="3"/>
  <c r="Y22" i="3"/>
  <c r="AF22" i="3"/>
  <c r="Y41" i="3"/>
  <c r="AF41" i="3"/>
  <c r="Y32" i="3"/>
  <c r="AF32" i="3"/>
  <c r="Y14" i="3"/>
  <c r="AF14" i="3"/>
  <c r="Y68" i="3"/>
  <c r="AF68" i="3"/>
  <c r="Y70" i="3"/>
  <c r="AF70" i="3"/>
  <c r="Y72" i="3"/>
  <c r="AF72" i="3"/>
  <c r="Y74" i="3"/>
  <c r="AF74" i="3"/>
  <c r="Y76" i="3"/>
  <c r="AF76" i="3"/>
  <c r="Y51" i="3"/>
  <c r="AF51" i="3"/>
  <c r="Y42" i="3"/>
  <c r="AF42" i="3"/>
  <c r="Y7" i="7"/>
  <c r="AF7" i="7"/>
  <c r="Y9" i="7"/>
  <c r="AF9" i="7"/>
  <c r="Y11" i="7"/>
  <c r="AF11" i="7"/>
  <c r="Y15" i="7"/>
  <c r="AF15" i="7"/>
  <c r="Y17" i="7"/>
  <c r="AF17" i="7"/>
  <c r="Y19" i="7"/>
  <c r="AF19" i="7"/>
  <c r="Y23" i="7"/>
  <c r="AF23" i="7"/>
  <c r="Y26" i="7"/>
  <c r="AF26" i="7"/>
  <c r="Y28" i="7"/>
  <c r="AF28" i="7"/>
  <c r="Y32" i="7"/>
  <c r="AF32" i="7"/>
  <c r="Y16" i="3"/>
  <c r="AF16" i="3"/>
  <c r="Y6" i="3"/>
  <c r="AF6" i="3"/>
  <c r="Y7" i="3"/>
  <c r="AF7" i="3"/>
  <c r="Y4" i="8"/>
  <c r="AF4" i="8"/>
  <c r="Y6" i="8"/>
  <c r="AF6" i="8"/>
  <c r="Y8" i="8"/>
  <c r="AF8" i="8"/>
  <c r="Y10" i="8"/>
  <c r="AF10" i="8"/>
  <c r="Y12" i="8"/>
  <c r="AF12" i="8"/>
  <c r="Y14" i="8"/>
  <c r="AF14" i="8"/>
  <c r="Y16" i="8"/>
  <c r="AF16" i="8"/>
  <c r="Y18" i="8"/>
  <c r="AF18" i="8"/>
  <c r="Y20" i="8"/>
  <c r="AF20" i="8"/>
  <c r="Y22" i="8"/>
  <c r="AF22" i="8"/>
  <c r="Y24" i="8"/>
  <c r="AF24" i="8"/>
  <c r="Y26" i="8"/>
  <c r="AF26" i="8"/>
  <c r="Y28" i="8"/>
  <c r="AF28" i="8"/>
  <c r="Y32" i="8"/>
  <c r="AF32" i="8"/>
  <c r="Y34" i="8"/>
  <c r="AF34" i="8"/>
  <c r="Y35" i="8"/>
  <c r="AF35" i="8"/>
  <c r="AO16" i="7"/>
  <c r="Y16" i="7"/>
  <c r="AO21" i="7"/>
  <c r="Y21" i="7"/>
  <c r="AO30" i="7"/>
  <c r="Y30" i="7"/>
  <c r="AO25" i="7"/>
  <c r="Y25" i="7"/>
  <c r="AO8" i="7"/>
  <c r="Y8" i="7"/>
  <c r="AO13" i="7"/>
  <c r="Y13" i="7"/>
  <c r="AO27" i="7"/>
  <c r="Y27" i="7"/>
  <c r="AO10" i="7"/>
  <c r="Y10" i="7"/>
  <c r="AO5" i="7"/>
  <c r="Y5" i="7"/>
  <c r="AN45" i="3"/>
  <c r="Y45" i="3"/>
  <c r="AL48" i="3"/>
  <c r="Y48" i="3"/>
  <c r="AO13" i="3"/>
  <c r="Y13" i="3"/>
  <c r="AO17" i="3"/>
  <c r="Y17" i="3"/>
  <c r="AM44" i="3"/>
  <c r="Y44" i="3"/>
  <c r="AL15" i="3"/>
  <c r="Y15" i="3"/>
  <c r="AO10" i="3"/>
  <c r="Y10" i="3"/>
  <c r="AN46" i="3"/>
  <c r="Y46" i="3"/>
  <c r="AM20" i="3"/>
  <c r="Y20" i="3"/>
  <c r="AO65" i="3"/>
  <c r="Y65" i="3"/>
  <c r="AL66" i="3"/>
  <c r="Y66" i="3"/>
  <c r="AO75" i="3"/>
  <c r="Y75" i="3"/>
  <c r="AO13" i="8"/>
  <c r="Y13" i="8"/>
  <c r="AO23" i="8"/>
  <c r="Y23" i="8"/>
  <c r="AO31" i="8"/>
  <c r="Y31" i="8"/>
  <c r="AL7" i="8"/>
  <c r="Y7" i="8"/>
  <c r="AL30" i="8"/>
  <c r="Y30" i="8"/>
  <c r="AO31" i="2"/>
  <c r="Y31" i="2"/>
  <c r="AO19" i="8"/>
  <c r="AO9" i="7"/>
  <c r="AO29" i="8"/>
  <c r="AL29" i="8"/>
  <c r="AL20" i="8"/>
  <c r="AM20" i="8"/>
  <c r="AO21" i="8"/>
  <c r="AL21" i="8"/>
  <c r="AO11" i="8"/>
  <c r="AL12" i="8"/>
  <c r="AN12" i="8"/>
  <c r="AM12" i="8"/>
  <c r="AL22" i="8"/>
  <c r="AM22" i="8"/>
  <c r="AO6" i="8"/>
  <c r="AL6" i="8"/>
  <c r="AL19" i="8"/>
  <c r="AM30" i="8"/>
  <c r="AM7" i="8"/>
  <c r="AN7" i="8"/>
  <c r="AM26" i="7"/>
  <c r="AN26" i="7"/>
  <c r="AL26" i="7"/>
  <c r="AK26" i="7"/>
  <c r="AO26" i="7"/>
  <c r="AM17" i="7"/>
  <c r="AL17" i="7"/>
  <c r="AK17" i="7"/>
  <c r="AN17" i="7"/>
  <c r="AO17" i="7"/>
  <c r="AK9" i="7"/>
  <c r="AL9" i="7"/>
  <c r="AM9" i="7"/>
  <c r="AN9" i="7"/>
  <c r="AN30" i="2"/>
  <c r="AM30" i="2"/>
  <c r="AL30" i="2"/>
  <c r="AK30" i="2"/>
  <c r="AO30" i="2"/>
  <c r="AK31" i="2"/>
  <c r="AL31" i="2"/>
  <c r="AM31" i="2"/>
  <c r="AN31" i="2"/>
  <c r="AO8" i="8"/>
  <c r="AN8" i="8"/>
  <c r="AM8" i="8"/>
  <c r="AL8" i="8"/>
  <c r="AK8" i="8"/>
  <c r="AO28" i="8"/>
  <c r="AN28" i="8"/>
  <c r="AM28" i="8"/>
  <c r="AL28" i="8"/>
  <c r="AK28" i="8"/>
  <c r="AO16" i="8"/>
  <c r="AN16" i="8"/>
  <c r="AM16" i="8"/>
  <c r="AL16" i="8"/>
  <c r="AK16" i="8"/>
  <c r="AK17" i="8"/>
  <c r="AO17" i="8"/>
  <c r="AN17" i="8"/>
  <c r="AM17" i="8"/>
  <c r="AL17" i="8"/>
  <c r="AO32" i="8"/>
  <c r="AN32" i="8"/>
  <c r="AM32" i="8"/>
  <c r="AL32" i="8"/>
  <c r="AK32" i="8"/>
  <c r="AK9" i="8"/>
  <c r="AO9" i="8"/>
  <c r="AN9" i="8"/>
  <c r="AM9" i="8"/>
  <c r="AL9" i="8"/>
  <c r="AK4" i="8"/>
  <c r="AO4" i="8"/>
  <c r="AN4" i="8"/>
  <c r="AM4" i="8"/>
  <c r="AL4" i="8"/>
  <c r="AO18" i="8"/>
  <c r="AN18" i="8"/>
  <c r="AM18" i="8"/>
  <c r="AL18" i="8"/>
  <c r="AK18" i="8"/>
  <c r="AO24" i="8"/>
  <c r="AN24" i="8"/>
  <c r="AM24" i="8"/>
  <c r="AL24" i="8"/>
  <c r="AK24" i="8"/>
  <c r="AK27" i="8"/>
  <c r="AO27" i="8"/>
  <c r="AN27" i="8"/>
  <c r="AM27" i="8"/>
  <c r="AL27" i="8"/>
  <c r="AN33" i="8"/>
  <c r="AM33" i="8"/>
  <c r="AL33" i="8"/>
  <c r="AK33" i="8"/>
  <c r="AO33" i="8"/>
  <c r="AO10" i="8"/>
  <c r="AN10" i="8"/>
  <c r="AM10" i="8"/>
  <c r="AL10" i="8"/>
  <c r="AK10" i="8"/>
  <c r="AO5" i="8"/>
  <c r="AN5" i="8"/>
  <c r="AL5" i="8"/>
  <c r="AM5" i="8"/>
  <c r="AK5" i="8"/>
  <c r="AN25" i="8"/>
  <c r="AM25" i="8"/>
  <c r="AL25" i="8"/>
  <c r="AK25" i="8"/>
  <c r="AO25" i="8"/>
  <c r="AO35" i="8"/>
  <c r="AN35" i="8"/>
  <c r="AM35" i="8"/>
  <c r="AL35" i="8"/>
  <c r="AK35" i="8"/>
  <c r="AN14" i="8"/>
  <c r="AO14" i="8"/>
  <c r="AM14" i="8"/>
  <c r="AL14" i="8"/>
  <c r="AK14" i="8"/>
  <c r="AO34" i="8"/>
  <c r="AN34" i="8"/>
  <c r="AM34" i="8"/>
  <c r="AL34" i="8"/>
  <c r="AK34" i="8"/>
  <c r="AO26" i="8"/>
  <c r="AN26" i="8"/>
  <c r="AM26" i="8"/>
  <c r="AL26" i="8"/>
  <c r="AK26" i="8"/>
  <c r="AN15" i="8"/>
  <c r="AM15" i="8"/>
  <c r="AL15" i="8"/>
  <c r="AK15" i="8"/>
  <c r="AO15" i="8"/>
  <c r="AN22" i="8"/>
  <c r="AN30" i="8"/>
  <c r="AN20" i="8"/>
  <c r="AO7" i="8"/>
  <c r="AO12" i="8"/>
  <c r="AO20" i="8"/>
  <c r="AO22" i="8"/>
  <c r="AO30" i="8"/>
  <c r="AK6" i="8"/>
  <c r="AK11" i="8"/>
  <c r="AK19" i="8"/>
  <c r="AK21" i="8"/>
  <c r="AK29" i="8"/>
  <c r="AL11" i="8"/>
  <c r="AM6" i="8"/>
  <c r="AM11" i="8"/>
  <c r="AM19" i="8"/>
  <c r="AM21" i="8"/>
  <c r="AM29" i="8"/>
  <c r="AN6" i="8"/>
  <c r="AN19" i="8"/>
  <c r="AN21" i="8"/>
  <c r="AN29" i="8"/>
  <c r="AN11" i="8"/>
  <c r="AK13" i="8"/>
  <c r="AK23" i="8"/>
  <c r="AK31" i="8"/>
  <c r="AL23" i="8"/>
  <c r="AL31" i="8"/>
  <c r="AL13" i="8"/>
  <c r="AM13" i="8"/>
  <c r="AM23" i="8"/>
  <c r="AM31" i="8"/>
  <c r="AN23" i="8"/>
  <c r="AN13" i="8"/>
  <c r="AN31" i="8"/>
  <c r="AK7" i="8"/>
  <c r="AK12" i="8"/>
  <c r="AK20" i="8"/>
  <c r="AK22" i="8"/>
  <c r="AK30" i="8"/>
  <c r="AK8" i="3"/>
  <c r="AO8" i="3"/>
  <c r="AN8" i="3"/>
  <c r="AM8" i="3"/>
  <c r="AL8" i="3"/>
  <c r="AO16" i="3"/>
  <c r="AN16" i="3"/>
  <c r="AM16" i="3"/>
  <c r="AL16" i="3"/>
  <c r="AK16" i="3"/>
  <c r="AK9" i="3"/>
  <c r="AM9" i="3"/>
  <c r="AL9" i="3"/>
  <c r="AO9" i="3"/>
  <c r="AN9" i="3"/>
  <c r="AN6" i="3"/>
  <c r="AM6" i="3"/>
  <c r="AL6" i="3"/>
  <c r="AK6" i="3"/>
  <c r="AO6" i="3"/>
  <c r="AL74" i="3"/>
  <c r="AM74" i="3"/>
  <c r="AN74" i="3"/>
  <c r="AO73" i="3"/>
  <c r="AO5" i="3"/>
  <c r="AN5" i="3"/>
  <c r="AM5" i="3"/>
  <c r="AL5" i="3"/>
  <c r="AK5" i="3"/>
  <c r="AO69" i="3"/>
  <c r="AO31" i="3"/>
  <c r="AL32" i="3"/>
  <c r="AN32" i="3"/>
  <c r="AM32" i="3"/>
  <c r="AL7" i="3"/>
  <c r="AM7" i="3"/>
  <c r="AK7" i="3"/>
  <c r="AO7" i="3"/>
  <c r="AN7" i="3"/>
  <c r="AO19" i="3"/>
  <c r="AL19" i="3"/>
  <c r="AL71" i="3"/>
  <c r="AM71" i="3"/>
  <c r="AN71" i="3"/>
  <c r="AO4" i="3"/>
  <c r="AN4" i="3"/>
  <c r="AM4" i="3"/>
  <c r="AL4" i="3"/>
  <c r="AK4" i="3"/>
  <c r="AM15" i="3"/>
  <c r="AN15" i="3"/>
  <c r="AK10" i="3"/>
  <c r="AL10" i="3"/>
  <c r="AM10" i="3"/>
  <c r="AN10" i="3"/>
  <c r="AN13" i="3"/>
  <c r="AO11" i="7"/>
  <c r="AL11" i="7"/>
  <c r="AN11" i="7"/>
  <c r="AM11" i="7"/>
  <c r="AK11" i="7"/>
  <c r="AO19" i="7"/>
  <c r="AL19" i="7"/>
  <c r="AN19" i="7"/>
  <c r="AM19" i="7"/>
  <c r="AK19" i="7"/>
  <c r="AN29" i="7"/>
  <c r="AM29" i="7"/>
  <c r="AL29" i="7"/>
  <c r="AK29" i="7"/>
  <c r="AO29" i="7"/>
  <c r="AN12" i="7"/>
  <c r="AM12" i="7"/>
  <c r="AL12" i="7"/>
  <c r="AK12" i="7"/>
  <c r="AO12" i="7"/>
  <c r="AM4" i="7"/>
  <c r="AL4" i="7"/>
  <c r="AK4" i="7"/>
  <c r="AO4" i="7"/>
  <c r="AN4" i="7"/>
  <c r="AN6" i="7"/>
  <c r="AL6" i="7"/>
  <c r="AO6" i="7"/>
  <c r="AM6" i="7"/>
  <c r="AK6" i="7"/>
  <c r="AL14" i="7"/>
  <c r="AN14" i="7"/>
  <c r="AO14" i="7"/>
  <c r="AM14" i="7"/>
  <c r="AK14" i="7"/>
  <c r="AL22" i="7"/>
  <c r="AN22" i="7"/>
  <c r="AO22" i="7"/>
  <c r="AM22" i="7"/>
  <c r="AK22" i="7"/>
  <c r="AO31" i="7"/>
  <c r="AN31" i="7"/>
  <c r="AM31" i="7"/>
  <c r="AL31" i="7"/>
  <c r="AK31" i="7"/>
  <c r="AO7" i="7"/>
  <c r="AN7" i="7"/>
  <c r="AM7" i="7"/>
  <c r="AL7" i="7"/>
  <c r="AK7" i="7"/>
  <c r="AO28" i="7"/>
  <c r="AN28" i="7"/>
  <c r="AM28" i="7"/>
  <c r="AL28" i="7"/>
  <c r="AK28" i="7"/>
  <c r="AO15" i="7"/>
  <c r="AN15" i="7"/>
  <c r="AM15" i="7"/>
  <c r="AL15" i="7"/>
  <c r="AK15" i="7"/>
  <c r="AO18" i="7"/>
  <c r="AN18" i="7"/>
  <c r="AM18" i="7"/>
  <c r="AL18" i="7"/>
  <c r="AK18" i="7"/>
  <c r="AO23" i="7"/>
  <c r="AN23" i="7"/>
  <c r="AM23" i="7"/>
  <c r="AL23" i="7"/>
  <c r="AK23" i="7"/>
  <c r="AO32" i="7"/>
  <c r="AN32" i="7"/>
  <c r="AM32" i="7"/>
  <c r="AL32" i="7"/>
  <c r="AK32" i="7"/>
  <c r="AN20" i="7"/>
  <c r="AM20" i="7"/>
  <c r="AL20" i="7"/>
  <c r="AK20" i="7"/>
  <c r="AO20" i="7"/>
  <c r="AK8" i="7"/>
  <c r="AK16" i="7"/>
  <c r="AK25" i="7"/>
  <c r="AL16" i="7"/>
  <c r="AL8" i="7"/>
  <c r="AL25" i="7"/>
  <c r="AK5" i="7"/>
  <c r="AM8" i="7"/>
  <c r="AK13" i="7"/>
  <c r="AM16" i="7"/>
  <c r="AK21" i="7"/>
  <c r="AM25" i="7"/>
  <c r="AK30" i="7"/>
  <c r="AN8" i="7"/>
  <c r="AL13" i="7"/>
  <c r="AN16" i="7"/>
  <c r="AL21" i="7"/>
  <c r="AN25" i="7"/>
  <c r="AL30" i="7"/>
  <c r="AL5" i="7"/>
  <c r="AM5" i="7"/>
  <c r="AK10" i="7"/>
  <c r="AM13" i="7"/>
  <c r="AM21" i="7"/>
  <c r="AK27" i="7"/>
  <c r="AM30" i="7"/>
  <c r="AN5" i="7"/>
  <c r="AL10" i="7"/>
  <c r="AL27" i="7"/>
  <c r="AN30" i="7"/>
  <c r="AN13" i="7"/>
  <c r="AN21" i="7"/>
  <c r="AM10" i="7"/>
  <c r="AM27" i="7"/>
  <c r="AN27" i="7"/>
  <c r="AN10" i="7"/>
  <c r="AN50" i="3"/>
  <c r="AM50" i="3"/>
  <c r="AL50" i="3"/>
  <c r="AK50" i="3"/>
  <c r="AO50" i="3"/>
  <c r="AO14" i="3"/>
  <c r="AN14" i="3"/>
  <c r="AM14" i="3"/>
  <c r="AL14" i="3"/>
  <c r="AK14" i="3"/>
  <c r="AO41" i="3"/>
  <c r="AN41" i="3"/>
  <c r="AM41" i="3"/>
  <c r="AL41" i="3"/>
  <c r="AK41" i="3"/>
  <c r="AO11" i="3"/>
  <c r="AN11" i="3"/>
  <c r="AM11" i="3"/>
  <c r="AL11" i="3"/>
  <c r="AK11" i="3"/>
  <c r="AO51" i="3"/>
  <c r="AN51" i="3"/>
  <c r="AM51" i="3"/>
  <c r="AL51" i="3"/>
  <c r="AK51" i="3"/>
  <c r="AO72" i="3"/>
  <c r="AN72" i="3"/>
  <c r="AM72" i="3"/>
  <c r="AL72" i="3"/>
  <c r="AK72" i="3"/>
  <c r="AL18" i="3"/>
  <c r="AK18" i="3"/>
  <c r="AO18" i="3"/>
  <c r="AN18" i="3"/>
  <c r="AM18" i="3"/>
  <c r="AN12" i="3"/>
  <c r="AM12" i="3"/>
  <c r="AL12" i="3"/>
  <c r="AK12" i="3"/>
  <c r="AO12" i="3"/>
  <c r="AO25" i="3"/>
  <c r="AK25" i="3"/>
  <c r="AK52" i="3"/>
  <c r="AO52" i="3"/>
  <c r="AN52" i="3"/>
  <c r="AM52" i="3"/>
  <c r="AL52" i="3"/>
  <c r="AL37" i="3"/>
  <c r="AN37" i="3"/>
  <c r="AO68" i="3"/>
  <c r="AN68" i="3"/>
  <c r="AM68" i="3"/>
  <c r="AL68" i="3"/>
  <c r="AK68" i="3"/>
  <c r="AN26" i="3"/>
  <c r="AM26" i="3"/>
  <c r="AL26" i="3"/>
  <c r="AK26" i="3"/>
  <c r="AO26" i="3"/>
  <c r="AO76" i="3"/>
  <c r="AN76" i="3"/>
  <c r="AM76" i="3"/>
  <c r="AL76" i="3"/>
  <c r="AK76" i="3"/>
  <c r="AL63" i="3"/>
  <c r="AN63" i="3"/>
  <c r="AO22" i="3"/>
  <c r="AN22" i="3"/>
  <c r="AM22" i="3"/>
  <c r="AL22" i="3"/>
  <c r="AK22" i="3"/>
  <c r="AO42" i="3"/>
  <c r="AN42" i="3"/>
  <c r="AM42" i="3"/>
  <c r="AL42" i="3"/>
  <c r="AK42" i="3"/>
  <c r="AM29" i="3"/>
  <c r="AL29" i="3"/>
  <c r="AO29" i="3"/>
  <c r="AN29" i="3"/>
  <c r="AL70" i="3"/>
  <c r="AK70" i="3"/>
  <c r="AO70" i="3"/>
  <c r="AN70" i="3"/>
  <c r="AM70" i="3"/>
  <c r="AO15" i="3"/>
  <c r="AO32" i="3"/>
  <c r="AO71" i="3"/>
  <c r="AO74" i="3"/>
  <c r="AN44" i="3"/>
  <c r="AK31" i="3"/>
  <c r="AK69" i="3"/>
  <c r="AK73" i="3"/>
  <c r="AL31" i="3"/>
  <c r="AL69" i="3"/>
  <c r="AL73" i="3"/>
  <c r="AL44" i="3"/>
  <c r="AO44" i="3"/>
  <c r="AM31" i="3"/>
  <c r="AM69" i="3"/>
  <c r="AM73" i="3"/>
  <c r="AN31" i="3"/>
  <c r="AN69" i="3"/>
  <c r="AN73" i="3"/>
  <c r="AM19" i="3"/>
  <c r="AK13" i="3"/>
  <c r="AK17" i="3"/>
  <c r="AK75" i="3"/>
  <c r="AL13" i="3"/>
  <c r="AL17" i="3"/>
  <c r="AL75" i="3"/>
  <c r="AM13" i="3"/>
  <c r="AM17" i="3"/>
  <c r="AM75" i="3"/>
  <c r="AN17" i="3"/>
  <c r="AN75" i="3"/>
  <c r="AK15" i="3"/>
  <c r="AK32" i="3"/>
  <c r="AK71" i="3"/>
  <c r="AK74" i="3"/>
  <c r="AO21" i="3"/>
  <c r="AN21" i="3"/>
  <c r="AM21" i="3"/>
  <c r="AL21" i="3"/>
  <c r="AK21" i="3"/>
  <c r="AO67" i="3"/>
  <c r="AN67" i="3"/>
  <c r="AM67" i="3"/>
  <c r="AL67" i="3"/>
  <c r="AK67" i="3"/>
  <c r="AO49" i="3"/>
  <c r="AM49" i="3"/>
  <c r="AL49" i="3"/>
  <c r="AK49" i="3"/>
  <c r="AN49" i="3"/>
  <c r="AM38" i="3"/>
  <c r="AL38" i="3"/>
  <c r="AK38" i="3"/>
  <c r="AO38" i="3"/>
  <c r="AN38" i="3"/>
  <c r="AO39" i="3"/>
  <c r="AN39" i="3"/>
  <c r="AM39" i="3"/>
  <c r="AL39" i="3"/>
  <c r="AK39" i="3"/>
  <c r="AN36" i="3"/>
  <c r="AM36" i="3"/>
  <c r="AL36" i="3"/>
  <c r="AK36" i="3"/>
  <c r="AO36" i="3"/>
  <c r="AO30" i="3"/>
  <c r="AN30" i="3"/>
  <c r="AL30" i="3"/>
  <c r="AM30" i="3"/>
  <c r="AK30" i="3"/>
  <c r="AO47" i="3"/>
  <c r="AM47" i="3"/>
  <c r="AL47" i="3"/>
  <c r="AK47" i="3"/>
  <c r="AN47" i="3"/>
  <c r="AO64" i="3"/>
  <c r="AN64" i="3"/>
  <c r="AM64" i="3"/>
  <c r="AL64" i="3"/>
  <c r="AK64" i="3"/>
  <c r="AN40" i="3"/>
  <c r="AM40" i="3"/>
  <c r="AL40" i="3"/>
  <c r="AK40" i="3"/>
  <c r="AO40" i="3"/>
  <c r="AK29" i="3"/>
  <c r="AM63" i="3"/>
  <c r="AK44" i="3"/>
  <c r="AM37" i="3"/>
  <c r="AM48" i="3"/>
  <c r="AN48" i="3"/>
  <c r="AO63" i="3"/>
  <c r="AO37" i="3"/>
  <c r="AO48" i="3"/>
  <c r="AK46" i="3"/>
  <c r="AL46" i="3"/>
  <c r="AK65" i="3"/>
  <c r="AM46" i="3"/>
  <c r="AL25" i="3"/>
  <c r="AM65" i="3"/>
  <c r="AO46" i="3"/>
  <c r="AM25" i="3"/>
  <c r="AL65" i="3"/>
  <c r="AN65" i="3"/>
  <c r="AN25" i="3"/>
  <c r="AK20" i="3"/>
  <c r="AK45" i="3"/>
  <c r="AK66" i="3"/>
  <c r="AK19" i="3"/>
  <c r="AL20" i="3"/>
  <c r="AM66" i="3"/>
  <c r="AN20" i="3"/>
  <c r="AN66" i="3"/>
  <c r="AN19" i="3"/>
  <c r="AO20" i="3"/>
  <c r="AK63" i="3"/>
  <c r="AO45" i="3"/>
  <c r="AK37" i="3"/>
  <c r="AO66" i="3"/>
  <c r="AK48" i="3"/>
  <c r="AL45" i="3"/>
  <c r="AM45" i="3"/>
  <c r="CC203" i="1"/>
  <c r="CC55" i="1"/>
  <c r="CC681" i="1"/>
  <c r="CC313" i="1"/>
  <c r="CC646" i="1"/>
  <c r="CC670" i="1"/>
  <c r="CC89" i="1"/>
  <c r="CC88" i="1"/>
  <c r="CC308" i="1"/>
  <c r="CC257" i="1"/>
  <c r="CC665" i="1"/>
  <c r="CC515" i="1"/>
  <c r="CC450" i="1"/>
  <c r="CC449" i="1"/>
  <c r="CC448" i="1"/>
  <c r="CC447" i="1"/>
  <c r="CC446" i="1"/>
  <c r="CC445" i="1"/>
  <c r="CC444" i="1"/>
  <c r="CC443" i="1"/>
  <c r="CC442" i="1"/>
  <c r="CC441" i="1"/>
  <c r="CC502" i="1"/>
  <c r="CC501" i="1"/>
  <c r="CC609" i="1"/>
  <c r="CC608" i="1"/>
  <c r="CC576" i="1"/>
  <c r="CC575" i="1"/>
  <c r="CC69" i="1"/>
  <c r="CC68" i="1"/>
  <c r="CC175" i="1"/>
  <c r="CC174" i="1"/>
  <c r="CC226" i="1"/>
  <c r="CC239" i="1"/>
  <c r="CC306" i="1"/>
  <c r="CC331" i="1"/>
  <c r="CC347" i="1"/>
  <c r="CC426" i="1"/>
  <c r="CC425" i="1"/>
  <c r="CC486" i="1"/>
  <c r="CC485" i="1"/>
  <c r="CC593" i="1"/>
  <c r="CC592" i="1"/>
  <c r="CC36" i="1"/>
  <c r="CC16" i="1"/>
  <c r="CC374" i="1"/>
  <c r="CC373" i="1"/>
  <c r="CC215" i="1"/>
  <c r="CC151" i="1"/>
  <c r="CC533" i="1"/>
  <c r="CC532" i="1"/>
  <c r="CC212" i="1"/>
  <c r="CC140" i="1"/>
  <c r="CC43" i="1"/>
  <c r="CC555" i="1"/>
  <c r="CC418" i="1"/>
  <c r="CC323" i="1"/>
  <c r="CC272" i="1"/>
  <c r="CC121" i="1"/>
  <c r="CC136" i="1"/>
  <c r="CC133" i="1"/>
  <c r="CC146" i="1"/>
  <c r="CC115" i="1"/>
  <c r="AF401" i="1"/>
  <c r="AG401" i="1"/>
  <c r="AD401" i="1" s="1"/>
  <c r="Y401" i="1" s="1"/>
  <c r="CC401" i="1"/>
  <c r="AF402" i="1"/>
  <c r="AG402" i="1"/>
  <c r="AD402" i="1" s="1"/>
  <c r="CC402" i="1"/>
  <c r="AF403" i="1"/>
  <c r="AG403" i="1"/>
  <c r="AD403" i="1" s="1"/>
  <c r="Y403" i="1" s="1"/>
  <c r="CC403" i="1"/>
  <c r="AF404" i="1"/>
  <c r="AG404" i="1"/>
  <c r="AD404" i="1" s="1"/>
  <c r="Y404" i="1" s="1"/>
  <c r="CC404" i="1"/>
  <c r="AF409" i="1"/>
  <c r="AG409" i="1"/>
  <c r="AD409" i="1" s="1"/>
  <c r="CC409" i="1"/>
  <c r="AF475" i="1"/>
  <c r="AG475" i="1"/>
  <c r="AD475" i="1" s="1"/>
  <c r="Y475" i="1" s="1"/>
  <c r="CC475" i="1"/>
  <c r="AF557" i="1"/>
  <c r="AG557" i="1"/>
  <c r="AD557" i="1" s="1"/>
  <c r="Y557" i="1" s="1"/>
  <c r="CC557" i="1"/>
  <c r="AF538" i="1"/>
  <c r="AG538" i="1"/>
  <c r="AD538" i="1" s="1"/>
  <c r="CC538" i="1"/>
  <c r="AF49" i="1"/>
  <c r="AG49" i="1"/>
  <c r="AD49" i="1" s="1"/>
  <c r="Y49" i="1" s="1"/>
  <c r="CC49" i="1"/>
  <c r="AF153" i="1"/>
  <c r="AG153" i="1"/>
  <c r="AD153" i="1" s="1"/>
  <c r="Y153" i="1" s="1"/>
  <c r="CC153" i="1"/>
  <c r="AF217" i="1"/>
  <c r="AG217" i="1"/>
  <c r="AD217" i="1" s="1"/>
  <c r="Y217" i="1" s="1"/>
  <c r="CC217" i="1"/>
  <c r="AF303" i="1"/>
  <c r="AG303" i="1"/>
  <c r="AD303" i="1" s="1"/>
  <c r="Y303" i="1" s="1"/>
  <c r="CC303" i="1"/>
  <c r="AF367" i="1"/>
  <c r="AG367" i="1"/>
  <c r="AD367" i="1" s="1"/>
  <c r="CC367" i="1"/>
  <c r="AF410" i="1"/>
  <c r="AG410" i="1"/>
  <c r="AD410" i="1" s="1"/>
  <c r="Y410" i="1" s="1"/>
  <c r="CC410" i="1"/>
  <c r="AF476" i="1"/>
  <c r="AG476" i="1"/>
  <c r="AD476" i="1" s="1"/>
  <c r="Y476" i="1" s="1"/>
  <c r="CC476" i="1"/>
  <c r="AF558" i="1"/>
  <c r="AG558" i="1"/>
  <c r="AD558" i="1" s="1"/>
  <c r="Y558" i="1" s="1"/>
  <c r="CC558" i="1"/>
  <c r="AF539" i="1"/>
  <c r="AG539" i="1"/>
  <c r="AD539" i="1" s="1"/>
  <c r="Y539" i="1" s="1"/>
  <c r="CC539" i="1"/>
  <c r="AF50" i="1"/>
  <c r="AG50" i="1"/>
  <c r="AD50" i="1" s="1"/>
  <c r="Y50" i="1" s="1"/>
  <c r="CC50" i="1"/>
  <c r="AF154" i="1"/>
  <c r="AG154" i="1"/>
  <c r="AD154" i="1" s="1"/>
  <c r="Y154" i="1" s="1"/>
  <c r="CC154" i="1"/>
  <c r="AF218" i="1"/>
  <c r="AG218" i="1"/>
  <c r="AD218" i="1" s="1"/>
  <c r="Y218" i="1" s="1"/>
  <c r="CC218" i="1"/>
  <c r="AF282" i="1"/>
  <c r="AG282" i="1"/>
  <c r="AD282" i="1" s="1"/>
  <c r="CC282" i="1"/>
  <c r="AF368" i="1"/>
  <c r="AG368" i="1"/>
  <c r="AD368" i="1" s="1"/>
  <c r="Y368" i="1" s="1"/>
  <c r="CC368" i="1"/>
  <c r="AF411" i="1"/>
  <c r="AG411" i="1"/>
  <c r="AD411" i="1" s="1"/>
  <c r="Y411" i="1" s="1"/>
  <c r="CC411" i="1"/>
  <c r="AF477" i="1"/>
  <c r="AG477" i="1"/>
  <c r="AD477" i="1" s="1"/>
  <c r="CC477" i="1"/>
  <c r="AF559" i="1"/>
  <c r="AG559" i="1"/>
  <c r="AD559" i="1" s="1"/>
  <c r="Y559" i="1" s="1"/>
  <c r="CC559" i="1"/>
  <c r="AF540" i="1"/>
  <c r="AG540" i="1"/>
  <c r="AD540" i="1" s="1"/>
  <c r="Y540" i="1" s="1"/>
  <c r="CC540" i="1"/>
  <c r="AF51" i="1"/>
  <c r="AG51" i="1"/>
  <c r="AD51" i="1" s="1"/>
  <c r="CC51" i="1"/>
  <c r="AF155" i="1"/>
  <c r="AG155" i="1"/>
  <c r="AD155" i="1" s="1"/>
  <c r="Y155" i="1" s="1"/>
  <c r="CC155" i="1"/>
  <c r="AF219" i="1"/>
  <c r="AG219" i="1"/>
  <c r="AD219" i="1" s="1"/>
  <c r="Y219" i="1" s="1"/>
  <c r="CC219" i="1"/>
  <c r="AF283" i="1"/>
  <c r="AG283" i="1"/>
  <c r="AD283" i="1" s="1"/>
  <c r="Y283" i="1" s="1"/>
  <c r="CC283" i="1"/>
  <c r="AF337" i="1"/>
  <c r="AG337" i="1"/>
  <c r="AD337" i="1" s="1"/>
  <c r="Y337" i="1" s="1"/>
  <c r="CC337" i="1"/>
  <c r="AF412" i="1"/>
  <c r="AG412" i="1"/>
  <c r="AD412" i="1" s="1"/>
  <c r="CC412" i="1"/>
  <c r="AF478" i="1"/>
  <c r="AG478" i="1"/>
  <c r="AD478" i="1" s="1"/>
  <c r="Y478" i="1" s="1"/>
  <c r="CC478" i="1"/>
  <c r="AF560" i="1"/>
  <c r="AG560" i="1"/>
  <c r="AD560" i="1" s="1"/>
  <c r="Y560" i="1" s="1"/>
  <c r="CC560" i="1"/>
  <c r="AF541" i="1"/>
  <c r="AG541" i="1"/>
  <c r="AD541" i="1" s="1"/>
  <c r="Y541" i="1" s="1"/>
  <c r="CC541" i="1"/>
  <c r="AF52" i="1"/>
  <c r="AG52" i="1"/>
  <c r="AD52" i="1" s="1"/>
  <c r="Y52" i="1" s="1"/>
  <c r="CC52" i="1"/>
  <c r="AF156" i="1"/>
  <c r="AG156" i="1"/>
  <c r="AD156" i="1" s="1"/>
  <c r="Y156" i="1" s="1"/>
  <c r="CC156" i="1"/>
  <c r="AF220" i="1"/>
  <c r="AG220" i="1"/>
  <c r="AD220" i="1" s="1"/>
  <c r="Y220" i="1" s="1"/>
  <c r="CC220" i="1"/>
  <c r="AF284" i="1"/>
  <c r="AG284" i="1"/>
  <c r="AD284" i="1" s="1"/>
  <c r="Y284" i="1" s="1"/>
  <c r="CC284" i="1"/>
  <c r="AF338" i="1"/>
  <c r="AG338" i="1"/>
  <c r="AD338" i="1" s="1"/>
  <c r="CC338" i="1"/>
  <c r="AF413" i="1"/>
  <c r="AG413" i="1"/>
  <c r="AD413" i="1" s="1"/>
  <c r="Y413" i="1" s="1"/>
  <c r="CC413" i="1"/>
  <c r="AF479" i="1"/>
  <c r="AG479" i="1"/>
  <c r="AD479" i="1" s="1"/>
  <c r="Y479" i="1" s="1"/>
  <c r="CC479" i="1"/>
  <c r="AF542" i="1"/>
  <c r="AG542" i="1"/>
  <c r="AD542" i="1" s="1"/>
  <c r="CC542" i="1"/>
  <c r="AF543" i="1"/>
  <c r="AG543" i="1"/>
  <c r="AD543" i="1" s="1"/>
  <c r="Y543" i="1" s="1"/>
  <c r="CC543" i="1"/>
  <c r="AF37" i="1"/>
  <c r="AG37" i="1"/>
  <c r="AD37" i="1" s="1"/>
  <c r="Y37" i="1" s="1"/>
  <c r="CC37" i="1"/>
  <c r="AF157" i="1"/>
  <c r="AG157" i="1"/>
  <c r="AD157" i="1" s="1"/>
  <c r="Y157" i="1" s="1"/>
  <c r="CC157" i="1"/>
  <c r="AF221" i="1"/>
  <c r="AG221" i="1"/>
  <c r="AD221" i="1" s="1"/>
  <c r="Y221" i="1" s="1"/>
  <c r="CC221" i="1"/>
  <c r="AF285" i="1"/>
  <c r="AG285" i="1"/>
  <c r="AD285" i="1" s="1"/>
  <c r="Y285" i="1" s="1"/>
  <c r="CC285" i="1"/>
  <c r="AF339" i="1"/>
  <c r="AG339" i="1"/>
  <c r="AD339" i="1" s="1"/>
  <c r="Y339" i="1" s="1"/>
  <c r="CC339" i="1"/>
  <c r="AF414" i="1"/>
  <c r="AG414" i="1"/>
  <c r="AD414" i="1" s="1"/>
  <c r="Y414" i="1" s="1"/>
  <c r="CC414" i="1"/>
  <c r="AF480" i="1"/>
  <c r="AG480" i="1"/>
  <c r="AD480" i="1" s="1"/>
  <c r="CC480" i="1"/>
  <c r="AF544" i="1"/>
  <c r="AG544" i="1"/>
  <c r="AD544" i="1" s="1"/>
  <c r="Y544" i="1" s="1"/>
  <c r="CC544" i="1"/>
  <c r="AF545" i="1"/>
  <c r="AG545" i="1"/>
  <c r="AD545" i="1" s="1"/>
  <c r="CC545" i="1"/>
  <c r="AF38" i="1"/>
  <c r="AG38" i="1"/>
  <c r="AD38" i="1" s="1"/>
  <c r="CC38" i="1"/>
  <c r="AF158" i="1"/>
  <c r="AG158" i="1"/>
  <c r="AD158" i="1" s="1"/>
  <c r="Y158" i="1" s="1"/>
  <c r="CC158" i="1"/>
  <c r="AF222" i="1"/>
  <c r="AG222" i="1"/>
  <c r="AD222" i="1" s="1"/>
  <c r="CC222" i="1"/>
  <c r="AF286" i="1"/>
  <c r="AG286" i="1"/>
  <c r="AD286" i="1" s="1"/>
  <c r="Y286" i="1" s="1"/>
  <c r="CC286" i="1"/>
  <c r="AF340" i="1"/>
  <c r="AG340" i="1"/>
  <c r="AD340" i="1" s="1"/>
  <c r="Y340" i="1" s="1"/>
  <c r="CC340" i="1"/>
  <c r="AF415" i="1"/>
  <c r="AG415" i="1"/>
  <c r="AD415" i="1" s="1"/>
  <c r="Y415" i="1" s="1"/>
  <c r="CC415" i="1"/>
  <c r="AF481" i="1"/>
  <c r="AG481" i="1"/>
  <c r="AD481" i="1" s="1"/>
  <c r="CC481" i="1"/>
  <c r="AF546" i="1"/>
  <c r="AG546" i="1"/>
  <c r="AD546" i="1" s="1"/>
  <c r="Y546" i="1" s="1"/>
  <c r="CC546" i="1"/>
  <c r="AF547" i="1"/>
  <c r="AG547" i="1"/>
  <c r="AD547" i="1" s="1"/>
  <c r="CC547" i="1"/>
  <c r="AF39" i="1"/>
  <c r="AG39" i="1"/>
  <c r="AD39" i="1" s="1"/>
  <c r="Y39" i="1" s="1"/>
  <c r="CC39" i="1"/>
  <c r="AF159" i="1"/>
  <c r="AG159" i="1"/>
  <c r="AD159" i="1" s="1"/>
  <c r="Y159" i="1" s="1"/>
  <c r="CC159" i="1"/>
  <c r="AF209" i="1"/>
  <c r="AG209" i="1"/>
  <c r="AD209" i="1" s="1"/>
  <c r="Y209" i="1" s="1"/>
  <c r="CC209" i="1"/>
  <c r="AF287" i="1"/>
  <c r="AG287" i="1"/>
  <c r="AD287" i="1" s="1"/>
  <c r="Y287" i="1" s="1"/>
  <c r="CC287" i="1"/>
  <c r="AF341" i="1"/>
  <c r="AG341" i="1"/>
  <c r="AD341" i="1" s="1"/>
  <c r="Y341" i="1" s="1"/>
  <c r="CC341" i="1"/>
  <c r="AF416" i="1"/>
  <c r="AG416" i="1"/>
  <c r="AD416" i="1" s="1"/>
  <c r="CC416" i="1"/>
  <c r="AF482" i="1"/>
  <c r="AG482" i="1"/>
  <c r="AD482" i="1" s="1"/>
  <c r="Y482" i="1" s="1"/>
  <c r="CC482" i="1"/>
  <c r="AF548" i="1"/>
  <c r="AG548" i="1"/>
  <c r="AD548" i="1" s="1"/>
  <c r="CC548" i="1"/>
  <c r="AF549" i="1"/>
  <c r="AG549" i="1"/>
  <c r="AD549" i="1" s="1"/>
  <c r="Y549" i="1" s="1"/>
  <c r="CC549" i="1"/>
  <c r="AF40" i="1"/>
  <c r="AG40" i="1"/>
  <c r="AD40" i="1" s="1"/>
  <c r="Y40" i="1" s="1"/>
  <c r="CC40" i="1"/>
  <c r="AF160" i="1"/>
  <c r="AG160" i="1"/>
  <c r="AD160" i="1" s="1"/>
  <c r="Y160" i="1" s="1"/>
  <c r="CC160" i="1"/>
  <c r="AF223" i="1"/>
  <c r="AG223" i="1"/>
  <c r="AD223" i="1" s="1"/>
  <c r="Y223" i="1" s="1"/>
  <c r="CC223" i="1"/>
  <c r="AF288" i="1"/>
  <c r="AG288" i="1"/>
  <c r="AD288" i="1" s="1"/>
  <c r="CC288" i="1"/>
  <c r="AF342" i="1"/>
  <c r="AG342" i="1"/>
  <c r="AD342" i="1" s="1"/>
  <c r="CC342" i="1"/>
  <c r="AF377" i="1"/>
  <c r="AG377" i="1"/>
  <c r="AD377" i="1" s="1"/>
  <c r="Y377" i="1" s="1"/>
  <c r="CC377" i="1"/>
  <c r="AF370" i="1"/>
  <c r="AG370" i="1"/>
  <c r="AD370" i="1" s="1"/>
  <c r="CC370" i="1"/>
  <c r="AF388" i="1"/>
  <c r="AG388" i="1"/>
  <c r="AD388" i="1" s="1"/>
  <c r="Y388" i="1" s="1"/>
  <c r="CC388" i="1"/>
  <c r="AF383" i="1"/>
  <c r="AG383" i="1"/>
  <c r="AD383" i="1" s="1"/>
  <c r="Y383" i="1" s="1"/>
  <c r="CC383" i="1"/>
  <c r="AF12" i="1"/>
  <c r="AG12" i="1"/>
  <c r="AD12" i="1" s="1"/>
  <c r="Y12" i="1" s="1"/>
  <c r="CC12" i="1"/>
  <c r="AF6" i="1"/>
  <c r="AG6" i="1"/>
  <c r="AD6" i="1" s="1"/>
  <c r="Y6" i="1" s="1"/>
  <c r="CC6" i="1"/>
  <c r="AF378" i="1"/>
  <c r="AG378" i="1"/>
  <c r="AD378" i="1" s="1"/>
  <c r="Y378" i="1" s="1"/>
  <c r="CC378" i="1"/>
  <c r="AF371" i="1"/>
  <c r="AG371" i="1"/>
  <c r="AD371" i="1" s="1"/>
  <c r="CC371" i="1"/>
  <c r="AF389" i="1"/>
  <c r="AG389" i="1"/>
  <c r="AD389" i="1" s="1"/>
  <c r="Y389" i="1" s="1"/>
  <c r="CC389" i="1"/>
  <c r="AF384" i="1"/>
  <c r="AG384" i="1"/>
  <c r="AD384" i="1" s="1"/>
  <c r="CC384" i="1"/>
  <c r="AF13" i="1"/>
  <c r="AG13" i="1"/>
  <c r="AD13" i="1" s="1"/>
  <c r="Y13" i="1" s="1"/>
  <c r="CC13" i="1"/>
  <c r="AF7" i="1"/>
  <c r="AG7" i="1"/>
  <c r="AD7" i="1" s="1"/>
  <c r="Y7" i="1" s="1"/>
  <c r="CC7" i="1"/>
  <c r="AF379" i="1"/>
  <c r="AG379" i="1"/>
  <c r="AD379" i="1" s="1"/>
  <c r="Y379" i="1" s="1"/>
  <c r="CC379" i="1"/>
  <c r="AF369" i="1"/>
  <c r="AG369" i="1"/>
  <c r="AD369" i="1" s="1"/>
  <c r="Y369" i="1" s="1"/>
  <c r="CC369" i="1"/>
  <c r="AF390" i="1"/>
  <c r="AG390" i="1"/>
  <c r="AD390" i="1" s="1"/>
  <c r="Y390" i="1" s="1"/>
  <c r="CC390" i="1"/>
  <c r="AF385" i="1"/>
  <c r="AG385" i="1"/>
  <c r="AD385" i="1" s="1"/>
  <c r="Y385" i="1" s="1"/>
  <c r="CC385" i="1"/>
  <c r="AF14" i="1"/>
  <c r="AG14" i="1"/>
  <c r="AD14" i="1" s="1"/>
  <c r="Y14" i="1" s="1"/>
  <c r="CC14" i="1"/>
  <c r="AF8" i="1"/>
  <c r="AG8" i="1"/>
  <c r="AD8" i="1" s="1"/>
  <c r="Y8" i="1" s="1"/>
  <c r="CC8" i="1"/>
  <c r="AF380" i="1"/>
  <c r="AG380" i="1"/>
  <c r="AD380" i="1" s="1"/>
  <c r="Y380" i="1" s="1"/>
  <c r="CC380" i="1"/>
  <c r="AF372" i="1"/>
  <c r="AG372" i="1"/>
  <c r="AD372" i="1" s="1"/>
  <c r="Y372" i="1" s="1"/>
  <c r="CC372" i="1"/>
  <c r="AF391" i="1"/>
  <c r="AG391" i="1"/>
  <c r="AD391" i="1" s="1"/>
  <c r="Y391" i="1" s="1"/>
  <c r="CC391" i="1"/>
  <c r="AF386" i="1"/>
  <c r="AG386" i="1"/>
  <c r="AD386" i="1" s="1"/>
  <c r="Y386" i="1" s="1"/>
  <c r="CC386" i="1"/>
  <c r="AF15" i="1"/>
  <c r="AG15" i="1"/>
  <c r="AD15" i="1" s="1"/>
  <c r="Y15" i="1" s="1"/>
  <c r="CC15" i="1"/>
  <c r="AF9" i="1"/>
  <c r="AG9" i="1"/>
  <c r="AD9" i="1" s="1"/>
  <c r="Y9" i="1" s="1"/>
  <c r="CC9" i="1"/>
  <c r="CC145" i="1"/>
  <c r="AF145" i="1"/>
  <c r="AG145" i="1"/>
  <c r="AD145" i="1" s="1"/>
  <c r="Y145" i="1" s="1"/>
  <c r="AF129" i="1"/>
  <c r="AG129" i="1"/>
  <c r="AD129" i="1" s="1"/>
  <c r="Y129" i="1" s="1"/>
  <c r="CC129" i="1"/>
  <c r="CC130" i="1"/>
  <c r="AF130" i="1"/>
  <c r="AG130" i="1"/>
  <c r="AD130" i="1" s="1"/>
  <c r="Y130" i="1" s="1"/>
  <c r="AF115" i="1"/>
  <c r="AG115" i="1"/>
  <c r="AD115" i="1" s="1"/>
  <c r="AF131" i="1"/>
  <c r="AG131" i="1"/>
  <c r="AD131" i="1" s="1"/>
  <c r="CC131" i="1"/>
  <c r="AF116" i="1"/>
  <c r="AG116" i="1"/>
  <c r="AD116" i="1" s="1"/>
  <c r="Y116" i="1" s="1"/>
  <c r="CC116" i="1"/>
  <c r="CC132" i="1"/>
  <c r="AF132" i="1"/>
  <c r="AG132" i="1"/>
  <c r="AD132" i="1" s="1"/>
  <c r="AF117" i="1"/>
  <c r="AG117" i="1"/>
  <c r="AD117" i="1" s="1"/>
  <c r="Y117" i="1" s="1"/>
  <c r="CC117" i="1"/>
  <c r="AF146" i="1"/>
  <c r="AG146" i="1"/>
  <c r="AD146" i="1" s="1"/>
  <c r="AF133" i="1"/>
  <c r="AG133" i="1"/>
  <c r="AD133" i="1" s="1"/>
  <c r="AF134" i="1"/>
  <c r="AG134" i="1"/>
  <c r="AD134" i="1" s="1"/>
  <c r="Y134" i="1" s="1"/>
  <c r="CC134" i="1"/>
  <c r="CC118" i="1"/>
  <c r="AF118" i="1"/>
  <c r="AG118" i="1"/>
  <c r="AD118" i="1" s="1"/>
  <c r="Y118" i="1" s="1"/>
  <c r="CC135" i="1"/>
  <c r="AF135" i="1"/>
  <c r="AG135" i="1"/>
  <c r="AD135" i="1" s="1"/>
  <c r="Y135" i="1" s="1"/>
  <c r="AF119" i="1"/>
  <c r="AG119" i="1"/>
  <c r="AD119" i="1" s="1"/>
  <c r="CC119" i="1"/>
  <c r="AF136" i="1"/>
  <c r="AG136" i="1"/>
  <c r="AD136" i="1" s="1"/>
  <c r="CC120" i="1"/>
  <c r="AF120" i="1"/>
  <c r="AG120" i="1"/>
  <c r="AD120" i="1" s="1"/>
  <c r="Y120" i="1" s="1"/>
  <c r="AF405" i="1"/>
  <c r="AG405" i="1"/>
  <c r="AD405" i="1" s="1"/>
  <c r="CC405" i="1"/>
  <c r="AF467" i="1"/>
  <c r="AG467" i="1"/>
  <c r="AD467" i="1" s="1"/>
  <c r="Y467" i="1" s="1"/>
  <c r="CC467" i="1"/>
  <c r="CC550" i="1"/>
  <c r="AF550" i="1"/>
  <c r="AG550" i="1"/>
  <c r="AD550" i="1" s="1"/>
  <c r="Y550" i="1" s="1"/>
  <c r="CC551" i="1"/>
  <c r="AF551" i="1"/>
  <c r="AG551" i="1"/>
  <c r="AD551" i="1" s="1"/>
  <c r="AF41" i="1"/>
  <c r="AG41" i="1"/>
  <c r="AD41" i="1" s="1"/>
  <c r="Y41" i="1" s="1"/>
  <c r="CC41" i="1"/>
  <c r="CC137" i="1"/>
  <c r="AF137" i="1"/>
  <c r="AG137" i="1"/>
  <c r="AD137" i="1" s="1"/>
  <c r="Y137" i="1" s="1"/>
  <c r="AF121" i="1"/>
  <c r="AG121" i="1"/>
  <c r="AD121" i="1" s="1"/>
  <c r="Y121" i="1" s="1"/>
  <c r="AF161" i="1"/>
  <c r="AG161" i="1"/>
  <c r="AD161" i="1" s="1"/>
  <c r="Y161" i="1" s="1"/>
  <c r="CC161" i="1"/>
  <c r="AF224" i="1"/>
  <c r="AG224" i="1"/>
  <c r="AD224" i="1" s="1"/>
  <c r="Y224" i="1" s="1"/>
  <c r="CC224" i="1"/>
  <c r="AF272" i="1"/>
  <c r="AG272" i="1"/>
  <c r="AD272" i="1" s="1"/>
  <c r="Y272" i="1" s="1"/>
  <c r="AF323" i="1"/>
  <c r="AG323" i="1"/>
  <c r="AD323" i="1" s="1"/>
  <c r="CC417" i="1"/>
  <c r="AF417" i="1"/>
  <c r="AG417" i="1"/>
  <c r="AD417" i="1" s="1"/>
  <c r="Y417" i="1" s="1"/>
  <c r="CC468" i="1"/>
  <c r="AF468" i="1"/>
  <c r="AG468" i="1"/>
  <c r="AD468" i="1" s="1"/>
  <c r="Y468" i="1" s="1"/>
  <c r="AF552" i="1"/>
  <c r="AG552" i="1"/>
  <c r="AD552" i="1" s="1"/>
  <c r="CC552" i="1"/>
  <c r="AF553" i="1"/>
  <c r="AG553" i="1"/>
  <c r="AD553" i="1" s="1"/>
  <c r="CC553" i="1"/>
  <c r="CC42" i="1"/>
  <c r="AF42" i="1"/>
  <c r="AG42" i="1"/>
  <c r="AD42" i="1" s="1"/>
  <c r="Y42" i="1" s="1"/>
  <c r="AF138" i="1"/>
  <c r="AG138" i="1"/>
  <c r="AD138" i="1" s="1"/>
  <c r="CC138" i="1"/>
  <c r="AF122" i="1"/>
  <c r="AG122" i="1"/>
  <c r="AD122" i="1" s="1"/>
  <c r="Y122" i="1" s="1"/>
  <c r="CC122" i="1"/>
  <c r="CC162" i="1"/>
  <c r="AF162" i="1"/>
  <c r="AG162" i="1"/>
  <c r="AD162" i="1" s="1"/>
  <c r="Y162" i="1" s="1"/>
  <c r="CC210" i="1"/>
  <c r="AF210" i="1"/>
  <c r="AG210" i="1"/>
  <c r="AD210" i="1" s="1"/>
  <c r="Y210" i="1" s="1"/>
  <c r="AF273" i="1"/>
  <c r="AG273" i="1"/>
  <c r="AD273" i="1" s="1"/>
  <c r="Y273" i="1" s="1"/>
  <c r="CC273" i="1"/>
  <c r="CC324" i="1"/>
  <c r="AF324" i="1"/>
  <c r="AG324" i="1"/>
  <c r="AD324" i="1" s="1"/>
  <c r="AF418" i="1"/>
  <c r="AG418" i="1"/>
  <c r="AD418" i="1" s="1"/>
  <c r="Y418" i="1" s="1"/>
  <c r="AF469" i="1"/>
  <c r="AG469" i="1"/>
  <c r="AD469" i="1" s="1"/>
  <c r="CC469" i="1"/>
  <c r="AF554" i="1"/>
  <c r="AG554" i="1"/>
  <c r="AD554" i="1" s="1"/>
  <c r="CC554" i="1"/>
  <c r="AF555" i="1"/>
  <c r="AG555" i="1"/>
  <c r="AD555" i="1" s="1"/>
  <c r="Y555" i="1" s="1"/>
  <c r="AF43" i="1"/>
  <c r="AG43" i="1"/>
  <c r="AD43" i="1" s="1"/>
  <c r="Y43" i="1" s="1"/>
  <c r="AF139" i="1"/>
  <c r="AG139" i="1"/>
  <c r="AD139" i="1" s="1"/>
  <c r="CC139" i="1"/>
  <c r="AF123" i="1"/>
  <c r="AG123" i="1"/>
  <c r="AD123" i="1" s="1"/>
  <c r="Y123" i="1" s="1"/>
  <c r="CC123" i="1"/>
  <c r="AF147" i="1"/>
  <c r="AG147" i="1"/>
  <c r="AD147" i="1" s="1"/>
  <c r="CC147" i="1"/>
  <c r="AF211" i="1"/>
  <c r="AG211" i="1"/>
  <c r="AD211" i="1" s="1"/>
  <c r="CC211" i="1"/>
  <c r="CC274" i="1"/>
  <c r="AF274" i="1"/>
  <c r="AG274" i="1"/>
  <c r="AD274" i="1" s="1"/>
  <c r="Y274" i="1" s="1"/>
  <c r="AF325" i="1"/>
  <c r="AG325" i="1"/>
  <c r="AD325" i="1" s="1"/>
  <c r="CC325" i="1"/>
  <c r="AF419" i="1"/>
  <c r="AG419" i="1"/>
  <c r="AD419" i="1" s="1"/>
  <c r="Y419" i="1" s="1"/>
  <c r="CC419" i="1"/>
  <c r="CC470" i="1"/>
  <c r="AF470" i="1"/>
  <c r="AG470" i="1"/>
  <c r="AD470" i="1" s="1"/>
  <c r="CC556" i="1"/>
  <c r="AF556" i="1"/>
  <c r="AG556" i="1"/>
  <c r="AD556" i="1" s="1"/>
  <c r="Y556" i="1" s="1"/>
  <c r="AF529" i="1"/>
  <c r="AG529" i="1"/>
  <c r="AD529" i="1" s="1"/>
  <c r="Y529" i="1" s="1"/>
  <c r="CC529" i="1"/>
  <c r="CC44" i="1"/>
  <c r="AF44" i="1"/>
  <c r="AG44" i="1"/>
  <c r="AD44" i="1" s="1"/>
  <c r="AF140" i="1"/>
  <c r="AG140" i="1"/>
  <c r="AD140" i="1" s="1"/>
  <c r="Y140" i="1" s="1"/>
  <c r="AF124" i="1"/>
  <c r="AG124" i="1"/>
  <c r="AD124" i="1" s="1"/>
  <c r="CC124" i="1"/>
  <c r="AF148" i="1"/>
  <c r="AG148" i="1"/>
  <c r="AD148" i="1" s="1"/>
  <c r="Y148" i="1" s="1"/>
  <c r="CC148" i="1"/>
  <c r="AF212" i="1"/>
  <c r="AG212" i="1"/>
  <c r="AD212" i="1" s="1"/>
  <c r="CC275" i="1"/>
  <c r="AF275" i="1"/>
  <c r="AG275" i="1"/>
  <c r="AD275" i="1" s="1"/>
  <c r="Y275" i="1" s="1"/>
  <c r="AF326" i="1"/>
  <c r="AG326" i="1"/>
  <c r="AD326" i="1" s="1"/>
  <c r="CC326" i="1"/>
  <c r="CC420" i="1"/>
  <c r="AF420" i="1"/>
  <c r="AG420" i="1"/>
  <c r="AD420" i="1" s="1"/>
  <c r="AF471" i="1"/>
  <c r="AG471" i="1"/>
  <c r="AD471" i="1" s="1"/>
  <c r="CC471" i="1"/>
  <c r="CC530" i="1"/>
  <c r="AF530" i="1"/>
  <c r="AG530" i="1"/>
  <c r="AD530" i="1" s="1"/>
  <c r="CC531" i="1"/>
  <c r="AF531" i="1"/>
  <c r="AG531" i="1"/>
  <c r="AD531" i="1" s="1"/>
  <c r="AF45" i="1"/>
  <c r="AG45" i="1"/>
  <c r="AD45" i="1" s="1"/>
  <c r="Y45" i="1" s="1"/>
  <c r="CC45" i="1"/>
  <c r="AF141" i="1"/>
  <c r="AG141" i="1"/>
  <c r="AD141" i="1" s="1"/>
  <c r="CC141" i="1"/>
  <c r="CC125" i="1"/>
  <c r="AF125" i="1"/>
  <c r="AG125" i="1"/>
  <c r="AD125" i="1" s="1"/>
  <c r="Y125" i="1" s="1"/>
  <c r="CC149" i="1"/>
  <c r="AF149" i="1"/>
  <c r="AG149" i="1"/>
  <c r="AD149" i="1" s="1"/>
  <c r="AF213" i="1"/>
  <c r="AG213" i="1"/>
  <c r="AD213" i="1" s="1"/>
  <c r="Y213" i="1" s="1"/>
  <c r="CC213" i="1"/>
  <c r="AF276" i="1"/>
  <c r="AG276" i="1"/>
  <c r="AD276" i="1" s="1"/>
  <c r="CC276" i="1"/>
  <c r="CC327" i="1"/>
  <c r="AF327" i="1"/>
  <c r="AG327" i="1"/>
  <c r="AD327" i="1" s="1"/>
  <c r="Y327" i="1" s="1"/>
  <c r="AF406" i="1"/>
  <c r="AG406" i="1"/>
  <c r="AD406" i="1" s="1"/>
  <c r="CC406" i="1"/>
  <c r="AF472" i="1"/>
  <c r="AG472" i="1"/>
  <c r="AD472" i="1" s="1"/>
  <c r="Y472" i="1" s="1"/>
  <c r="CC472" i="1"/>
  <c r="AF532" i="1"/>
  <c r="AG532" i="1"/>
  <c r="AD532" i="1" s="1"/>
  <c r="Y532" i="1" s="1"/>
  <c r="AF533" i="1"/>
  <c r="AG533" i="1"/>
  <c r="AD533" i="1" s="1"/>
  <c r="CC46" i="1"/>
  <c r="AF46" i="1"/>
  <c r="AG46" i="1"/>
  <c r="AD46" i="1" s="1"/>
  <c r="AF142" i="1"/>
  <c r="AG142" i="1"/>
  <c r="AD142" i="1" s="1"/>
  <c r="CC142" i="1"/>
  <c r="AF126" i="1"/>
  <c r="AG126" i="1"/>
  <c r="AD126" i="1" s="1"/>
  <c r="Y126" i="1" s="1"/>
  <c r="CC126" i="1"/>
  <c r="AF150" i="1"/>
  <c r="AG150" i="1"/>
  <c r="AD150" i="1" s="1"/>
  <c r="Y150" i="1" s="1"/>
  <c r="CC150" i="1"/>
  <c r="AF214" i="1"/>
  <c r="AG214" i="1"/>
  <c r="AD214" i="1" s="1"/>
  <c r="CC214" i="1"/>
  <c r="CC277" i="1"/>
  <c r="AF277" i="1"/>
  <c r="AG277" i="1"/>
  <c r="AD277" i="1" s="1"/>
  <c r="AF328" i="1"/>
  <c r="AG328" i="1"/>
  <c r="AD328" i="1" s="1"/>
  <c r="CC328" i="1"/>
  <c r="CC407" i="1"/>
  <c r="AF407" i="1"/>
  <c r="AG407" i="1"/>
  <c r="AD407" i="1" s="1"/>
  <c r="Y407" i="1" s="1"/>
  <c r="CC473" i="1"/>
  <c r="AF473" i="1"/>
  <c r="AG473" i="1"/>
  <c r="AD473" i="1" s="1"/>
  <c r="AF534" i="1"/>
  <c r="AG534" i="1"/>
  <c r="AD534" i="1" s="1"/>
  <c r="Y534" i="1" s="1"/>
  <c r="CC534" i="1"/>
  <c r="CC535" i="1"/>
  <c r="AF535" i="1"/>
  <c r="AG535" i="1"/>
  <c r="AD535" i="1" s="1"/>
  <c r="Y535" i="1" s="1"/>
  <c r="CC47" i="1"/>
  <c r="AF47" i="1"/>
  <c r="AG47" i="1"/>
  <c r="AD47" i="1" s="1"/>
  <c r="CC143" i="1"/>
  <c r="AF143" i="1"/>
  <c r="AG143" i="1"/>
  <c r="AD143" i="1" s="1"/>
  <c r="AF127" i="1"/>
  <c r="AG127" i="1"/>
  <c r="AD127" i="1" s="1"/>
  <c r="Y127" i="1" s="1"/>
  <c r="CC127" i="1"/>
  <c r="AF151" i="1"/>
  <c r="AG151" i="1"/>
  <c r="AD151" i="1" s="1"/>
  <c r="AF215" i="1"/>
  <c r="AG215" i="1"/>
  <c r="AD215" i="1" s="1"/>
  <c r="Y215" i="1" s="1"/>
  <c r="AF278" i="1"/>
  <c r="AG278" i="1"/>
  <c r="AD278" i="1" s="1"/>
  <c r="Y278" i="1" s="1"/>
  <c r="CC278" i="1"/>
  <c r="CC329" i="1"/>
  <c r="AF329" i="1"/>
  <c r="AG329" i="1"/>
  <c r="AD329" i="1" s="1"/>
  <c r="Y329" i="1" s="1"/>
  <c r="CC408" i="1"/>
  <c r="AF408" i="1"/>
  <c r="AG408" i="1"/>
  <c r="AD408" i="1" s="1"/>
  <c r="AF474" i="1"/>
  <c r="AG474" i="1"/>
  <c r="AD474" i="1" s="1"/>
  <c r="Y474" i="1" s="1"/>
  <c r="CC474" i="1"/>
  <c r="CC536" i="1"/>
  <c r="AF536" i="1"/>
  <c r="AG536" i="1"/>
  <c r="AD536" i="1" s="1"/>
  <c r="AF537" i="1"/>
  <c r="AG537" i="1"/>
  <c r="AD537" i="1" s="1"/>
  <c r="Y537" i="1" s="1"/>
  <c r="CC537" i="1"/>
  <c r="AF48" i="1"/>
  <c r="AG48" i="1"/>
  <c r="AD48" i="1" s="1"/>
  <c r="CC48" i="1"/>
  <c r="CC144" i="1"/>
  <c r="AF144" i="1"/>
  <c r="AG144" i="1"/>
  <c r="AD144" i="1" s="1"/>
  <c r="AF128" i="1"/>
  <c r="AG128" i="1"/>
  <c r="AD128" i="1" s="1"/>
  <c r="Y128" i="1" s="1"/>
  <c r="CC128" i="1"/>
  <c r="AF152" i="1"/>
  <c r="AG152" i="1"/>
  <c r="AD152" i="1" s="1"/>
  <c r="Y152" i="1" s="1"/>
  <c r="CC152" i="1"/>
  <c r="CC216" i="1"/>
  <c r="AF216" i="1"/>
  <c r="AG216" i="1"/>
  <c r="AD216" i="1" s="1"/>
  <c r="AF279" i="1"/>
  <c r="AG279" i="1"/>
  <c r="AD279" i="1" s="1"/>
  <c r="CC279" i="1"/>
  <c r="CC330" i="1"/>
  <c r="AF330" i="1"/>
  <c r="AG330" i="1"/>
  <c r="AD330" i="1" s="1"/>
  <c r="CC271" i="1"/>
  <c r="AF271" i="1"/>
  <c r="AG271" i="1"/>
  <c r="AD271" i="1" s="1"/>
  <c r="AF373" i="1"/>
  <c r="AG373" i="1"/>
  <c r="AD373" i="1" s="1"/>
  <c r="Y373" i="1" s="1"/>
  <c r="AF374" i="1"/>
  <c r="AG374" i="1"/>
  <c r="AD374" i="1" s="1"/>
  <c r="Y374" i="1" s="1"/>
  <c r="AF392" i="1"/>
  <c r="AG392" i="1"/>
  <c r="AD392" i="1" s="1"/>
  <c r="Y392" i="1" s="1"/>
  <c r="CC392" i="1"/>
  <c r="CC381" i="1"/>
  <c r="AF381" i="1"/>
  <c r="AG381" i="1"/>
  <c r="AD381" i="1" s="1"/>
  <c r="AF10" i="1"/>
  <c r="AG10" i="1"/>
  <c r="AD10" i="1" s="1"/>
  <c r="CC10" i="1"/>
  <c r="CC4" i="1"/>
  <c r="AF4" i="1"/>
  <c r="AG4" i="1"/>
  <c r="AD4" i="1" s="1"/>
  <c r="Y4" i="1" s="1"/>
  <c r="CC375" i="1"/>
  <c r="AF375" i="1"/>
  <c r="AG375" i="1"/>
  <c r="AD375" i="1" s="1"/>
  <c r="Y375" i="1" s="1"/>
  <c r="AF376" i="1"/>
  <c r="AG376" i="1"/>
  <c r="AD376" i="1" s="1"/>
  <c r="Y376" i="1" s="1"/>
  <c r="CC376" i="1"/>
  <c r="AF387" i="1"/>
  <c r="AG387" i="1"/>
  <c r="AD387" i="1" s="1"/>
  <c r="CC387" i="1"/>
  <c r="CC382" i="1"/>
  <c r="AF382" i="1"/>
  <c r="AG382" i="1"/>
  <c r="AD382" i="1" s="1"/>
  <c r="AF11" i="1"/>
  <c r="AG11" i="1"/>
  <c r="AD11" i="1" s="1"/>
  <c r="Y11" i="1" s="1"/>
  <c r="CC11" i="1"/>
  <c r="CC5" i="1"/>
  <c r="AF5" i="1"/>
  <c r="AG5" i="1"/>
  <c r="AD5" i="1" s="1"/>
  <c r="CC23" i="1"/>
  <c r="AF23" i="1"/>
  <c r="AG23" i="1"/>
  <c r="AD23" i="1" s="1"/>
  <c r="AF22" i="1"/>
  <c r="AG22" i="1"/>
  <c r="AD22" i="1" s="1"/>
  <c r="Y22" i="1" s="1"/>
  <c r="CC22" i="1"/>
  <c r="CC27" i="1"/>
  <c r="AF27" i="1"/>
  <c r="AG27" i="1"/>
  <c r="AD27" i="1" s="1"/>
  <c r="Y27" i="1" s="1"/>
  <c r="AF25" i="1"/>
  <c r="AG25" i="1"/>
  <c r="AD25" i="1" s="1"/>
  <c r="CC25" i="1"/>
  <c r="CC31" i="1"/>
  <c r="AF31" i="1"/>
  <c r="AG31" i="1"/>
  <c r="AD31" i="1" s="1"/>
  <c r="Y31" i="1" s="1"/>
  <c r="CC28" i="1"/>
  <c r="AF28" i="1"/>
  <c r="AG28" i="1"/>
  <c r="AD28" i="1" s="1"/>
  <c r="AF35" i="1"/>
  <c r="AG35" i="1"/>
  <c r="AD35" i="1" s="1"/>
  <c r="Y35" i="1" s="1"/>
  <c r="CC35" i="1"/>
  <c r="CC33" i="1"/>
  <c r="AF33" i="1"/>
  <c r="AG33" i="1"/>
  <c r="AD33" i="1" s="1"/>
  <c r="CC21" i="1"/>
  <c r="AF21" i="1"/>
  <c r="AG21" i="1"/>
  <c r="AD21" i="1" s="1"/>
  <c r="Y21" i="1" s="1"/>
  <c r="AF26" i="1"/>
  <c r="AG26" i="1"/>
  <c r="AD26" i="1" s="1"/>
  <c r="CC26" i="1"/>
  <c r="AF24" i="1"/>
  <c r="AG24" i="1"/>
  <c r="AD24" i="1" s="1"/>
  <c r="CC24" i="1"/>
  <c r="CC30" i="1"/>
  <c r="AF30" i="1"/>
  <c r="AG30" i="1"/>
  <c r="AD30" i="1" s="1"/>
  <c r="Y30" i="1" s="1"/>
  <c r="AF29" i="1"/>
  <c r="AG29" i="1"/>
  <c r="AD29" i="1" s="1"/>
  <c r="Y29" i="1" s="1"/>
  <c r="CC29" i="1"/>
  <c r="AF34" i="1"/>
  <c r="AG34" i="1"/>
  <c r="AD34" i="1" s="1"/>
  <c r="CC34" i="1"/>
  <c r="CC32" i="1"/>
  <c r="AF32" i="1"/>
  <c r="AG32" i="1"/>
  <c r="AD32" i="1" s="1"/>
  <c r="AF16" i="1"/>
  <c r="AG16" i="1"/>
  <c r="AD16" i="1" s="1"/>
  <c r="Y16" i="1" s="1"/>
  <c r="AF36" i="1"/>
  <c r="AG36" i="1"/>
  <c r="AD36" i="1" s="1"/>
  <c r="Y36" i="1" s="1"/>
  <c r="CC20" i="1"/>
  <c r="AF20" i="1"/>
  <c r="AG20" i="1"/>
  <c r="AD20" i="1" s="1"/>
  <c r="Y20" i="1" s="1"/>
  <c r="CC18" i="1"/>
  <c r="AF18" i="1"/>
  <c r="AG18" i="1"/>
  <c r="AD18" i="1" s="1"/>
  <c r="Y18" i="1" s="1"/>
  <c r="CC19" i="1"/>
  <c r="AF19" i="1"/>
  <c r="AG19" i="1"/>
  <c r="AD19" i="1" s="1"/>
  <c r="Y19" i="1" s="1"/>
  <c r="AF17" i="1"/>
  <c r="AG17" i="1"/>
  <c r="AD17" i="1" s="1"/>
  <c r="CC17" i="1"/>
  <c r="CC421" i="1"/>
  <c r="AF421" i="1"/>
  <c r="AG421" i="1"/>
  <c r="AD421" i="1" s="1"/>
  <c r="Y421" i="1" s="1"/>
  <c r="AF422" i="1"/>
  <c r="AG422" i="1"/>
  <c r="AD422" i="1" s="1"/>
  <c r="Y422" i="1" s="1"/>
  <c r="CC422" i="1"/>
  <c r="AF483" i="1"/>
  <c r="AG483" i="1"/>
  <c r="AD483" i="1" s="1"/>
  <c r="CC483" i="1"/>
  <c r="CC484" i="1"/>
  <c r="AF484" i="1"/>
  <c r="AG484" i="1"/>
  <c r="AD484" i="1" s="1"/>
  <c r="Y484" i="1" s="1"/>
  <c r="AF592" i="1"/>
  <c r="AG592" i="1"/>
  <c r="AD592" i="1" s="1"/>
  <c r="AF593" i="1"/>
  <c r="AG593" i="1"/>
  <c r="AD593" i="1" s="1"/>
  <c r="Y593" i="1" s="1"/>
  <c r="AF561" i="1"/>
  <c r="AG561" i="1"/>
  <c r="AD561" i="1" s="1"/>
  <c r="Y561" i="1" s="1"/>
  <c r="CC561" i="1"/>
  <c r="CC562" i="1"/>
  <c r="AF562" i="1"/>
  <c r="AG562" i="1"/>
  <c r="AD562" i="1" s="1"/>
  <c r="AF56" i="1"/>
  <c r="AG56" i="1"/>
  <c r="AD56" i="1" s="1"/>
  <c r="Y56" i="1" s="1"/>
  <c r="CC56" i="1"/>
  <c r="CC57" i="1"/>
  <c r="AF57" i="1"/>
  <c r="AG57" i="1"/>
  <c r="AD57" i="1" s="1"/>
  <c r="CC164" i="1"/>
  <c r="AF164" i="1"/>
  <c r="AG164" i="1"/>
  <c r="AD164" i="1" s="1"/>
  <c r="Y164" i="1" s="1"/>
  <c r="CC165" i="1"/>
  <c r="AF165" i="1"/>
  <c r="AG165" i="1"/>
  <c r="AD165" i="1" s="1"/>
  <c r="Y165" i="1" s="1"/>
  <c r="CC232" i="1"/>
  <c r="AF232" i="1"/>
  <c r="AG232" i="1"/>
  <c r="AD232" i="1" s="1"/>
  <c r="CC233" i="1"/>
  <c r="AF233" i="1"/>
  <c r="AG233" i="1"/>
  <c r="AD233" i="1" s="1"/>
  <c r="CC304" i="1"/>
  <c r="AF304" i="1"/>
  <c r="AG304" i="1"/>
  <c r="AD304" i="1" s="1"/>
  <c r="Y304" i="1" s="1"/>
  <c r="AF305" i="1"/>
  <c r="AG305" i="1"/>
  <c r="AD305" i="1" s="1"/>
  <c r="CC305" i="1"/>
  <c r="CC343" i="1"/>
  <c r="AF343" i="1"/>
  <c r="AG343" i="1"/>
  <c r="AD343" i="1" s="1"/>
  <c r="Y343" i="1" s="1"/>
  <c r="AF344" i="1"/>
  <c r="AG344" i="1"/>
  <c r="AD344" i="1" s="1"/>
  <c r="Y344" i="1" s="1"/>
  <c r="CC344" i="1"/>
  <c r="AF423" i="1"/>
  <c r="AG423" i="1"/>
  <c r="AD423" i="1" s="1"/>
  <c r="CC423" i="1"/>
  <c r="CC424" i="1"/>
  <c r="AF424" i="1"/>
  <c r="AG424" i="1"/>
  <c r="AD424" i="1" s="1"/>
  <c r="AF485" i="1"/>
  <c r="AG485" i="1"/>
  <c r="AD485" i="1" s="1"/>
  <c r="AF486" i="1"/>
  <c r="AG486" i="1"/>
  <c r="AD486" i="1" s="1"/>
  <c r="Y486" i="1" s="1"/>
  <c r="CC594" i="1"/>
  <c r="AF594" i="1"/>
  <c r="AG594" i="1"/>
  <c r="AD594" i="1" s="1"/>
  <c r="Y594" i="1" s="1"/>
  <c r="CC595" i="1"/>
  <c r="AF595" i="1"/>
  <c r="AG595" i="1"/>
  <c r="AD595" i="1" s="1"/>
  <c r="AF563" i="1"/>
  <c r="AG563" i="1"/>
  <c r="AD563" i="1" s="1"/>
  <c r="CC563" i="1"/>
  <c r="AF564" i="1"/>
  <c r="AG564" i="1"/>
  <c r="AD564" i="1" s="1"/>
  <c r="Y564" i="1" s="1"/>
  <c r="CC564" i="1"/>
  <c r="CC58" i="1"/>
  <c r="AF58" i="1"/>
  <c r="AG58" i="1"/>
  <c r="AD58" i="1" s="1"/>
  <c r="Y58" i="1" s="1"/>
  <c r="AF59" i="1"/>
  <c r="AG59" i="1"/>
  <c r="AD59" i="1" s="1"/>
  <c r="CC59" i="1"/>
  <c r="CC166" i="1"/>
  <c r="AF166" i="1"/>
  <c r="AG166" i="1"/>
  <c r="AD166" i="1" s="1"/>
  <c r="CC167" i="1"/>
  <c r="AF167" i="1"/>
  <c r="AG167" i="1"/>
  <c r="AD167" i="1" s="1"/>
  <c r="CC234" i="1"/>
  <c r="AF234" i="1"/>
  <c r="AG234" i="1"/>
  <c r="AD234" i="1" s="1"/>
  <c r="CC235" i="1"/>
  <c r="AF235" i="1"/>
  <c r="AG235" i="1"/>
  <c r="AD235" i="1" s="1"/>
  <c r="AF289" i="1"/>
  <c r="AG289" i="1"/>
  <c r="AD289" i="1" s="1"/>
  <c r="Y289" i="1" s="1"/>
  <c r="CC289" i="1"/>
  <c r="AF280" i="1"/>
  <c r="AG280" i="1"/>
  <c r="AD280" i="1" s="1"/>
  <c r="CC280" i="1"/>
  <c r="CC345" i="1"/>
  <c r="AF345" i="1"/>
  <c r="AG345" i="1"/>
  <c r="AD345" i="1" s="1"/>
  <c r="CC346" i="1"/>
  <c r="AF346" i="1"/>
  <c r="AG346" i="1"/>
  <c r="AD346" i="1" s="1"/>
  <c r="Y346" i="1" s="1"/>
  <c r="AF425" i="1"/>
  <c r="AG425" i="1"/>
  <c r="AD425" i="1" s="1"/>
  <c r="AF426" i="1"/>
  <c r="AG426" i="1"/>
  <c r="AD426" i="1" s="1"/>
  <c r="Y426" i="1" s="1"/>
  <c r="CC487" i="1"/>
  <c r="AF487" i="1"/>
  <c r="AG487" i="1"/>
  <c r="AD487" i="1" s="1"/>
  <c r="Y487" i="1" s="1"/>
  <c r="CC488" i="1"/>
  <c r="AF488" i="1"/>
  <c r="AG488" i="1"/>
  <c r="AD488" i="1" s="1"/>
  <c r="Y488" i="1" s="1"/>
  <c r="AF596" i="1"/>
  <c r="AG596" i="1"/>
  <c r="AD596" i="1" s="1"/>
  <c r="Y596" i="1" s="1"/>
  <c r="CC596" i="1"/>
  <c r="CC597" i="1"/>
  <c r="AF597" i="1"/>
  <c r="AG597" i="1"/>
  <c r="AD597" i="1" s="1"/>
  <c r="Y597" i="1" s="1"/>
  <c r="AF565" i="1"/>
  <c r="AG565" i="1"/>
  <c r="AD565" i="1" s="1"/>
  <c r="CC565" i="1"/>
  <c r="CC566" i="1"/>
  <c r="AF566" i="1"/>
  <c r="AG566" i="1"/>
  <c r="AD566" i="1" s="1"/>
  <c r="CC60" i="1"/>
  <c r="AF60" i="1"/>
  <c r="AG60" i="1"/>
  <c r="AD60" i="1" s="1"/>
  <c r="Y60" i="1" s="1"/>
  <c r="AF61" i="1"/>
  <c r="AG61" i="1"/>
  <c r="AD61" i="1" s="1"/>
  <c r="CC61" i="1"/>
  <c r="AF168" i="1"/>
  <c r="AG168" i="1"/>
  <c r="AD168" i="1" s="1"/>
  <c r="CC168" i="1"/>
  <c r="AF169" i="1"/>
  <c r="AG169" i="1"/>
  <c r="AD169" i="1" s="1"/>
  <c r="CC169" i="1"/>
  <c r="AF236" i="1"/>
  <c r="AG236" i="1"/>
  <c r="AD236" i="1" s="1"/>
  <c r="CC236" i="1"/>
  <c r="AF225" i="1"/>
  <c r="AG225" i="1"/>
  <c r="AD225" i="1" s="1"/>
  <c r="Y225" i="1" s="1"/>
  <c r="CC225" i="1"/>
  <c r="AF290" i="1"/>
  <c r="AG290" i="1"/>
  <c r="AD290" i="1" s="1"/>
  <c r="Y290" i="1" s="1"/>
  <c r="CC290" i="1"/>
  <c r="CC291" i="1"/>
  <c r="AF291" i="1"/>
  <c r="AG291" i="1"/>
  <c r="AD291" i="1" s="1"/>
  <c r="Y291" i="1" s="1"/>
  <c r="AF347" i="1"/>
  <c r="AG347" i="1"/>
  <c r="AD347" i="1" s="1"/>
  <c r="Y347" i="1" s="1"/>
  <c r="AF331" i="1"/>
  <c r="AG331" i="1"/>
  <c r="AD331" i="1" s="1"/>
  <c r="Y331" i="1" s="1"/>
  <c r="CC427" i="1"/>
  <c r="AF427" i="1"/>
  <c r="AG427" i="1"/>
  <c r="AD427" i="1" s="1"/>
  <c r="CC428" i="1"/>
  <c r="AF428" i="1"/>
  <c r="AG428" i="1"/>
  <c r="AD428" i="1" s="1"/>
  <c r="Y428" i="1" s="1"/>
  <c r="CC489" i="1"/>
  <c r="AF489" i="1"/>
  <c r="AG489" i="1"/>
  <c r="AD489" i="1" s="1"/>
  <c r="Y489" i="1" s="1"/>
  <c r="CC490" i="1"/>
  <c r="AF490" i="1"/>
  <c r="AG490" i="1"/>
  <c r="AD490" i="1" s="1"/>
  <c r="AF598" i="1"/>
  <c r="AG598" i="1"/>
  <c r="AD598" i="1" s="1"/>
  <c r="CC598" i="1"/>
  <c r="AF599" i="1"/>
  <c r="AG599" i="1"/>
  <c r="AD599" i="1" s="1"/>
  <c r="Y599" i="1" s="1"/>
  <c r="CC599" i="1"/>
  <c r="AF567" i="1"/>
  <c r="AG567" i="1"/>
  <c r="AD567" i="1" s="1"/>
  <c r="CC567" i="1"/>
  <c r="CC568" i="1"/>
  <c r="AF568" i="1"/>
  <c r="AG568" i="1"/>
  <c r="AD568" i="1" s="1"/>
  <c r="Y568" i="1" s="1"/>
  <c r="AF62" i="1"/>
  <c r="AG62" i="1"/>
  <c r="AD62" i="1" s="1"/>
  <c r="CC62" i="1"/>
  <c r="CC63" i="1"/>
  <c r="AF63" i="1"/>
  <c r="AG63" i="1"/>
  <c r="AD63" i="1" s="1"/>
  <c r="Y63" i="1" s="1"/>
  <c r="AF170" i="1"/>
  <c r="AG170" i="1"/>
  <c r="AD170" i="1" s="1"/>
  <c r="Y170" i="1" s="1"/>
  <c r="CC170" i="1"/>
  <c r="AF171" i="1"/>
  <c r="AG171" i="1"/>
  <c r="AD171" i="1" s="1"/>
  <c r="CC171" i="1"/>
  <c r="AF237" i="1"/>
  <c r="AG237" i="1"/>
  <c r="AD237" i="1" s="1"/>
  <c r="CC237" i="1"/>
  <c r="CC238" i="1"/>
  <c r="AF238" i="1"/>
  <c r="AG238" i="1"/>
  <c r="AD238" i="1" s="1"/>
  <c r="AF306" i="1"/>
  <c r="AG306" i="1"/>
  <c r="AD306" i="1" s="1"/>
  <c r="AF307" i="1"/>
  <c r="AG307" i="1"/>
  <c r="AD307" i="1" s="1"/>
  <c r="Y307" i="1" s="1"/>
  <c r="CC307" i="1"/>
  <c r="CC348" i="1"/>
  <c r="AF348" i="1"/>
  <c r="AG348" i="1"/>
  <c r="AD348" i="1" s="1"/>
  <c r="AF349" i="1"/>
  <c r="AG349" i="1"/>
  <c r="AD349" i="1" s="1"/>
  <c r="Y349" i="1" s="1"/>
  <c r="CC349" i="1"/>
  <c r="AF429" i="1"/>
  <c r="AG429" i="1"/>
  <c r="AD429" i="1" s="1"/>
  <c r="Y429" i="1" s="1"/>
  <c r="CC429" i="1"/>
  <c r="CC430" i="1"/>
  <c r="AF430" i="1"/>
  <c r="AG430" i="1"/>
  <c r="AD430" i="1" s="1"/>
  <c r="Y430" i="1" s="1"/>
  <c r="CC491" i="1"/>
  <c r="AF491" i="1"/>
  <c r="AG491" i="1"/>
  <c r="AD491" i="1" s="1"/>
  <c r="Y491" i="1" s="1"/>
  <c r="AF492" i="1"/>
  <c r="AG492" i="1"/>
  <c r="AD492" i="1" s="1"/>
  <c r="Y492" i="1" s="1"/>
  <c r="CC492" i="1"/>
  <c r="CC600" i="1"/>
  <c r="AF600" i="1"/>
  <c r="AG600" i="1"/>
  <c r="AD600" i="1" s="1"/>
  <c r="Y600" i="1" s="1"/>
  <c r="CC601" i="1"/>
  <c r="AF601" i="1"/>
  <c r="AG601" i="1"/>
  <c r="AD601" i="1" s="1"/>
  <c r="AF569" i="1"/>
  <c r="AG569" i="1"/>
  <c r="AD569" i="1" s="1"/>
  <c r="Y569" i="1" s="1"/>
  <c r="CC569" i="1"/>
  <c r="CC570" i="1"/>
  <c r="AF570" i="1"/>
  <c r="AG570" i="1"/>
  <c r="AD570" i="1" s="1"/>
  <c r="Y570" i="1" s="1"/>
  <c r="AF64" i="1"/>
  <c r="AG64" i="1"/>
  <c r="AD64" i="1" s="1"/>
  <c r="Y64" i="1" s="1"/>
  <c r="CC64" i="1"/>
  <c r="AF65" i="1"/>
  <c r="AG65" i="1"/>
  <c r="AD65" i="1" s="1"/>
  <c r="CC65" i="1"/>
  <c r="AF172" i="1"/>
  <c r="AG172" i="1"/>
  <c r="AD172" i="1" s="1"/>
  <c r="Y172" i="1" s="1"/>
  <c r="CC172" i="1"/>
  <c r="CC173" i="1"/>
  <c r="AF173" i="1"/>
  <c r="AG173" i="1"/>
  <c r="AD173" i="1" s="1"/>
  <c r="Y173" i="1" s="1"/>
  <c r="AF239" i="1"/>
  <c r="AG239" i="1"/>
  <c r="AD239" i="1" s="1"/>
  <c r="Y239" i="1" s="1"/>
  <c r="AF226" i="1"/>
  <c r="AG226" i="1"/>
  <c r="AD226" i="1" s="1"/>
  <c r="CC292" i="1"/>
  <c r="AF292" i="1"/>
  <c r="AG292" i="1"/>
  <c r="AD292" i="1" s="1"/>
  <c r="AF293" i="1"/>
  <c r="AG293" i="1"/>
  <c r="AD293" i="1" s="1"/>
  <c r="CC293" i="1"/>
  <c r="CC350" i="1"/>
  <c r="AF350" i="1"/>
  <c r="AG350" i="1"/>
  <c r="AD350" i="1" s="1"/>
  <c r="Y350" i="1" s="1"/>
  <c r="CC332" i="1"/>
  <c r="AF332" i="1"/>
  <c r="AG332" i="1"/>
  <c r="AD332" i="1" s="1"/>
  <c r="Y332" i="1" s="1"/>
  <c r="CC431" i="1"/>
  <c r="AF431" i="1"/>
  <c r="AG431" i="1"/>
  <c r="AD431" i="1" s="1"/>
  <c r="Y431" i="1" s="1"/>
  <c r="AF432" i="1"/>
  <c r="AG432" i="1"/>
  <c r="AD432" i="1" s="1"/>
  <c r="Y432" i="1" s="1"/>
  <c r="CC432" i="1"/>
  <c r="AF493" i="1"/>
  <c r="AG493" i="1"/>
  <c r="AD493" i="1" s="1"/>
  <c r="CC493" i="1"/>
  <c r="CC494" i="1"/>
  <c r="AF494" i="1"/>
  <c r="AG494" i="1"/>
  <c r="AD494" i="1" s="1"/>
  <c r="AF602" i="1"/>
  <c r="AG602" i="1"/>
  <c r="AD602" i="1" s="1"/>
  <c r="Y602" i="1" s="1"/>
  <c r="CC602" i="1"/>
  <c r="AF603" i="1"/>
  <c r="AG603" i="1"/>
  <c r="AD603" i="1" s="1"/>
  <c r="Y603" i="1" s="1"/>
  <c r="CC603" i="1"/>
  <c r="AF571" i="1"/>
  <c r="AG571" i="1"/>
  <c r="AD571" i="1" s="1"/>
  <c r="Y571" i="1" s="1"/>
  <c r="CC571" i="1"/>
  <c r="AF572" i="1"/>
  <c r="AG572" i="1"/>
  <c r="AD572" i="1" s="1"/>
  <c r="Y572" i="1" s="1"/>
  <c r="CC572" i="1"/>
  <c r="AF66" i="1"/>
  <c r="AG66" i="1"/>
  <c r="AD66" i="1" s="1"/>
  <c r="Y66" i="1" s="1"/>
  <c r="CC66" i="1"/>
  <c r="CC67" i="1"/>
  <c r="AF67" i="1"/>
  <c r="AG67" i="1"/>
  <c r="AD67" i="1" s="1"/>
  <c r="Y67" i="1" s="1"/>
  <c r="AF174" i="1"/>
  <c r="AG174" i="1"/>
  <c r="AD174" i="1" s="1"/>
  <c r="AF175" i="1"/>
  <c r="AG175" i="1"/>
  <c r="AD175" i="1" s="1"/>
  <c r="CC240" i="1"/>
  <c r="AF240" i="1"/>
  <c r="AG240" i="1"/>
  <c r="AD240" i="1" s="1"/>
  <c r="Y240" i="1" s="1"/>
  <c r="AF241" i="1"/>
  <c r="AG241" i="1"/>
  <c r="AD241" i="1" s="1"/>
  <c r="Y241" i="1" s="1"/>
  <c r="CC241" i="1"/>
  <c r="AF294" i="1"/>
  <c r="AG294" i="1"/>
  <c r="AD294" i="1" s="1"/>
  <c r="CC294" i="1"/>
  <c r="CC295" i="1"/>
  <c r="AF295" i="1"/>
  <c r="AG295" i="1"/>
  <c r="AD295" i="1" s="1"/>
  <c r="Y295" i="1" s="1"/>
  <c r="AF351" i="1"/>
  <c r="AG351" i="1"/>
  <c r="AD351" i="1" s="1"/>
  <c r="Y351" i="1" s="1"/>
  <c r="CC351" i="1"/>
  <c r="CC352" i="1"/>
  <c r="AF352" i="1"/>
  <c r="AG352" i="1"/>
  <c r="AD352" i="1" s="1"/>
  <c r="AF433" i="1"/>
  <c r="AG433" i="1"/>
  <c r="AD433" i="1" s="1"/>
  <c r="Y433" i="1" s="1"/>
  <c r="CC433" i="1"/>
  <c r="AF434" i="1"/>
  <c r="AG434" i="1"/>
  <c r="AD434" i="1" s="1"/>
  <c r="Y434" i="1" s="1"/>
  <c r="CC434" i="1"/>
  <c r="AF495" i="1"/>
  <c r="AG495" i="1"/>
  <c r="AD495" i="1" s="1"/>
  <c r="Y495" i="1" s="1"/>
  <c r="CC495" i="1"/>
  <c r="AF496" i="1"/>
  <c r="AG496" i="1"/>
  <c r="AD496" i="1" s="1"/>
  <c r="Y496" i="1" s="1"/>
  <c r="CC496" i="1"/>
  <c r="CC604" i="1"/>
  <c r="AF604" i="1"/>
  <c r="AG604" i="1"/>
  <c r="AD604" i="1" s="1"/>
  <c r="Y604" i="1" s="1"/>
  <c r="AF605" i="1"/>
  <c r="AG605" i="1"/>
  <c r="AD605" i="1" s="1"/>
  <c r="Y605" i="1" s="1"/>
  <c r="CC605" i="1"/>
  <c r="AF573" i="1"/>
  <c r="AG573" i="1"/>
  <c r="AD573" i="1" s="1"/>
  <c r="Y573" i="1" s="1"/>
  <c r="CC573" i="1"/>
  <c r="CC574" i="1"/>
  <c r="AF574" i="1"/>
  <c r="AG574" i="1"/>
  <c r="AD574" i="1" s="1"/>
  <c r="Y574" i="1" s="1"/>
  <c r="AF68" i="1"/>
  <c r="AG68" i="1"/>
  <c r="AD68" i="1" s="1"/>
  <c r="Y68" i="1" s="1"/>
  <c r="AF69" i="1"/>
  <c r="AG69" i="1"/>
  <c r="AD69" i="1" s="1"/>
  <c r="Y69" i="1" s="1"/>
  <c r="CC176" i="1"/>
  <c r="AF176" i="1"/>
  <c r="AG176" i="1"/>
  <c r="AD176" i="1" s="1"/>
  <c r="Y176" i="1" s="1"/>
  <c r="AF177" i="1"/>
  <c r="AG177" i="1"/>
  <c r="AD177" i="1" s="1"/>
  <c r="CC177" i="1"/>
  <c r="CC242" i="1"/>
  <c r="AF242" i="1"/>
  <c r="AG242" i="1"/>
  <c r="AD242" i="1" s="1"/>
  <c r="CC243" i="1"/>
  <c r="AF243" i="1"/>
  <c r="AG243" i="1"/>
  <c r="AD243" i="1" s="1"/>
  <c r="AF296" i="1"/>
  <c r="AG296" i="1"/>
  <c r="AD296" i="1" s="1"/>
  <c r="Y296" i="1" s="1"/>
  <c r="CC296" i="1"/>
  <c r="CC297" i="1"/>
  <c r="AF297" i="1"/>
  <c r="AG297" i="1"/>
  <c r="AD297" i="1" s="1"/>
  <c r="AF353" i="1"/>
  <c r="AG353" i="1"/>
  <c r="AD353" i="1" s="1"/>
  <c r="CC353" i="1"/>
  <c r="AF354" i="1"/>
  <c r="AG354" i="1"/>
  <c r="AD354" i="1" s="1"/>
  <c r="Y354" i="1" s="1"/>
  <c r="CC354" i="1"/>
  <c r="AF435" i="1"/>
  <c r="AG435" i="1"/>
  <c r="AD435" i="1" s="1"/>
  <c r="CC435" i="1"/>
  <c r="AF436" i="1"/>
  <c r="AG436" i="1"/>
  <c r="AD436" i="1" s="1"/>
  <c r="Y436" i="1" s="1"/>
  <c r="CC436" i="1"/>
  <c r="CC497" i="1"/>
  <c r="AF497" i="1"/>
  <c r="AG497" i="1"/>
  <c r="AD497" i="1" s="1"/>
  <c r="Y497" i="1" s="1"/>
  <c r="AF498" i="1"/>
  <c r="AG498" i="1"/>
  <c r="AD498" i="1" s="1"/>
  <c r="Y498" i="1" s="1"/>
  <c r="CC498" i="1"/>
  <c r="AF606" i="1"/>
  <c r="AG606" i="1"/>
  <c r="AD606" i="1" s="1"/>
  <c r="Y606" i="1" s="1"/>
  <c r="CC606" i="1"/>
  <c r="CC607" i="1"/>
  <c r="AF607" i="1"/>
  <c r="AG607" i="1"/>
  <c r="AD607" i="1" s="1"/>
  <c r="Y607" i="1" s="1"/>
  <c r="AF575" i="1"/>
  <c r="AG575" i="1"/>
  <c r="AD575" i="1" s="1"/>
  <c r="AF576" i="1"/>
  <c r="AG576" i="1"/>
  <c r="AD576" i="1" s="1"/>
  <c r="CC53" i="1"/>
  <c r="AF53" i="1"/>
  <c r="AG53" i="1"/>
  <c r="AD53" i="1" s="1"/>
  <c r="Y53" i="1" s="1"/>
  <c r="CC54" i="1"/>
  <c r="AF54" i="1"/>
  <c r="AG54" i="1"/>
  <c r="AD54" i="1" s="1"/>
  <c r="Y54" i="1" s="1"/>
  <c r="AF178" i="1"/>
  <c r="AG178" i="1"/>
  <c r="AD178" i="1" s="1"/>
  <c r="CC178" i="1"/>
  <c r="CC179" i="1"/>
  <c r="AF179" i="1"/>
  <c r="AG179" i="1"/>
  <c r="AD179" i="1" s="1"/>
  <c r="Y179" i="1" s="1"/>
  <c r="AF244" i="1"/>
  <c r="AG244" i="1"/>
  <c r="AD244" i="1" s="1"/>
  <c r="CC244" i="1"/>
  <c r="AF227" i="1"/>
  <c r="AG227" i="1"/>
  <c r="AD227" i="1" s="1"/>
  <c r="CC227" i="1"/>
  <c r="CC298" i="1"/>
  <c r="AF298" i="1"/>
  <c r="AG298" i="1"/>
  <c r="AD298" i="1" s="1"/>
  <c r="Y298" i="1" s="1"/>
  <c r="CC281" i="1"/>
  <c r="AF281" i="1"/>
  <c r="AG281" i="1"/>
  <c r="AD281" i="1" s="1"/>
  <c r="Y281" i="1" s="1"/>
  <c r="AF333" i="1"/>
  <c r="AG333" i="1"/>
  <c r="AD333" i="1" s="1"/>
  <c r="Y333" i="1" s="1"/>
  <c r="CC333" i="1"/>
  <c r="CC334" i="1"/>
  <c r="AF334" i="1"/>
  <c r="AG334" i="1"/>
  <c r="AD334" i="1" s="1"/>
  <c r="Y334" i="1" s="1"/>
  <c r="CC437" i="1"/>
  <c r="AF437" i="1"/>
  <c r="AG437" i="1"/>
  <c r="AD437" i="1" s="1"/>
  <c r="Y437" i="1" s="1"/>
  <c r="AF438" i="1"/>
  <c r="AG438" i="1"/>
  <c r="AD438" i="1" s="1"/>
  <c r="Y438" i="1" s="1"/>
  <c r="CC438" i="1"/>
  <c r="AF499" i="1"/>
  <c r="AG499" i="1"/>
  <c r="AD499" i="1" s="1"/>
  <c r="CC499" i="1"/>
  <c r="CC500" i="1"/>
  <c r="AF500" i="1"/>
  <c r="AG500" i="1"/>
  <c r="AD500" i="1" s="1"/>
  <c r="Y500" i="1" s="1"/>
  <c r="AF608" i="1"/>
  <c r="AG608" i="1"/>
  <c r="AD608" i="1" s="1"/>
  <c r="AF609" i="1"/>
  <c r="AG609" i="1"/>
  <c r="AD609" i="1" s="1"/>
  <c r="AF577" i="1"/>
  <c r="AG577" i="1"/>
  <c r="AD577" i="1" s="1"/>
  <c r="Y577" i="1" s="1"/>
  <c r="CC577" i="1"/>
  <c r="CC578" i="1"/>
  <c r="AF578" i="1"/>
  <c r="AG578" i="1"/>
  <c r="AD578" i="1" s="1"/>
  <c r="Y578" i="1" s="1"/>
  <c r="AF70" i="1"/>
  <c r="AG70" i="1"/>
  <c r="AD70" i="1" s="1"/>
  <c r="CC70" i="1"/>
  <c r="CC71" i="1"/>
  <c r="AF71" i="1"/>
  <c r="AG71" i="1"/>
  <c r="AD71" i="1" s="1"/>
  <c r="Y71" i="1" s="1"/>
  <c r="AF180" i="1"/>
  <c r="AG180" i="1"/>
  <c r="AD180" i="1" s="1"/>
  <c r="Y180" i="1" s="1"/>
  <c r="CC180" i="1"/>
  <c r="AF181" i="1"/>
  <c r="AG181" i="1"/>
  <c r="AD181" i="1" s="1"/>
  <c r="Y181" i="1" s="1"/>
  <c r="CC181" i="1"/>
  <c r="CC245" i="1"/>
  <c r="AF245" i="1"/>
  <c r="AG245" i="1"/>
  <c r="AD245" i="1" s="1"/>
  <c r="CC246" i="1"/>
  <c r="AF246" i="1"/>
  <c r="AG246" i="1"/>
  <c r="AD246" i="1" s="1"/>
  <c r="Y246" i="1" s="1"/>
  <c r="AF299" i="1"/>
  <c r="AG299" i="1"/>
  <c r="AD299" i="1" s="1"/>
  <c r="Y299" i="1" s="1"/>
  <c r="CC299" i="1"/>
  <c r="CC300" i="1"/>
  <c r="AF300" i="1"/>
  <c r="AG300" i="1"/>
  <c r="AD300" i="1" s="1"/>
  <c r="CC355" i="1"/>
  <c r="AF355" i="1"/>
  <c r="AG355" i="1"/>
  <c r="AD355" i="1" s="1"/>
  <c r="Y355" i="1" s="1"/>
  <c r="AF356" i="1"/>
  <c r="AG356" i="1"/>
  <c r="AD356" i="1" s="1"/>
  <c r="CC356" i="1"/>
  <c r="AF439" i="1"/>
  <c r="AG439" i="1"/>
  <c r="AD439" i="1" s="1"/>
  <c r="Y439" i="1" s="1"/>
  <c r="CC439" i="1"/>
  <c r="CC440" i="1"/>
  <c r="AF440" i="1"/>
  <c r="AG440" i="1"/>
  <c r="AD440" i="1" s="1"/>
  <c r="Y440" i="1" s="1"/>
  <c r="AF501" i="1"/>
  <c r="AG501" i="1"/>
  <c r="AD501" i="1" s="1"/>
  <c r="AF502" i="1"/>
  <c r="AG502" i="1"/>
  <c r="AD502" i="1" s="1"/>
  <c r="AF610" i="1"/>
  <c r="AG610" i="1"/>
  <c r="AD610" i="1" s="1"/>
  <c r="Y610" i="1" s="1"/>
  <c r="CC610" i="1"/>
  <c r="CC611" i="1"/>
  <c r="AF611" i="1"/>
  <c r="AG611" i="1"/>
  <c r="AD611" i="1" s="1"/>
  <c r="Y611" i="1" s="1"/>
  <c r="AF579" i="1"/>
  <c r="AG579" i="1"/>
  <c r="AD579" i="1" s="1"/>
  <c r="CC579" i="1"/>
  <c r="CC580" i="1"/>
  <c r="AF580" i="1"/>
  <c r="AG580" i="1"/>
  <c r="AD580" i="1" s="1"/>
  <c r="Y580" i="1" s="1"/>
  <c r="AF72" i="1"/>
  <c r="AG72" i="1"/>
  <c r="AD72" i="1" s="1"/>
  <c r="Y72" i="1" s="1"/>
  <c r="CC72" i="1"/>
  <c r="AF73" i="1"/>
  <c r="AG73" i="1"/>
  <c r="AD73" i="1" s="1"/>
  <c r="Y73" i="1" s="1"/>
  <c r="CC73" i="1"/>
  <c r="CC182" i="1"/>
  <c r="AF182" i="1"/>
  <c r="AG182" i="1"/>
  <c r="AD182" i="1" s="1"/>
  <c r="CC183" i="1"/>
  <c r="AF183" i="1"/>
  <c r="AG183" i="1"/>
  <c r="AD183" i="1" s="1"/>
  <c r="AF228" i="1"/>
  <c r="AG228" i="1"/>
  <c r="AD228" i="1" s="1"/>
  <c r="CC228" i="1"/>
  <c r="AF229" i="1"/>
  <c r="AG229" i="1"/>
  <c r="AD229" i="1" s="1"/>
  <c r="CC229" i="1"/>
  <c r="CC301" i="1"/>
  <c r="AF301" i="1"/>
  <c r="AG301" i="1"/>
  <c r="AD301" i="1" s="1"/>
  <c r="AF302" i="1"/>
  <c r="AG302" i="1"/>
  <c r="AD302" i="1" s="1"/>
  <c r="CC302" i="1"/>
  <c r="AF335" i="1"/>
  <c r="AG335" i="1"/>
  <c r="AD335" i="1" s="1"/>
  <c r="CC335" i="1"/>
  <c r="CC336" i="1"/>
  <c r="AF336" i="1"/>
  <c r="AG336" i="1"/>
  <c r="AD336" i="1" s="1"/>
  <c r="AF441" i="1"/>
  <c r="AG441" i="1"/>
  <c r="AD441" i="1" s="1"/>
  <c r="AF442" i="1"/>
  <c r="AG442" i="1"/>
  <c r="AD442" i="1" s="1"/>
  <c r="CC503" i="1"/>
  <c r="AF503" i="1"/>
  <c r="AG503" i="1"/>
  <c r="AD503" i="1" s="1"/>
  <c r="Y503" i="1" s="1"/>
  <c r="CC504" i="1"/>
  <c r="AF504" i="1"/>
  <c r="AG504" i="1"/>
  <c r="AD504" i="1" s="1"/>
  <c r="CC612" i="1"/>
  <c r="AF612" i="1"/>
  <c r="AG612" i="1"/>
  <c r="AD612" i="1" s="1"/>
  <c r="AF613" i="1"/>
  <c r="AG613" i="1"/>
  <c r="AD613" i="1" s="1"/>
  <c r="Y613" i="1" s="1"/>
  <c r="CC613" i="1"/>
  <c r="AF581" i="1"/>
  <c r="AG581" i="1"/>
  <c r="AD581" i="1" s="1"/>
  <c r="Y581" i="1" s="1"/>
  <c r="CC581" i="1"/>
  <c r="AF582" i="1"/>
  <c r="AG582" i="1"/>
  <c r="AD582" i="1" s="1"/>
  <c r="CC582" i="1"/>
  <c r="CC74" i="1"/>
  <c r="AF74" i="1"/>
  <c r="AG74" i="1"/>
  <c r="AD74" i="1" s="1"/>
  <c r="Y74" i="1" s="1"/>
  <c r="CC75" i="1"/>
  <c r="AF75" i="1"/>
  <c r="AG75" i="1"/>
  <c r="AD75" i="1" s="1"/>
  <c r="AF184" i="1"/>
  <c r="AG184" i="1"/>
  <c r="AD184" i="1" s="1"/>
  <c r="CC184" i="1"/>
  <c r="CC185" i="1"/>
  <c r="AF185" i="1"/>
  <c r="AG185" i="1"/>
  <c r="AD185" i="1" s="1"/>
  <c r="Y185" i="1" s="1"/>
  <c r="CC247" i="1"/>
  <c r="AF247" i="1"/>
  <c r="AG247" i="1"/>
  <c r="AD247" i="1" s="1"/>
  <c r="Y247" i="1" s="1"/>
  <c r="AF248" i="1"/>
  <c r="AG248" i="1"/>
  <c r="AD248" i="1" s="1"/>
  <c r="Y248" i="1" s="1"/>
  <c r="CC248" i="1"/>
  <c r="AF357" i="1"/>
  <c r="AG357" i="1"/>
  <c r="AD357" i="1" s="1"/>
  <c r="Y357" i="1" s="1"/>
  <c r="CC357" i="1"/>
  <c r="CC358" i="1"/>
  <c r="AF358" i="1"/>
  <c r="AG358" i="1"/>
  <c r="AD358" i="1" s="1"/>
  <c r="Y358" i="1" s="1"/>
  <c r="AF443" i="1"/>
  <c r="AG443" i="1"/>
  <c r="AD443" i="1" s="1"/>
  <c r="Y443" i="1" s="1"/>
  <c r="AF444" i="1"/>
  <c r="AG444" i="1"/>
  <c r="AD444" i="1" s="1"/>
  <c r="Y444" i="1" s="1"/>
  <c r="CC505" i="1"/>
  <c r="AF505" i="1"/>
  <c r="AG505" i="1"/>
  <c r="AD505" i="1" s="1"/>
  <c r="Y505" i="1" s="1"/>
  <c r="CC506" i="1"/>
  <c r="AF506" i="1"/>
  <c r="AG506" i="1"/>
  <c r="AD506" i="1" s="1"/>
  <c r="Y506" i="1" s="1"/>
  <c r="AF614" i="1"/>
  <c r="AG614" i="1"/>
  <c r="AD614" i="1" s="1"/>
  <c r="Y614" i="1" s="1"/>
  <c r="CC614" i="1"/>
  <c r="CC615" i="1"/>
  <c r="AF615" i="1"/>
  <c r="AG615" i="1"/>
  <c r="AD615" i="1" s="1"/>
  <c r="Y615" i="1" s="1"/>
  <c r="AF583" i="1"/>
  <c r="AG583" i="1"/>
  <c r="AD583" i="1" s="1"/>
  <c r="Y583" i="1" s="1"/>
  <c r="CC583" i="1"/>
  <c r="AF584" i="1"/>
  <c r="AG584" i="1"/>
  <c r="AD584" i="1" s="1"/>
  <c r="Y584" i="1" s="1"/>
  <c r="CC584" i="1"/>
  <c r="CC76" i="1"/>
  <c r="AF76" i="1"/>
  <c r="AG76" i="1"/>
  <c r="AD76" i="1" s="1"/>
  <c r="Y76" i="1" s="1"/>
  <c r="CC77" i="1"/>
  <c r="AF77" i="1"/>
  <c r="AG77" i="1"/>
  <c r="AD77" i="1" s="1"/>
  <c r="Y77" i="1" s="1"/>
  <c r="AF186" i="1"/>
  <c r="AG186" i="1"/>
  <c r="AD186" i="1" s="1"/>
  <c r="Y186" i="1" s="1"/>
  <c r="CC186" i="1"/>
  <c r="CC187" i="1"/>
  <c r="AF187" i="1"/>
  <c r="AG187" i="1"/>
  <c r="AD187" i="1" s="1"/>
  <c r="Y187" i="1" s="1"/>
  <c r="CC249" i="1"/>
  <c r="AF249" i="1"/>
  <c r="AG249" i="1"/>
  <c r="AD249" i="1" s="1"/>
  <c r="Y249" i="1" s="1"/>
  <c r="AF250" i="1"/>
  <c r="AG250" i="1"/>
  <c r="AD250" i="1" s="1"/>
  <c r="Y250" i="1" s="1"/>
  <c r="CC250" i="1"/>
  <c r="AF359" i="1"/>
  <c r="AG359" i="1"/>
  <c r="AD359" i="1" s="1"/>
  <c r="Y359" i="1" s="1"/>
  <c r="CC359" i="1"/>
  <c r="CC360" i="1"/>
  <c r="AF360" i="1"/>
  <c r="AG360" i="1"/>
  <c r="AD360" i="1" s="1"/>
  <c r="Y360" i="1" s="1"/>
  <c r="AF445" i="1"/>
  <c r="AG445" i="1"/>
  <c r="AD445" i="1" s="1"/>
  <c r="Y445" i="1" s="1"/>
  <c r="AF446" i="1"/>
  <c r="AG446" i="1"/>
  <c r="AD446" i="1" s="1"/>
  <c r="Y446" i="1" s="1"/>
  <c r="AF507" i="1"/>
  <c r="AG507" i="1"/>
  <c r="AD507" i="1" s="1"/>
  <c r="Y507" i="1" s="1"/>
  <c r="CC507" i="1"/>
  <c r="CC508" i="1"/>
  <c r="AF508" i="1"/>
  <c r="AG508" i="1"/>
  <c r="AD508" i="1" s="1"/>
  <c r="Y508" i="1" s="1"/>
  <c r="AF616" i="1"/>
  <c r="AG616" i="1"/>
  <c r="AD616" i="1" s="1"/>
  <c r="Y616" i="1" s="1"/>
  <c r="CC616" i="1"/>
  <c r="CC617" i="1"/>
  <c r="AF617" i="1"/>
  <c r="AG617" i="1"/>
  <c r="AD617" i="1" s="1"/>
  <c r="Y617" i="1" s="1"/>
  <c r="AF585" i="1"/>
  <c r="AG585" i="1"/>
  <c r="AD585" i="1" s="1"/>
  <c r="Y585" i="1" s="1"/>
  <c r="CC585" i="1"/>
  <c r="CC586" i="1"/>
  <c r="AF586" i="1"/>
  <c r="AG586" i="1"/>
  <c r="AD586" i="1" s="1"/>
  <c r="Y586" i="1" s="1"/>
  <c r="CC78" i="1"/>
  <c r="AF78" i="1"/>
  <c r="AG78" i="1"/>
  <c r="AD78" i="1" s="1"/>
  <c r="Y78" i="1" s="1"/>
  <c r="CC79" i="1"/>
  <c r="AF79" i="1"/>
  <c r="AG79" i="1"/>
  <c r="AD79" i="1" s="1"/>
  <c r="Y79" i="1" s="1"/>
  <c r="AF188" i="1"/>
  <c r="AG188" i="1"/>
  <c r="AD188" i="1" s="1"/>
  <c r="Y188" i="1" s="1"/>
  <c r="CC188" i="1"/>
  <c r="CC189" i="1"/>
  <c r="AF189" i="1"/>
  <c r="AG189" i="1"/>
  <c r="AD189" i="1" s="1"/>
  <c r="Y189" i="1" s="1"/>
  <c r="CC251" i="1"/>
  <c r="AF251" i="1"/>
  <c r="AG251" i="1"/>
  <c r="AD251" i="1" s="1"/>
  <c r="Y251" i="1" s="1"/>
  <c r="AF252" i="1"/>
  <c r="AG252" i="1"/>
  <c r="AD252" i="1" s="1"/>
  <c r="Y252" i="1" s="1"/>
  <c r="CC252" i="1"/>
  <c r="AF361" i="1"/>
  <c r="AG361" i="1"/>
  <c r="AD361" i="1" s="1"/>
  <c r="Y361" i="1" s="1"/>
  <c r="CC361" i="1"/>
  <c r="CC362" i="1"/>
  <c r="AF362" i="1"/>
  <c r="AG362" i="1"/>
  <c r="AD362" i="1" s="1"/>
  <c r="Y362" i="1" s="1"/>
  <c r="AF447" i="1"/>
  <c r="AG447" i="1"/>
  <c r="AD447" i="1" s="1"/>
  <c r="Y447" i="1" s="1"/>
  <c r="AF448" i="1"/>
  <c r="AG448" i="1"/>
  <c r="AD448" i="1" s="1"/>
  <c r="Y448" i="1" s="1"/>
  <c r="CC509" i="1"/>
  <c r="AF509" i="1"/>
  <c r="AG509" i="1"/>
  <c r="AD509" i="1" s="1"/>
  <c r="Y509" i="1" s="1"/>
  <c r="AF510" i="1"/>
  <c r="AG510" i="1"/>
  <c r="AD510" i="1" s="1"/>
  <c r="Y510" i="1" s="1"/>
  <c r="CC510" i="1"/>
  <c r="CC618" i="1"/>
  <c r="AF618" i="1"/>
  <c r="AG618" i="1"/>
  <c r="AD618" i="1" s="1"/>
  <c r="Y618" i="1" s="1"/>
  <c r="AF619" i="1"/>
  <c r="AG619" i="1"/>
  <c r="AD619" i="1" s="1"/>
  <c r="Y619" i="1" s="1"/>
  <c r="CC619" i="1"/>
  <c r="CC587" i="1"/>
  <c r="AF587" i="1"/>
  <c r="AG587" i="1"/>
  <c r="AD587" i="1" s="1"/>
  <c r="Y587" i="1" s="1"/>
  <c r="CC588" i="1"/>
  <c r="AF588" i="1"/>
  <c r="AG588" i="1"/>
  <c r="AD588" i="1" s="1"/>
  <c r="Y588" i="1" s="1"/>
  <c r="AF80" i="1"/>
  <c r="AG80" i="1"/>
  <c r="AD80" i="1" s="1"/>
  <c r="Y80" i="1" s="1"/>
  <c r="CC80" i="1"/>
  <c r="CC81" i="1"/>
  <c r="AF81" i="1"/>
  <c r="AG81" i="1"/>
  <c r="AD81" i="1" s="1"/>
  <c r="Y81" i="1" s="1"/>
  <c r="AF190" i="1"/>
  <c r="AG190" i="1"/>
  <c r="AD190" i="1" s="1"/>
  <c r="Y190" i="1" s="1"/>
  <c r="CC190" i="1"/>
  <c r="AF191" i="1"/>
  <c r="AG191" i="1"/>
  <c r="AD191" i="1" s="1"/>
  <c r="Y191" i="1" s="1"/>
  <c r="CC191" i="1"/>
  <c r="CC253" i="1"/>
  <c r="AF253" i="1"/>
  <c r="AG253" i="1"/>
  <c r="AD253" i="1" s="1"/>
  <c r="Y253" i="1" s="1"/>
  <c r="CC254" i="1"/>
  <c r="AF254" i="1"/>
  <c r="AG254" i="1"/>
  <c r="AD254" i="1" s="1"/>
  <c r="Y254" i="1" s="1"/>
  <c r="AF363" i="1"/>
  <c r="AG363" i="1"/>
  <c r="AD363" i="1" s="1"/>
  <c r="Y363" i="1" s="1"/>
  <c r="CC363" i="1"/>
  <c r="CC364" i="1"/>
  <c r="AF364" i="1"/>
  <c r="AG364" i="1"/>
  <c r="AD364" i="1" s="1"/>
  <c r="Y364" i="1" s="1"/>
  <c r="AF449" i="1"/>
  <c r="AG449" i="1"/>
  <c r="AD449" i="1" s="1"/>
  <c r="Y449" i="1" s="1"/>
  <c r="AF450" i="1"/>
  <c r="AG450" i="1"/>
  <c r="AD450" i="1" s="1"/>
  <c r="Y450" i="1" s="1"/>
  <c r="CC511" i="1"/>
  <c r="AF511" i="1"/>
  <c r="AG511" i="1"/>
  <c r="AD511" i="1" s="1"/>
  <c r="Y511" i="1" s="1"/>
  <c r="AF512" i="1"/>
  <c r="AG512" i="1"/>
  <c r="AD512" i="1" s="1"/>
  <c r="Y512" i="1" s="1"/>
  <c r="CC512" i="1"/>
  <c r="AF620" i="1"/>
  <c r="AG620" i="1"/>
  <c r="AD620" i="1" s="1"/>
  <c r="Y620" i="1" s="1"/>
  <c r="CC620" i="1"/>
  <c r="CC621" i="1"/>
  <c r="AF621" i="1"/>
  <c r="AG621" i="1"/>
  <c r="AD621" i="1" s="1"/>
  <c r="Y621" i="1" s="1"/>
  <c r="CC589" i="1"/>
  <c r="AF589" i="1"/>
  <c r="AG589" i="1"/>
  <c r="AD589" i="1" s="1"/>
  <c r="Y589" i="1" s="1"/>
  <c r="AF590" i="1"/>
  <c r="AG590" i="1"/>
  <c r="AD590" i="1" s="1"/>
  <c r="Y590" i="1" s="1"/>
  <c r="CC590" i="1"/>
  <c r="AF82" i="1"/>
  <c r="AG82" i="1"/>
  <c r="AD82" i="1" s="1"/>
  <c r="Y82" i="1" s="1"/>
  <c r="CC82" i="1"/>
  <c r="CC83" i="1"/>
  <c r="AF83" i="1"/>
  <c r="AG83" i="1"/>
  <c r="AD83" i="1" s="1"/>
  <c r="Y83" i="1" s="1"/>
  <c r="CC192" i="1"/>
  <c r="AF192" i="1"/>
  <c r="AG192" i="1"/>
  <c r="AD192" i="1" s="1"/>
  <c r="Y192" i="1" s="1"/>
  <c r="AF193" i="1"/>
  <c r="AG193" i="1"/>
  <c r="AD193" i="1" s="1"/>
  <c r="Y193" i="1" s="1"/>
  <c r="CC193" i="1"/>
  <c r="CC255" i="1"/>
  <c r="AF255" i="1"/>
  <c r="AG255" i="1"/>
  <c r="AD255" i="1" s="1"/>
  <c r="Y255" i="1" s="1"/>
  <c r="CC230" i="1"/>
  <c r="AF230" i="1"/>
  <c r="AG230" i="1"/>
  <c r="AD230" i="1" s="1"/>
  <c r="Y230" i="1" s="1"/>
  <c r="AF365" i="1"/>
  <c r="AG365" i="1"/>
  <c r="AD365" i="1" s="1"/>
  <c r="Y365" i="1" s="1"/>
  <c r="CC365" i="1"/>
  <c r="CC366" i="1"/>
  <c r="AF366" i="1"/>
  <c r="AG366" i="1"/>
  <c r="AD366" i="1" s="1"/>
  <c r="Y366" i="1" s="1"/>
  <c r="CC393" i="1"/>
  <c r="AF393" i="1"/>
  <c r="AG393" i="1"/>
  <c r="AD393" i="1" s="1"/>
  <c r="Y393" i="1" s="1"/>
  <c r="AF451" i="1"/>
  <c r="AG451" i="1"/>
  <c r="AD451" i="1" s="1"/>
  <c r="Y451" i="1" s="1"/>
  <c r="CC451" i="1"/>
  <c r="AF452" i="1"/>
  <c r="AG452" i="1"/>
  <c r="AD452" i="1" s="1"/>
  <c r="Y452" i="1" s="1"/>
  <c r="CC452" i="1"/>
  <c r="AF514" i="1"/>
  <c r="AG514" i="1"/>
  <c r="AD514" i="1" s="1"/>
  <c r="Y514" i="1" s="1"/>
  <c r="CC514" i="1"/>
  <c r="AF515" i="1"/>
  <c r="AG515" i="1"/>
  <c r="AD515" i="1" s="1"/>
  <c r="Y515" i="1" s="1"/>
  <c r="AF665" i="1"/>
  <c r="AG665" i="1"/>
  <c r="AD665" i="1" s="1"/>
  <c r="Y665" i="1" s="1"/>
  <c r="CC666" i="1"/>
  <c r="AF666" i="1"/>
  <c r="AG666" i="1"/>
  <c r="AD666" i="1" s="1"/>
  <c r="Y666" i="1" s="1"/>
  <c r="CC638" i="1"/>
  <c r="AF638" i="1"/>
  <c r="AG638" i="1"/>
  <c r="AD638" i="1" s="1"/>
  <c r="Y638" i="1" s="1"/>
  <c r="AF639" i="1"/>
  <c r="AG639" i="1"/>
  <c r="AD639" i="1" s="1"/>
  <c r="Y639" i="1" s="1"/>
  <c r="CC639" i="1"/>
  <c r="AF640" i="1"/>
  <c r="AG640" i="1"/>
  <c r="AD640" i="1" s="1"/>
  <c r="Y640" i="1" s="1"/>
  <c r="CC640" i="1"/>
  <c r="CC641" i="1"/>
  <c r="AF641" i="1"/>
  <c r="AG641" i="1"/>
  <c r="AD641" i="1" s="1"/>
  <c r="Y641" i="1" s="1"/>
  <c r="AF622" i="1"/>
  <c r="AG622" i="1"/>
  <c r="AD622" i="1" s="1"/>
  <c r="Y622" i="1" s="1"/>
  <c r="CC622" i="1"/>
  <c r="CC623" i="1"/>
  <c r="AF623" i="1"/>
  <c r="AG623" i="1"/>
  <c r="AD623" i="1" s="1"/>
  <c r="Y623" i="1" s="1"/>
  <c r="CC84" i="1"/>
  <c r="AF84" i="1"/>
  <c r="AG84" i="1"/>
  <c r="AD84" i="1" s="1"/>
  <c r="Y84" i="1" s="1"/>
  <c r="AF85" i="1"/>
  <c r="AG85" i="1"/>
  <c r="AD85" i="1" s="1"/>
  <c r="Y85" i="1" s="1"/>
  <c r="CC85" i="1"/>
  <c r="CC86" i="1"/>
  <c r="AF86" i="1"/>
  <c r="AG86" i="1"/>
  <c r="AD86" i="1" s="1"/>
  <c r="Y86" i="1" s="1"/>
  <c r="CC87" i="1"/>
  <c r="AF87" i="1"/>
  <c r="AG87" i="1"/>
  <c r="AD87" i="1" s="1"/>
  <c r="Y87" i="1" s="1"/>
  <c r="AF198" i="1"/>
  <c r="AG198" i="1"/>
  <c r="AD198" i="1" s="1"/>
  <c r="Y198" i="1" s="1"/>
  <c r="CC198" i="1"/>
  <c r="CC199" i="1"/>
  <c r="AF199" i="1"/>
  <c r="AG199" i="1"/>
  <c r="AD199" i="1" s="1"/>
  <c r="Y199" i="1" s="1"/>
  <c r="CC256" i="1"/>
  <c r="AF256" i="1"/>
  <c r="AG256" i="1"/>
  <c r="AD256" i="1" s="1"/>
  <c r="Y256" i="1" s="1"/>
  <c r="AF257" i="1"/>
  <c r="AG257" i="1"/>
  <c r="AD257" i="1" s="1"/>
  <c r="Y257" i="1" s="1"/>
  <c r="AF308" i="1"/>
  <c r="AG308" i="1"/>
  <c r="AD308" i="1" s="1"/>
  <c r="Y308" i="1" s="1"/>
  <c r="CC309" i="1"/>
  <c r="AF309" i="1"/>
  <c r="AG309" i="1"/>
  <c r="AD309" i="1" s="1"/>
  <c r="Y309" i="1" s="1"/>
  <c r="CC394" i="1"/>
  <c r="AF394" i="1"/>
  <c r="AG394" i="1"/>
  <c r="AD394" i="1" s="1"/>
  <c r="Y394" i="1" s="1"/>
  <c r="AF453" i="1"/>
  <c r="AG453" i="1"/>
  <c r="AD453" i="1" s="1"/>
  <c r="Y453" i="1" s="1"/>
  <c r="CC453" i="1"/>
  <c r="CC454" i="1"/>
  <c r="AF454" i="1"/>
  <c r="AG454" i="1"/>
  <c r="AD454" i="1" s="1"/>
  <c r="Y454" i="1" s="1"/>
  <c r="CC516" i="1"/>
  <c r="AF516" i="1"/>
  <c r="AG516" i="1"/>
  <c r="AD516" i="1" s="1"/>
  <c r="Y516" i="1" s="1"/>
  <c r="AF517" i="1"/>
  <c r="AG517" i="1"/>
  <c r="AD517" i="1" s="1"/>
  <c r="Y517" i="1" s="1"/>
  <c r="CC517" i="1"/>
  <c r="AF667" i="1"/>
  <c r="AG667" i="1"/>
  <c r="AD667" i="1" s="1"/>
  <c r="Y667" i="1" s="1"/>
  <c r="CC667" i="1"/>
  <c r="CC668" i="1"/>
  <c r="AF668" i="1"/>
  <c r="AG668" i="1"/>
  <c r="AD668" i="1" s="1"/>
  <c r="Y668" i="1" s="1"/>
  <c r="AF642" i="1"/>
  <c r="AG642" i="1"/>
  <c r="AD642" i="1" s="1"/>
  <c r="Y642" i="1" s="1"/>
  <c r="CC642" i="1"/>
  <c r="AF643" i="1"/>
  <c r="AG643" i="1"/>
  <c r="AD643" i="1" s="1"/>
  <c r="Y643" i="1" s="1"/>
  <c r="CC643" i="1"/>
  <c r="CC644" i="1"/>
  <c r="AF644" i="1"/>
  <c r="AG644" i="1"/>
  <c r="AD644" i="1" s="1"/>
  <c r="Y644" i="1" s="1"/>
  <c r="AF645" i="1"/>
  <c r="AG645" i="1"/>
  <c r="AD645" i="1" s="1"/>
  <c r="Y645" i="1" s="1"/>
  <c r="CC645" i="1"/>
  <c r="CC624" i="1"/>
  <c r="AF624" i="1"/>
  <c r="AG624" i="1"/>
  <c r="AD624" i="1" s="1"/>
  <c r="Y624" i="1" s="1"/>
  <c r="CC625" i="1"/>
  <c r="AF625" i="1"/>
  <c r="AG625" i="1"/>
  <c r="AD625" i="1" s="1"/>
  <c r="Y625" i="1" s="1"/>
  <c r="AF88" i="1"/>
  <c r="AG88" i="1"/>
  <c r="AD88" i="1" s="1"/>
  <c r="Y88" i="1" s="1"/>
  <c r="AF89" i="1"/>
  <c r="AG89" i="1"/>
  <c r="AD89" i="1" s="1"/>
  <c r="Y89" i="1" s="1"/>
  <c r="CC90" i="1"/>
  <c r="AF90" i="1"/>
  <c r="AG90" i="1"/>
  <c r="AD90" i="1" s="1"/>
  <c r="Y90" i="1" s="1"/>
  <c r="CC91" i="1"/>
  <c r="AF91" i="1"/>
  <c r="AG91" i="1"/>
  <c r="AD91" i="1" s="1"/>
  <c r="Y91" i="1" s="1"/>
  <c r="AF200" i="1"/>
  <c r="AG200" i="1"/>
  <c r="AD200" i="1" s="1"/>
  <c r="Y200" i="1" s="1"/>
  <c r="CC200" i="1"/>
  <c r="AF201" i="1"/>
  <c r="AG201" i="1"/>
  <c r="AD201" i="1" s="1"/>
  <c r="Y201" i="1" s="1"/>
  <c r="CC201" i="1"/>
  <c r="CC258" i="1"/>
  <c r="AF258" i="1"/>
  <c r="AG258" i="1"/>
  <c r="AD258" i="1" s="1"/>
  <c r="Y258" i="1" s="1"/>
  <c r="AF259" i="1"/>
  <c r="AG259" i="1"/>
  <c r="AD259" i="1" s="1"/>
  <c r="Y259" i="1" s="1"/>
  <c r="CC259" i="1"/>
  <c r="AF310" i="1"/>
  <c r="AG310" i="1"/>
  <c r="AD310" i="1" s="1"/>
  <c r="Y310" i="1" s="1"/>
  <c r="CC310" i="1"/>
  <c r="CC311" i="1"/>
  <c r="AF311" i="1"/>
  <c r="AG311" i="1"/>
  <c r="AD311" i="1" s="1"/>
  <c r="Y311" i="1" s="1"/>
  <c r="AF395" i="1"/>
  <c r="AG395" i="1"/>
  <c r="AD395" i="1" s="1"/>
  <c r="Y395" i="1" s="1"/>
  <c r="CC395" i="1"/>
  <c r="CC455" i="1"/>
  <c r="AF455" i="1"/>
  <c r="AG455" i="1"/>
  <c r="AD455" i="1" s="1"/>
  <c r="Y455" i="1" s="1"/>
  <c r="CC456" i="1"/>
  <c r="AF456" i="1"/>
  <c r="AG456" i="1"/>
  <c r="AD456" i="1" s="1"/>
  <c r="Y456" i="1" s="1"/>
  <c r="CC518" i="1"/>
  <c r="AF518" i="1"/>
  <c r="AG518" i="1"/>
  <c r="AD518" i="1" s="1"/>
  <c r="Y518" i="1" s="1"/>
  <c r="AF519" i="1"/>
  <c r="AG519" i="1"/>
  <c r="AD519" i="1" s="1"/>
  <c r="Y519" i="1" s="1"/>
  <c r="CC519" i="1"/>
  <c r="CC669" i="1"/>
  <c r="AF669" i="1"/>
  <c r="AG669" i="1"/>
  <c r="AD669" i="1" s="1"/>
  <c r="Y669" i="1" s="1"/>
  <c r="AF670" i="1"/>
  <c r="AG670" i="1"/>
  <c r="AD670" i="1" s="1"/>
  <c r="Y670" i="1" s="1"/>
  <c r="AF646" i="1"/>
  <c r="AG646" i="1"/>
  <c r="AD646" i="1" s="1"/>
  <c r="Y646" i="1" s="1"/>
  <c r="CC647" i="1"/>
  <c r="AF647" i="1"/>
  <c r="AG647" i="1"/>
  <c r="AD647" i="1" s="1"/>
  <c r="Y647" i="1" s="1"/>
  <c r="CC648" i="1"/>
  <c r="AF648" i="1"/>
  <c r="AG648" i="1"/>
  <c r="AD648" i="1" s="1"/>
  <c r="Y648" i="1" s="1"/>
  <c r="AF649" i="1"/>
  <c r="AG649" i="1"/>
  <c r="AD649" i="1" s="1"/>
  <c r="Y649" i="1" s="1"/>
  <c r="CC649" i="1"/>
  <c r="CC626" i="1"/>
  <c r="AF626" i="1"/>
  <c r="AG626" i="1"/>
  <c r="AD626" i="1" s="1"/>
  <c r="Y626" i="1" s="1"/>
  <c r="CC627" i="1"/>
  <c r="AF627" i="1"/>
  <c r="AG627" i="1"/>
  <c r="AD627" i="1" s="1"/>
  <c r="Y627" i="1" s="1"/>
  <c r="AF92" i="1"/>
  <c r="AG92" i="1"/>
  <c r="AD92" i="1" s="1"/>
  <c r="Y92" i="1" s="1"/>
  <c r="CC92" i="1"/>
  <c r="CC93" i="1"/>
  <c r="AF93" i="1"/>
  <c r="AG93" i="1"/>
  <c r="AD93" i="1" s="1"/>
  <c r="Y93" i="1" s="1"/>
  <c r="CC94" i="1"/>
  <c r="AF94" i="1"/>
  <c r="AG94" i="1"/>
  <c r="AD94" i="1" s="1"/>
  <c r="Y94" i="1" s="1"/>
  <c r="AF95" i="1"/>
  <c r="AG95" i="1"/>
  <c r="AD95" i="1" s="1"/>
  <c r="Y95" i="1" s="1"/>
  <c r="CC95" i="1"/>
  <c r="CC202" i="1"/>
  <c r="AF202" i="1"/>
  <c r="AG202" i="1"/>
  <c r="AD202" i="1" s="1"/>
  <c r="Y202" i="1" s="1"/>
  <c r="AF194" i="1"/>
  <c r="AG194" i="1"/>
  <c r="AD194" i="1" s="1"/>
  <c r="Y194" i="1" s="1"/>
  <c r="CC194" i="1"/>
  <c r="CC260" i="1"/>
  <c r="AF260" i="1"/>
  <c r="AG260" i="1"/>
  <c r="AD260" i="1" s="1"/>
  <c r="Y260" i="1" s="1"/>
  <c r="AF261" i="1"/>
  <c r="AG261" i="1"/>
  <c r="AD261" i="1" s="1"/>
  <c r="Y261" i="1" s="1"/>
  <c r="CC261" i="1"/>
  <c r="AF312" i="1"/>
  <c r="AG312" i="1"/>
  <c r="AD312" i="1" s="1"/>
  <c r="Y312" i="1" s="1"/>
  <c r="CC312" i="1"/>
  <c r="AF313" i="1"/>
  <c r="AG313" i="1"/>
  <c r="AD313" i="1" s="1"/>
  <c r="Y313" i="1" s="1"/>
  <c r="AF681" i="1"/>
  <c r="AG681" i="1"/>
  <c r="AD681" i="1" s="1"/>
  <c r="Y681" i="1" s="1"/>
  <c r="CC396" i="1"/>
  <c r="AF396" i="1"/>
  <c r="AG396" i="1"/>
  <c r="AD396" i="1" s="1"/>
  <c r="Y396" i="1" s="1"/>
  <c r="AF457" i="1"/>
  <c r="AG457" i="1"/>
  <c r="AD457" i="1" s="1"/>
  <c r="Y457" i="1" s="1"/>
  <c r="CC457" i="1"/>
  <c r="AF458" i="1"/>
  <c r="AG458" i="1"/>
  <c r="AD458" i="1" s="1"/>
  <c r="Y458" i="1" s="1"/>
  <c r="CC458" i="1"/>
  <c r="CC520" i="1"/>
  <c r="AF520" i="1"/>
  <c r="AG520" i="1"/>
  <c r="AD520" i="1" s="1"/>
  <c r="Y520" i="1" s="1"/>
  <c r="CC513" i="1"/>
  <c r="AF513" i="1"/>
  <c r="AG513" i="1"/>
  <c r="AD513" i="1" s="1"/>
  <c r="Y513" i="1" s="1"/>
  <c r="AF671" i="1"/>
  <c r="AG671" i="1"/>
  <c r="AD671" i="1" s="1"/>
  <c r="Y671" i="1" s="1"/>
  <c r="CC671" i="1"/>
  <c r="AF672" i="1"/>
  <c r="AG672" i="1"/>
  <c r="AD672" i="1" s="1"/>
  <c r="Y672" i="1" s="1"/>
  <c r="CC672" i="1"/>
  <c r="CC650" i="1"/>
  <c r="AF650" i="1"/>
  <c r="AG650" i="1"/>
  <c r="AD650" i="1" s="1"/>
  <c r="Y650" i="1" s="1"/>
  <c r="CC628" i="1"/>
  <c r="AF628" i="1"/>
  <c r="AG628" i="1"/>
  <c r="AD628" i="1" s="1"/>
  <c r="Y628" i="1" s="1"/>
  <c r="AF629" i="1"/>
  <c r="AG629" i="1"/>
  <c r="AD629" i="1" s="1"/>
  <c r="Y629" i="1" s="1"/>
  <c r="CC629" i="1"/>
  <c r="CC591" i="1"/>
  <c r="AF591" i="1"/>
  <c r="AG591" i="1"/>
  <c r="AD591" i="1" s="1"/>
  <c r="Y591" i="1" s="1"/>
  <c r="AF96" i="1"/>
  <c r="AG96" i="1"/>
  <c r="AD96" i="1" s="1"/>
  <c r="Y96" i="1" s="1"/>
  <c r="CC96" i="1"/>
  <c r="CC97" i="1"/>
  <c r="AF97" i="1"/>
  <c r="AG97" i="1"/>
  <c r="AD97" i="1" s="1"/>
  <c r="Y97" i="1" s="1"/>
  <c r="CC98" i="1"/>
  <c r="AF98" i="1"/>
  <c r="AG98" i="1"/>
  <c r="AD98" i="1" s="1"/>
  <c r="Y98" i="1" s="1"/>
  <c r="AF55" i="1"/>
  <c r="AG55" i="1"/>
  <c r="AD55" i="1" s="1"/>
  <c r="Y55" i="1" s="1"/>
  <c r="AF203" i="1"/>
  <c r="AG203" i="1"/>
  <c r="AD203" i="1" s="1"/>
  <c r="Y203" i="1" s="1"/>
  <c r="CC163" i="1"/>
  <c r="AF163" i="1"/>
  <c r="AG163" i="1"/>
  <c r="AD163" i="1" s="1"/>
  <c r="Y163" i="1" s="1"/>
  <c r="CC262" i="1"/>
  <c r="AF262" i="1"/>
  <c r="AG262" i="1"/>
  <c r="AD262" i="1" s="1"/>
  <c r="Y262" i="1" s="1"/>
  <c r="AF231" i="1"/>
  <c r="AG231" i="1"/>
  <c r="AD231" i="1" s="1"/>
  <c r="Y231" i="1" s="1"/>
  <c r="CC231" i="1"/>
  <c r="AF314" i="1"/>
  <c r="AG314" i="1"/>
  <c r="AD314" i="1" s="1"/>
  <c r="Y314" i="1" s="1"/>
  <c r="CC314" i="1"/>
  <c r="AK612" i="1" l="1"/>
  <c r="Y612" i="1"/>
  <c r="AO177" i="1"/>
  <c r="Y177" i="1"/>
  <c r="AN235" i="1"/>
  <c r="Y235" i="1"/>
  <c r="AN595" i="1"/>
  <c r="Y595" i="1"/>
  <c r="AL34" i="1"/>
  <c r="Y34" i="1"/>
  <c r="AM381" i="1"/>
  <c r="Y381" i="1"/>
  <c r="AN48" i="1"/>
  <c r="Y48" i="1"/>
  <c r="AL277" i="1"/>
  <c r="Y277" i="1"/>
  <c r="AK139" i="1"/>
  <c r="Y139" i="1"/>
  <c r="AL136" i="1"/>
  <c r="Y136" i="1"/>
  <c r="AK146" i="1"/>
  <c r="Y146" i="1"/>
  <c r="AO131" i="1"/>
  <c r="Y131" i="1"/>
  <c r="AL547" i="1"/>
  <c r="Y547" i="1"/>
  <c r="AK402" i="1"/>
  <c r="Y402" i="1"/>
  <c r="AM17" i="1"/>
  <c r="Y17" i="1"/>
  <c r="AM24" i="1"/>
  <c r="Y24" i="1"/>
  <c r="AK33" i="1"/>
  <c r="Y33" i="1"/>
  <c r="AL23" i="1"/>
  <c r="Y23" i="1"/>
  <c r="AL330" i="1"/>
  <c r="Y330" i="1"/>
  <c r="AK142" i="1"/>
  <c r="Y142" i="1"/>
  <c r="AK531" i="1"/>
  <c r="Y531" i="1"/>
  <c r="AM124" i="1"/>
  <c r="Y124" i="1"/>
  <c r="AM44" i="1"/>
  <c r="Y44" i="1"/>
  <c r="AO325" i="1"/>
  <c r="Y325" i="1"/>
  <c r="AN132" i="1"/>
  <c r="Y132" i="1"/>
  <c r="AL542" i="1"/>
  <c r="Y542" i="1"/>
  <c r="AN51" i="1"/>
  <c r="Y51" i="1"/>
  <c r="AM229" i="1"/>
  <c r="Y229" i="1"/>
  <c r="AK184" i="1"/>
  <c r="Y184" i="1"/>
  <c r="AM504" i="1"/>
  <c r="Y504" i="1"/>
  <c r="AO441" i="1"/>
  <c r="Y441" i="1"/>
  <c r="AL183" i="1"/>
  <c r="Y183" i="1"/>
  <c r="AK579" i="1"/>
  <c r="Y579" i="1"/>
  <c r="AL502" i="1"/>
  <c r="Y502" i="1"/>
  <c r="AM300" i="1"/>
  <c r="Y300" i="1"/>
  <c r="AL608" i="1"/>
  <c r="Y608" i="1"/>
  <c r="AN178" i="1"/>
  <c r="Y178" i="1"/>
  <c r="AM576" i="1"/>
  <c r="Y576" i="1"/>
  <c r="AK435" i="1"/>
  <c r="Y435" i="1"/>
  <c r="AK297" i="1"/>
  <c r="Y297" i="1"/>
  <c r="AL294" i="1"/>
  <c r="Y294" i="1"/>
  <c r="AM175" i="1"/>
  <c r="Y175" i="1"/>
  <c r="AL601" i="1"/>
  <c r="Y601" i="1"/>
  <c r="AO171" i="1"/>
  <c r="Y171" i="1"/>
  <c r="AL427" i="1"/>
  <c r="Y427" i="1"/>
  <c r="AL169" i="1"/>
  <c r="Y169" i="1"/>
  <c r="AL345" i="1"/>
  <c r="Y345" i="1"/>
  <c r="AN280" i="1"/>
  <c r="Y280" i="1"/>
  <c r="AN234" i="1"/>
  <c r="Y234" i="1"/>
  <c r="AM305" i="1"/>
  <c r="Y305" i="1"/>
  <c r="AN232" i="1"/>
  <c r="Y232" i="1"/>
  <c r="AK28" i="1"/>
  <c r="Y28" i="1"/>
  <c r="AK216" i="1"/>
  <c r="Y216" i="1"/>
  <c r="AM408" i="1"/>
  <c r="Y408" i="1"/>
  <c r="AK143" i="1"/>
  <c r="Y143" i="1"/>
  <c r="AO473" i="1"/>
  <c r="Y473" i="1"/>
  <c r="AK46" i="1"/>
  <c r="Y46" i="1"/>
  <c r="AM212" i="1"/>
  <c r="Y212" i="1"/>
  <c r="AN211" i="1"/>
  <c r="Y211" i="1"/>
  <c r="AL554" i="1"/>
  <c r="Y554" i="1"/>
  <c r="AN552" i="1"/>
  <c r="Y552" i="1"/>
  <c r="AL323" i="1"/>
  <c r="Y323" i="1"/>
  <c r="AK405" i="1"/>
  <c r="Y405" i="1"/>
  <c r="AK119" i="1"/>
  <c r="Y119" i="1"/>
  <c r="AN545" i="1"/>
  <c r="Y545" i="1"/>
  <c r="AK282" i="1"/>
  <c r="Y282" i="1"/>
  <c r="AL367" i="1"/>
  <c r="Y367" i="1"/>
  <c r="AL409" i="1"/>
  <c r="Y409" i="1"/>
  <c r="AM302" i="1"/>
  <c r="Y302" i="1"/>
  <c r="AK242" i="1"/>
  <c r="Y242" i="1"/>
  <c r="AM293" i="1"/>
  <c r="Y293" i="1"/>
  <c r="AK65" i="1"/>
  <c r="Y65" i="1"/>
  <c r="AN237" i="1"/>
  <c r="Y237" i="1"/>
  <c r="AK32" i="1"/>
  <c r="Y32" i="1"/>
  <c r="AK26" i="1"/>
  <c r="Y26" i="1"/>
  <c r="AM144" i="1"/>
  <c r="Y144" i="1"/>
  <c r="AN214" i="1"/>
  <c r="Y214" i="1"/>
  <c r="AM141" i="1"/>
  <c r="Y141" i="1"/>
  <c r="AM471" i="1"/>
  <c r="Y471" i="1"/>
  <c r="AO553" i="1"/>
  <c r="Y553" i="1"/>
  <c r="AK384" i="1"/>
  <c r="Y384" i="1"/>
  <c r="AK548" i="1"/>
  <c r="Y548" i="1"/>
  <c r="AN38" i="1"/>
  <c r="Y38" i="1"/>
  <c r="AK75" i="1"/>
  <c r="Y75" i="1"/>
  <c r="AM336" i="1"/>
  <c r="Y336" i="1"/>
  <c r="AN70" i="1"/>
  <c r="Y70" i="1"/>
  <c r="AM244" i="1"/>
  <c r="Y244" i="1"/>
  <c r="AL353" i="1"/>
  <c r="Y353" i="1"/>
  <c r="AK352" i="1"/>
  <c r="Y352" i="1"/>
  <c r="AK174" i="1"/>
  <c r="Y174" i="1"/>
  <c r="AK494" i="1"/>
  <c r="Y494" i="1"/>
  <c r="AL582" i="1"/>
  <c r="Y582" i="1"/>
  <c r="AN245" i="1"/>
  <c r="Y245" i="1"/>
  <c r="AK348" i="1"/>
  <c r="Y348" i="1"/>
  <c r="AN238" i="1"/>
  <c r="Y238" i="1"/>
  <c r="AK62" i="1"/>
  <c r="Y62" i="1"/>
  <c r="AK598" i="1"/>
  <c r="Y598" i="1"/>
  <c r="AO236" i="1"/>
  <c r="Y236" i="1"/>
  <c r="AN485" i="1"/>
  <c r="Y485" i="1"/>
  <c r="AM233" i="1"/>
  <c r="Y233" i="1"/>
  <c r="AL57" i="1"/>
  <c r="Y57" i="1"/>
  <c r="AL483" i="1"/>
  <c r="Y483" i="1"/>
  <c r="AM5" i="1"/>
  <c r="Y5" i="1"/>
  <c r="AM276" i="1"/>
  <c r="Y276" i="1"/>
  <c r="AM530" i="1"/>
  <c r="Y530" i="1"/>
  <c r="AK370" i="1"/>
  <c r="Y370" i="1"/>
  <c r="AK442" i="1"/>
  <c r="Y442" i="1"/>
  <c r="AL335" i="1"/>
  <c r="Y335" i="1"/>
  <c r="AN228" i="1"/>
  <c r="Y228" i="1"/>
  <c r="AK501" i="1"/>
  <c r="Y501" i="1"/>
  <c r="AL609" i="1"/>
  <c r="Y609" i="1"/>
  <c r="AO499" i="1"/>
  <c r="Y499" i="1"/>
  <c r="AL575" i="1"/>
  <c r="Y575" i="1"/>
  <c r="AK243" i="1"/>
  <c r="Y243" i="1"/>
  <c r="AL493" i="1"/>
  <c r="Y493" i="1"/>
  <c r="AN226" i="1"/>
  <c r="Y226" i="1"/>
  <c r="AK61" i="1"/>
  <c r="Y61" i="1"/>
  <c r="AM166" i="1"/>
  <c r="Y166" i="1"/>
  <c r="AL59" i="1"/>
  <c r="Y59" i="1"/>
  <c r="AL279" i="1"/>
  <c r="Y279" i="1"/>
  <c r="AK536" i="1"/>
  <c r="Y536" i="1"/>
  <c r="AK149" i="1"/>
  <c r="Y149" i="1"/>
  <c r="AL551" i="1"/>
  <c r="Y551" i="1"/>
  <c r="AK288" i="1"/>
  <c r="Y288" i="1"/>
  <c r="AK480" i="1"/>
  <c r="Y480" i="1"/>
  <c r="AK301" i="1"/>
  <c r="Y301" i="1"/>
  <c r="AN182" i="1"/>
  <c r="Y182" i="1"/>
  <c r="AL356" i="1"/>
  <c r="Y356" i="1"/>
  <c r="AO227" i="1"/>
  <c r="Y227" i="1"/>
  <c r="AK292" i="1"/>
  <c r="Y292" i="1"/>
  <c r="AL306" i="1"/>
  <c r="Y306" i="1"/>
  <c r="AL567" i="1"/>
  <c r="Y567" i="1"/>
  <c r="AK490" i="1"/>
  <c r="Y490" i="1"/>
  <c r="AL168" i="1"/>
  <c r="Y168" i="1"/>
  <c r="AN566" i="1"/>
  <c r="Y566" i="1"/>
  <c r="AM565" i="1"/>
  <c r="Y565" i="1"/>
  <c r="AK425" i="1"/>
  <c r="Y425" i="1"/>
  <c r="AK167" i="1"/>
  <c r="Y167" i="1"/>
  <c r="AK563" i="1"/>
  <c r="Y563" i="1"/>
  <c r="AK424" i="1"/>
  <c r="Y424" i="1"/>
  <c r="AL423" i="1"/>
  <c r="Y423" i="1"/>
  <c r="AK562" i="1"/>
  <c r="Y562" i="1"/>
  <c r="AN592" i="1"/>
  <c r="Y592" i="1"/>
  <c r="AL25" i="1"/>
  <c r="Y25" i="1"/>
  <c r="AK382" i="1"/>
  <c r="Y382" i="1"/>
  <c r="AN387" i="1"/>
  <c r="Y387" i="1"/>
  <c r="AL10" i="1"/>
  <c r="Y10" i="1"/>
  <c r="AK271" i="1"/>
  <c r="Y271" i="1"/>
  <c r="AM151" i="1"/>
  <c r="Y151" i="1"/>
  <c r="AM47" i="1"/>
  <c r="Y47" i="1"/>
  <c r="AL328" i="1"/>
  <c r="Y328" i="1"/>
  <c r="AO533" i="1"/>
  <c r="Y533" i="1"/>
  <c r="AN406" i="1"/>
  <c r="Y406" i="1"/>
  <c r="AK420" i="1"/>
  <c r="Y420" i="1"/>
  <c r="AK326" i="1"/>
  <c r="Y326" i="1"/>
  <c r="AM470" i="1"/>
  <c r="Y470" i="1"/>
  <c r="AM147" i="1"/>
  <c r="Y147" i="1"/>
  <c r="AK469" i="1"/>
  <c r="Y469" i="1"/>
  <c r="AM324" i="1"/>
  <c r="Y324" i="1"/>
  <c r="AK138" i="1"/>
  <c r="Y138" i="1"/>
  <c r="AL133" i="1"/>
  <c r="Y133" i="1"/>
  <c r="AM115" i="1"/>
  <c r="Y115" i="1"/>
  <c r="AO371" i="1"/>
  <c r="Y371" i="1"/>
  <c r="AO342" i="1"/>
  <c r="Y342" i="1"/>
  <c r="AO416" i="1"/>
  <c r="Y416" i="1"/>
  <c r="AO481" i="1"/>
  <c r="Y481" i="1"/>
  <c r="AK222" i="1"/>
  <c r="Y222" i="1"/>
  <c r="AK338" i="1"/>
  <c r="Y338" i="1"/>
  <c r="AK412" i="1"/>
  <c r="Y412" i="1"/>
  <c r="AL477" i="1"/>
  <c r="Y477" i="1"/>
  <c r="AN538" i="1"/>
  <c r="Y538" i="1"/>
  <c r="AL97" i="1"/>
  <c r="AO628" i="1"/>
  <c r="AK514" i="1"/>
  <c r="AO193" i="1"/>
  <c r="AK590" i="1"/>
  <c r="AK250" i="1"/>
  <c r="AN247" i="1"/>
  <c r="AK8" i="1"/>
  <c r="AK79" i="1"/>
  <c r="AO163" i="1"/>
  <c r="AO622" i="1"/>
  <c r="AK249" i="1"/>
  <c r="AN76" i="1"/>
  <c r="AL261" i="1"/>
  <c r="AL507" i="1"/>
  <c r="AM670" i="1"/>
  <c r="AM310" i="1"/>
  <c r="AK394" i="1"/>
  <c r="AM452" i="1"/>
  <c r="AK254" i="1"/>
  <c r="AK445" i="1"/>
  <c r="AK614" i="1"/>
  <c r="AN185" i="1"/>
  <c r="AN391" i="1"/>
  <c r="AL646" i="1"/>
  <c r="AK446" i="1"/>
  <c r="AN681" i="1"/>
  <c r="AN96" i="1"/>
  <c r="AM93" i="1"/>
  <c r="AK199" i="1"/>
  <c r="AK619" i="1"/>
  <c r="AN251" i="1"/>
  <c r="AK78" i="1"/>
  <c r="AK311" i="1"/>
  <c r="AK188" i="1"/>
  <c r="AK94" i="1"/>
  <c r="AM86" i="1"/>
  <c r="AL313" i="1"/>
  <c r="AO91" i="1"/>
  <c r="AL616" i="1"/>
  <c r="AN187" i="1"/>
  <c r="AL506" i="1"/>
  <c r="AM314" i="1"/>
  <c r="AN259" i="1"/>
  <c r="AK624" i="1"/>
  <c r="AN451" i="1"/>
  <c r="AK253" i="1"/>
  <c r="AL584" i="1"/>
  <c r="AM9" i="1"/>
  <c r="AN385" i="1"/>
  <c r="AL89" i="1"/>
  <c r="AM361" i="1"/>
  <c r="AN189" i="1"/>
  <c r="AL586" i="1"/>
  <c r="AO357" i="1"/>
  <c r="AK638" i="1"/>
  <c r="AK443" i="1"/>
  <c r="AL203" i="1"/>
  <c r="AL672" i="1"/>
  <c r="AK202" i="1"/>
  <c r="AL665" i="1"/>
  <c r="AK312" i="1"/>
  <c r="AO92" i="1"/>
  <c r="AL198" i="1"/>
  <c r="AN640" i="1"/>
  <c r="AK393" i="1"/>
  <c r="AK255" i="1"/>
  <c r="AL505" i="1"/>
  <c r="AM257" i="1"/>
  <c r="AK77" i="1"/>
  <c r="AN363" i="1"/>
  <c r="AK98" i="1"/>
  <c r="AK519" i="1"/>
  <c r="AL308" i="1"/>
  <c r="AK515" i="1"/>
  <c r="AK588" i="1"/>
  <c r="AL359" i="1"/>
  <c r="AK583" i="1"/>
  <c r="AK390" i="1"/>
  <c r="AL585" i="1"/>
  <c r="AK190" i="1"/>
  <c r="AK55" i="1"/>
  <c r="AN457" i="1"/>
  <c r="AO623" i="1"/>
  <c r="AO191" i="1"/>
  <c r="AO510" i="1"/>
  <c r="AO43" i="1"/>
  <c r="AN501" i="1"/>
  <c r="AM185" i="1"/>
  <c r="AL246" i="1"/>
  <c r="AO76" i="1"/>
  <c r="AO85" i="1"/>
  <c r="AN569" i="1"/>
  <c r="AN166" i="1"/>
  <c r="AO96" i="1"/>
  <c r="AM535" i="1"/>
  <c r="AL535" i="1"/>
  <c r="AM406" i="1"/>
  <c r="AO211" i="1"/>
  <c r="AN169" i="1"/>
  <c r="AK406" i="1"/>
  <c r="AO443" i="1"/>
  <c r="AM443" i="1"/>
  <c r="AN124" i="1"/>
  <c r="AL443" i="1"/>
  <c r="AK124" i="1"/>
  <c r="AO64" i="1"/>
  <c r="AL303" i="1"/>
  <c r="AO124" i="1"/>
  <c r="AM552" i="1"/>
  <c r="AK552" i="1"/>
  <c r="AL628" i="1"/>
  <c r="AK628" i="1"/>
  <c r="AL681" i="1"/>
  <c r="AO501" i="1"/>
  <c r="AO576" i="1"/>
  <c r="AO257" i="1"/>
  <c r="AO86" i="1"/>
  <c r="AM501" i="1"/>
  <c r="AK576" i="1"/>
  <c r="AO297" i="1"/>
  <c r="AO425" i="1"/>
  <c r="AO474" i="1"/>
  <c r="AM297" i="1"/>
  <c r="AM352" i="1"/>
  <c r="AL425" i="1"/>
  <c r="AO405" i="1"/>
  <c r="AM131" i="1"/>
  <c r="AO642" i="1"/>
  <c r="AK144" i="1"/>
  <c r="AO672" i="1"/>
  <c r="AM672" i="1"/>
  <c r="AN492" i="1"/>
  <c r="AN443" i="1"/>
  <c r="AO582" i="1"/>
  <c r="AL174" i="1"/>
  <c r="AK492" i="1"/>
  <c r="AK615" i="1"/>
  <c r="AO209" i="1"/>
  <c r="AK68" i="1"/>
  <c r="AM68" i="1"/>
  <c r="AM667" i="1"/>
  <c r="AO667" i="1"/>
  <c r="AN639" i="1"/>
  <c r="AO639" i="1"/>
  <c r="AO578" i="1"/>
  <c r="AL578" i="1"/>
  <c r="AL620" i="1"/>
  <c r="AM620" i="1"/>
  <c r="AN620" i="1"/>
  <c r="AO620" i="1"/>
  <c r="AK331" i="1"/>
  <c r="AO283" i="1"/>
  <c r="AM594" i="1"/>
  <c r="AN594" i="1"/>
  <c r="AL439" i="1"/>
  <c r="AM231" i="1"/>
  <c r="AN231" i="1"/>
  <c r="AO231" i="1"/>
  <c r="AM140" i="1"/>
  <c r="AN160" i="1"/>
  <c r="AL160" i="1"/>
  <c r="AM626" i="1"/>
  <c r="AN626" i="1"/>
  <c r="AO164" i="1"/>
  <c r="AN40" i="1"/>
  <c r="AK40" i="1"/>
  <c r="AL40" i="1"/>
  <c r="AM286" i="1"/>
  <c r="AN286" i="1"/>
  <c r="AM444" i="1"/>
  <c r="AL444" i="1"/>
  <c r="AO444" i="1"/>
  <c r="AK453" i="1"/>
  <c r="AL453" i="1"/>
  <c r="AM649" i="1"/>
  <c r="AN649" i="1"/>
  <c r="AN529" i="1"/>
  <c r="AO529" i="1"/>
  <c r="AN642" i="1"/>
  <c r="AK85" i="1"/>
  <c r="AM582" i="1"/>
  <c r="AK353" i="1"/>
  <c r="AN426" i="1"/>
  <c r="AO469" i="1"/>
  <c r="AN115" i="1"/>
  <c r="AL545" i="1"/>
  <c r="AM642" i="1"/>
  <c r="AM171" i="1"/>
  <c r="AO406" i="1"/>
  <c r="AL642" i="1"/>
  <c r="AL171" i="1"/>
  <c r="AN424" i="1"/>
  <c r="AO98" i="1"/>
  <c r="AO457" i="1"/>
  <c r="AK642" i="1"/>
  <c r="AK198" i="1"/>
  <c r="AM450" i="1"/>
  <c r="AK281" i="1"/>
  <c r="AN575" i="1"/>
  <c r="AK171" i="1"/>
  <c r="AM422" i="1"/>
  <c r="AM277" i="1"/>
  <c r="AL406" i="1"/>
  <c r="AM133" i="1"/>
  <c r="AN78" i="1"/>
  <c r="AO293" i="1"/>
  <c r="AN275" i="1"/>
  <c r="AL93" i="1"/>
  <c r="AM623" i="1"/>
  <c r="AN301" i="1"/>
  <c r="AK293" i="1"/>
  <c r="AM275" i="1"/>
  <c r="AM513" i="1"/>
  <c r="AK257" i="1"/>
  <c r="AN125" i="1"/>
  <c r="AL275" i="1"/>
  <c r="AN515" i="1"/>
  <c r="AL619" i="1"/>
  <c r="AM189" i="1"/>
  <c r="AK59" i="1"/>
  <c r="AK275" i="1"/>
  <c r="AN470" i="1"/>
  <c r="AO303" i="1"/>
  <c r="AM681" i="1"/>
  <c r="AO608" i="1"/>
  <c r="AM354" i="1"/>
  <c r="AN352" i="1"/>
  <c r="AO136" i="1"/>
  <c r="AL38" i="1"/>
  <c r="AN303" i="1"/>
  <c r="AN614" i="1"/>
  <c r="AN608" i="1"/>
  <c r="AL354" i="1"/>
  <c r="AO602" i="1"/>
  <c r="AN598" i="1"/>
  <c r="AO345" i="1"/>
  <c r="AL232" i="1"/>
  <c r="AL420" i="1"/>
  <c r="AK38" i="1"/>
  <c r="AM96" i="1"/>
  <c r="AO519" i="1"/>
  <c r="AM614" i="1"/>
  <c r="AM608" i="1"/>
  <c r="AM227" i="1"/>
  <c r="AM602" i="1"/>
  <c r="AO237" i="1"/>
  <c r="AN345" i="1"/>
  <c r="AK232" i="1"/>
  <c r="AN519" i="1"/>
  <c r="AL311" i="1"/>
  <c r="AN622" i="1"/>
  <c r="AM585" i="1"/>
  <c r="AO245" i="1"/>
  <c r="AL602" i="1"/>
  <c r="AM62" i="1"/>
  <c r="AM345" i="1"/>
  <c r="AM519" i="1"/>
  <c r="AL361" i="1"/>
  <c r="AK602" i="1"/>
  <c r="AL167" i="1"/>
  <c r="AK458" i="1"/>
  <c r="AN458" i="1"/>
  <c r="AO458" i="1"/>
  <c r="AO641" i="1"/>
  <c r="AK80" i="1"/>
  <c r="AO80" i="1"/>
  <c r="AK84" i="1"/>
  <c r="AL84" i="1"/>
  <c r="AM84" i="1"/>
  <c r="AK186" i="1"/>
  <c r="AO186" i="1"/>
  <c r="AM629" i="1"/>
  <c r="AK629" i="1"/>
  <c r="AL629" i="1"/>
  <c r="AN629" i="1"/>
  <c r="AO629" i="1"/>
  <c r="AM448" i="1"/>
  <c r="AK448" i="1"/>
  <c r="AL448" i="1"/>
  <c r="AO448" i="1"/>
  <c r="AM455" i="1"/>
  <c r="AK455" i="1"/>
  <c r="AL455" i="1"/>
  <c r="AN455" i="1"/>
  <c r="AO455" i="1"/>
  <c r="AK200" i="1"/>
  <c r="AL200" i="1"/>
  <c r="AM200" i="1"/>
  <c r="AN200" i="1"/>
  <c r="AO200" i="1"/>
  <c r="AK81" i="1"/>
  <c r="AN201" i="1"/>
  <c r="AK468" i="1"/>
  <c r="AL468" i="1"/>
  <c r="AK7" i="1"/>
  <c r="AL7" i="1"/>
  <c r="AM7" i="1"/>
  <c r="AO7" i="1"/>
  <c r="AN560" i="1"/>
  <c r="AK560" i="1"/>
  <c r="AL560" i="1"/>
  <c r="AM560" i="1"/>
  <c r="AO395" i="1"/>
  <c r="AO89" i="1"/>
  <c r="AN85" i="1"/>
  <c r="AM188" i="1"/>
  <c r="AO584" i="1"/>
  <c r="AM442" i="1"/>
  <c r="AL442" i="1"/>
  <c r="AN442" i="1"/>
  <c r="AL499" i="1"/>
  <c r="AM499" i="1"/>
  <c r="AK175" i="1"/>
  <c r="AL175" i="1"/>
  <c r="AN175" i="1"/>
  <c r="AO175" i="1"/>
  <c r="AK418" i="1"/>
  <c r="AM418" i="1"/>
  <c r="AN467" i="1"/>
  <c r="AO467" i="1"/>
  <c r="AK481" i="1"/>
  <c r="AN481" i="1"/>
  <c r="AN217" i="1"/>
  <c r="AO217" i="1"/>
  <c r="AM643" i="1"/>
  <c r="AO489" i="1"/>
  <c r="AL489" i="1"/>
  <c r="AN489" i="1"/>
  <c r="AN395" i="1"/>
  <c r="AN89" i="1"/>
  <c r="AN645" i="1"/>
  <c r="AM85" i="1"/>
  <c r="AM366" i="1"/>
  <c r="AL188" i="1"/>
  <c r="AM584" i="1"/>
  <c r="AN74" i="1"/>
  <c r="AK613" i="1"/>
  <c r="AL434" i="1"/>
  <c r="AM434" i="1"/>
  <c r="AO434" i="1"/>
  <c r="AK307" i="1"/>
  <c r="AL307" i="1"/>
  <c r="AM307" i="1"/>
  <c r="AN307" i="1"/>
  <c r="AO307" i="1"/>
  <c r="AN117" i="1"/>
  <c r="AK117" i="1"/>
  <c r="AL117" i="1"/>
  <c r="AO117" i="1"/>
  <c r="AM395" i="1"/>
  <c r="AM259" i="1"/>
  <c r="AM89" i="1"/>
  <c r="AL85" i="1"/>
  <c r="AO638" i="1"/>
  <c r="AL428" i="1"/>
  <c r="AM428" i="1"/>
  <c r="AM220" i="1"/>
  <c r="AN220" i="1"/>
  <c r="AO220" i="1"/>
  <c r="AM154" i="1"/>
  <c r="AN154" i="1"/>
  <c r="AO154" i="1"/>
  <c r="AK475" i="1"/>
  <c r="AL395" i="1"/>
  <c r="AL259" i="1"/>
  <c r="AM453" i="1"/>
  <c r="AL190" i="1"/>
  <c r="AM190" i="1"/>
  <c r="AK441" i="1"/>
  <c r="AL438" i="1"/>
  <c r="AK438" i="1"/>
  <c r="AM438" i="1"/>
  <c r="AN438" i="1"/>
  <c r="AO438" i="1"/>
  <c r="AN172" i="1"/>
  <c r="AO172" i="1"/>
  <c r="AK430" i="1"/>
  <c r="AM430" i="1"/>
  <c r="AO289" i="1"/>
  <c r="AK395" i="1"/>
  <c r="AO363" i="1"/>
  <c r="AM609" i="1"/>
  <c r="AK609" i="1"/>
  <c r="AN609" i="1"/>
  <c r="AO609" i="1"/>
  <c r="AO54" i="1"/>
  <c r="AK54" i="1"/>
  <c r="AL54" i="1"/>
  <c r="AM54" i="1"/>
  <c r="AN54" i="1"/>
  <c r="AK433" i="1"/>
  <c r="AL433" i="1"/>
  <c r="AO433" i="1"/>
  <c r="AO170" i="1"/>
  <c r="AK170" i="1"/>
  <c r="AM170" i="1"/>
  <c r="AN170" i="1"/>
  <c r="AN122" i="1"/>
  <c r="AO122" i="1"/>
  <c r="AN188" i="1"/>
  <c r="AO188" i="1"/>
  <c r="AK506" i="1"/>
  <c r="AM506" i="1"/>
  <c r="AN506" i="1"/>
  <c r="AK605" i="1"/>
  <c r="AL605" i="1"/>
  <c r="AM605" i="1"/>
  <c r="AN605" i="1"/>
  <c r="AO596" i="1"/>
  <c r="AL596" i="1"/>
  <c r="AN596" i="1"/>
  <c r="AK346" i="1"/>
  <c r="AK593" i="1"/>
  <c r="AM593" i="1"/>
  <c r="AN593" i="1"/>
  <c r="AO593" i="1"/>
  <c r="AK116" i="1"/>
  <c r="AM116" i="1"/>
  <c r="AN116" i="1"/>
  <c r="AO116" i="1"/>
  <c r="AK372" i="1"/>
  <c r="AL372" i="1"/>
  <c r="AM372" i="1"/>
  <c r="AO372" i="1"/>
  <c r="AN12" i="1"/>
  <c r="AK12" i="1"/>
  <c r="AL12" i="1"/>
  <c r="AM12" i="1"/>
  <c r="AK156" i="1"/>
  <c r="AK50" i="1"/>
  <c r="AL231" i="1"/>
  <c r="AO55" i="1"/>
  <c r="AO261" i="1"/>
  <c r="AL649" i="1"/>
  <c r="AN86" i="1"/>
  <c r="AM639" i="1"/>
  <c r="AO365" i="1"/>
  <c r="AK251" i="1"/>
  <c r="AO79" i="1"/>
  <c r="AM294" i="1"/>
  <c r="AN294" i="1"/>
  <c r="AO294" i="1"/>
  <c r="AK294" i="1"/>
  <c r="AK533" i="1"/>
  <c r="AM533" i="1"/>
  <c r="AN533" i="1"/>
  <c r="AM273" i="1"/>
  <c r="AN273" i="1"/>
  <c r="AO273" i="1"/>
  <c r="AK231" i="1"/>
  <c r="AM55" i="1"/>
  <c r="AN261" i="1"/>
  <c r="AK649" i="1"/>
  <c r="AO199" i="1"/>
  <c r="AL86" i="1"/>
  <c r="AL639" i="1"/>
  <c r="AN365" i="1"/>
  <c r="AO446" i="1"/>
  <c r="AM502" i="1"/>
  <c r="AK502" i="1"/>
  <c r="AN502" i="1"/>
  <c r="AO502" i="1"/>
  <c r="AK69" i="1"/>
  <c r="AM69" i="1"/>
  <c r="AN69" i="1"/>
  <c r="AK604" i="1"/>
  <c r="AL488" i="1"/>
  <c r="AM488" i="1"/>
  <c r="AM41" i="1"/>
  <c r="AN41" i="1"/>
  <c r="AO41" i="1"/>
  <c r="AO157" i="1"/>
  <c r="AL157" i="1"/>
  <c r="AM157" i="1"/>
  <c r="AN157" i="1"/>
  <c r="AK436" i="1"/>
  <c r="AN436" i="1"/>
  <c r="AN628" i="1"/>
  <c r="AO681" i="1"/>
  <c r="AM261" i="1"/>
  <c r="AM199" i="1"/>
  <c r="AK86" i="1"/>
  <c r="AK639" i="1"/>
  <c r="AK618" i="1"/>
  <c r="AN446" i="1"/>
  <c r="AO615" i="1"/>
  <c r="AK504" i="1"/>
  <c r="AL504" i="1"/>
  <c r="AN504" i="1"/>
  <c r="AK72" i="1"/>
  <c r="AL72" i="1"/>
  <c r="AM72" i="1"/>
  <c r="AK241" i="1"/>
  <c r="AM241" i="1"/>
  <c r="AN241" i="1"/>
  <c r="AO241" i="1"/>
  <c r="AL344" i="1"/>
  <c r="AM344" i="1"/>
  <c r="AN344" i="1"/>
  <c r="AO344" i="1"/>
  <c r="AL555" i="1"/>
  <c r="AM555" i="1"/>
  <c r="AN383" i="1"/>
  <c r="AK383" i="1"/>
  <c r="AL383" i="1"/>
  <c r="AM383" i="1"/>
  <c r="AO383" i="1"/>
  <c r="AM628" i="1"/>
  <c r="AK261" i="1"/>
  <c r="AO95" i="1"/>
  <c r="AO643" i="1"/>
  <c r="AO665" i="1"/>
  <c r="AO450" i="1"/>
  <c r="AK498" i="1"/>
  <c r="AL498" i="1"/>
  <c r="AM498" i="1"/>
  <c r="AN498" i="1"/>
  <c r="AN66" i="1"/>
  <c r="AO66" i="1"/>
  <c r="AK484" i="1"/>
  <c r="AN484" i="1"/>
  <c r="AO484" i="1"/>
  <c r="AO51" i="1"/>
  <c r="AL51" i="1"/>
  <c r="AM51" i="1"/>
  <c r="AN643" i="1"/>
  <c r="AO451" i="1"/>
  <c r="AN450" i="1"/>
  <c r="AM332" i="1"/>
  <c r="AK332" i="1"/>
  <c r="AK226" i="1"/>
  <c r="AO226" i="1"/>
  <c r="AL226" i="1"/>
  <c r="AM226" i="1"/>
  <c r="AL643" i="1"/>
  <c r="AM451" i="1"/>
  <c r="AK581" i="1"/>
  <c r="AK228" i="1"/>
  <c r="AL228" i="1"/>
  <c r="AO228" i="1"/>
  <c r="AK497" i="1"/>
  <c r="AK496" i="1"/>
  <c r="AN496" i="1"/>
  <c r="AL349" i="1"/>
  <c r="AK349" i="1"/>
  <c r="AM349" i="1"/>
  <c r="AO349" i="1"/>
  <c r="AL472" i="1"/>
  <c r="AK472" i="1"/>
  <c r="AO472" i="1"/>
  <c r="AK145" i="1"/>
  <c r="AM145" i="1"/>
  <c r="AN145" i="1"/>
  <c r="AN541" i="1"/>
  <c r="AK541" i="1"/>
  <c r="AL541" i="1"/>
  <c r="AM541" i="1"/>
  <c r="AK643" i="1"/>
  <c r="AN638" i="1"/>
  <c r="AK451" i="1"/>
  <c r="AM446" i="1"/>
  <c r="AL446" i="1"/>
  <c r="AL503" i="1"/>
  <c r="AL239" i="1"/>
  <c r="AN239" i="1"/>
  <c r="AO239" i="1"/>
  <c r="AO347" i="1"/>
  <c r="AL347" i="1"/>
  <c r="AM347" i="1"/>
  <c r="AN379" i="1"/>
  <c r="AK379" i="1"/>
  <c r="AL379" i="1"/>
  <c r="AM379" i="1"/>
  <c r="AN558" i="1"/>
  <c r="AK558" i="1"/>
  <c r="AL558" i="1"/>
  <c r="AM558" i="1"/>
  <c r="AO314" i="1"/>
  <c r="AL98" i="1"/>
  <c r="AO453" i="1"/>
  <c r="AN257" i="1"/>
  <c r="AM638" i="1"/>
  <c r="AM515" i="1"/>
  <c r="AK620" i="1"/>
  <c r="AO361" i="1"/>
  <c r="AL357" i="1"/>
  <c r="AM357" i="1"/>
  <c r="AK570" i="1"/>
  <c r="AO570" i="1"/>
  <c r="AL564" i="1"/>
  <c r="AM564" i="1"/>
  <c r="AO564" i="1"/>
  <c r="AK148" i="1"/>
  <c r="AL148" i="1"/>
  <c r="AO148" i="1"/>
  <c r="AO513" i="1"/>
  <c r="AK313" i="1"/>
  <c r="AN453" i="1"/>
  <c r="AL257" i="1"/>
  <c r="AL638" i="1"/>
  <c r="AN255" i="1"/>
  <c r="AM187" i="1"/>
  <c r="AO613" i="1"/>
  <c r="AO442" i="1"/>
  <c r="AL333" i="1"/>
  <c r="AN333" i="1"/>
  <c r="AO333" i="1"/>
  <c r="AK123" i="1"/>
  <c r="AL123" i="1"/>
  <c r="AK378" i="1"/>
  <c r="AO560" i="1"/>
  <c r="AL352" i="1"/>
  <c r="AN432" i="1"/>
  <c r="AM598" i="1"/>
  <c r="AL236" i="1"/>
  <c r="AL166" i="1"/>
  <c r="AO423" i="1"/>
  <c r="AO535" i="1"/>
  <c r="AL141" i="1"/>
  <c r="AL471" i="1"/>
  <c r="AL44" i="1"/>
  <c r="AM432" i="1"/>
  <c r="AO238" i="1"/>
  <c r="AL61" i="1"/>
  <c r="AN423" i="1"/>
  <c r="AN535" i="1"/>
  <c r="AO134" i="1"/>
  <c r="AL432" i="1"/>
  <c r="AO426" i="1"/>
  <c r="AM423" i="1"/>
  <c r="AK305" i="1"/>
  <c r="AN134" i="1"/>
  <c r="AM134" i="1"/>
  <c r="AO439" i="1"/>
  <c r="AN578" i="1"/>
  <c r="AN576" i="1"/>
  <c r="AO353" i="1"/>
  <c r="AN293" i="1"/>
  <c r="AM426" i="1"/>
  <c r="AO133" i="1"/>
  <c r="AO545" i="1"/>
  <c r="AN283" i="1"/>
  <c r="AK303" i="1"/>
  <c r="AO619" i="1"/>
  <c r="AO78" i="1"/>
  <c r="AN444" i="1"/>
  <c r="AM439" i="1"/>
  <c r="AM578" i="1"/>
  <c r="AL576" i="1"/>
  <c r="AL293" i="1"/>
  <c r="AO492" i="1"/>
  <c r="AO169" i="1"/>
  <c r="AL426" i="1"/>
  <c r="AK234" i="1"/>
  <c r="AN165" i="1"/>
  <c r="AL144" i="1"/>
  <c r="AL124" i="1"/>
  <c r="AL552" i="1"/>
  <c r="AN133" i="1"/>
  <c r="AM160" i="1"/>
  <c r="AM545" i="1"/>
  <c r="AK426" i="1"/>
  <c r="AO616" i="1"/>
  <c r="AM583" i="1"/>
  <c r="AK444" i="1"/>
  <c r="AM335" i="1"/>
  <c r="AK578" i="1"/>
  <c r="AO242" i="1"/>
  <c r="AM492" i="1"/>
  <c r="AO331" i="1"/>
  <c r="AM169" i="1"/>
  <c r="AO59" i="1"/>
  <c r="AK485" i="1"/>
  <c r="AL143" i="1"/>
  <c r="AK277" i="1"/>
  <c r="AN531" i="1"/>
  <c r="AN147" i="1"/>
  <c r="AN43" i="1"/>
  <c r="AN469" i="1"/>
  <c r="AK160" i="1"/>
  <c r="AK545" i="1"/>
  <c r="AO339" i="1"/>
  <c r="AN242" i="1"/>
  <c r="AO569" i="1"/>
  <c r="AL492" i="1"/>
  <c r="AN331" i="1"/>
  <c r="AN59" i="1"/>
  <c r="AO29" i="1"/>
  <c r="AL147" i="1"/>
  <c r="AM43" i="1"/>
  <c r="AM469" i="1"/>
  <c r="AN339" i="1"/>
  <c r="AM242" i="1"/>
  <c r="AN64" i="1"/>
  <c r="AM331" i="1"/>
  <c r="AN164" i="1"/>
  <c r="AK147" i="1"/>
  <c r="AL43" i="1"/>
  <c r="AL469" i="1"/>
  <c r="AM391" i="1"/>
  <c r="AN209" i="1"/>
  <c r="AK246" i="1"/>
  <c r="AL242" i="1"/>
  <c r="AL64" i="1"/>
  <c r="AL331" i="1"/>
  <c r="AM164" i="1"/>
  <c r="AL216" i="1"/>
  <c r="AM125" i="1"/>
  <c r="AN140" i="1"/>
  <c r="AO138" i="1"/>
  <c r="AL391" i="1"/>
  <c r="AM209" i="1"/>
  <c r="AO413" i="1"/>
  <c r="AK64" i="1"/>
  <c r="AL164" i="1"/>
  <c r="AO326" i="1"/>
  <c r="AK391" i="1"/>
  <c r="AL209" i="1"/>
  <c r="AN413" i="1"/>
  <c r="AN302" i="1"/>
  <c r="AL501" i="1"/>
  <c r="AL297" i="1"/>
  <c r="AO68" i="1"/>
  <c r="AN601" i="1"/>
  <c r="AN326" i="1"/>
  <c r="AO40" i="1"/>
  <c r="AO354" i="1"/>
  <c r="AN68" i="1"/>
  <c r="AO352" i="1"/>
  <c r="AM601" i="1"/>
  <c r="AM40" i="1"/>
  <c r="AO286" i="1"/>
  <c r="AM38" i="1"/>
  <c r="AO166" i="1"/>
  <c r="AO31" i="1"/>
  <c r="AK36" i="1"/>
  <c r="AM36" i="1"/>
  <c r="AK373" i="1"/>
  <c r="AM373" i="1"/>
  <c r="AN373" i="1"/>
  <c r="AO373" i="1"/>
  <c r="AK17" i="1"/>
  <c r="AM29" i="1"/>
  <c r="AN376" i="1"/>
  <c r="AO5" i="1"/>
  <c r="AO35" i="1"/>
  <c r="AN422" i="1"/>
  <c r="AK24" i="1"/>
  <c r="AM35" i="1"/>
  <c r="AO278" i="1"/>
  <c r="AK374" i="1"/>
  <c r="AM374" i="1"/>
  <c r="AN374" i="1"/>
  <c r="AO374" i="1"/>
  <c r="AO375" i="1"/>
  <c r="AK375" i="1"/>
  <c r="AL375" i="1"/>
  <c r="AM375" i="1"/>
  <c r="AN375" i="1"/>
  <c r="AN127" i="1"/>
  <c r="AO127" i="1"/>
  <c r="AM127" i="1"/>
  <c r="AK127" i="1"/>
  <c r="AL127" i="1"/>
  <c r="AL27" i="1"/>
  <c r="AO27" i="1"/>
  <c r="AK11" i="1"/>
  <c r="AL11" i="1"/>
  <c r="AM11" i="1"/>
  <c r="AN11" i="1"/>
  <c r="AO4" i="1"/>
  <c r="AL20" i="1"/>
  <c r="AN20" i="1"/>
  <c r="AK20" i="1"/>
  <c r="AM474" i="1"/>
  <c r="AN278" i="1"/>
  <c r="AO36" i="1"/>
  <c r="AN25" i="1"/>
  <c r="AM278" i="1"/>
  <c r="AN36" i="1"/>
  <c r="AN35" i="1"/>
  <c r="AL278" i="1"/>
  <c r="AN408" i="1"/>
  <c r="AK278" i="1"/>
  <c r="AL35" i="1"/>
  <c r="AO152" i="1"/>
  <c r="AN29" i="1"/>
  <c r="AM152" i="1"/>
  <c r="AO422" i="1"/>
  <c r="AO10" i="1"/>
  <c r="AO32" i="1"/>
  <c r="AN10" i="1"/>
  <c r="AN32" i="1"/>
  <c r="AM10" i="1"/>
  <c r="AN279" i="1"/>
  <c r="AL382" i="1"/>
  <c r="AM644" i="1"/>
  <c r="AN644" i="1"/>
  <c r="AO644" i="1"/>
  <c r="AL644" i="1"/>
  <c r="AK644" i="1"/>
  <c r="AK517" i="1"/>
  <c r="AL517" i="1"/>
  <c r="AM517" i="1"/>
  <c r="AN517" i="1"/>
  <c r="AO517" i="1"/>
  <c r="AK520" i="1"/>
  <c r="AL520" i="1"/>
  <c r="AO520" i="1"/>
  <c r="AN520" i="1"/>
  <c r="AM520" i="1"/>
  <c r="AO627" i="1"/>
  <c r="AL627" i="1"/>
  <c r="AM627" i="1"/>
  <c r="AN627" i="1"/>
  <c r="AK627" i="1"/>
  <c r="AK647" i="1"/>
  <c r="AL647" i="1"/>
  <c r="AM647" i="1"/>
  <c r="AN647" i="1"/>
  <c r="AL625" i="1"/>
  <c r="AM625" i="1"/>
  <c r="AN625" i="1"/>
  <c r="AO625" i="1"/>
  <c r="AK625" i="1"/>
  <c r="AM313" i="1"/>
  <c r="AN313" i="1"/>
  <c r="AO313" i="1"/>
  <c r="AL437" i="1"/>
  <c r="AM437" i="1"/>
  <c r="AN437" i="1"/>
  <c r="AO437" i="1"/>
  <c r="AK437" i="1"/>
  <c r="AL163" i="1"/>
  <c r="AM163" i="1"/>
  <c r="AK163" i="1"/>
  <c r="AN163" i="1"/>
  <c r="AK92" i="1"/>
  <c r="AL92" i="1"/>
  <c r="AM92" i="1"/>
  <c r="AN92" i="1"/>
  <c r="AK259" i="1"/>
  <c r="AO516" i="1"/>
  <c r="AK516" i="1"/>
  <c r="AL516" i="1"/>
  <c r="AM516" i="1"/>
  <c r="AN516" i="1"/>
  <c r="AK622" i="1"/>
  <c r="AL622" i="1"/>
  <c r="AM622" i="1"/>
  <c r="AL295" i="1"/>
  <c r="AN295" i="1"/>
  <c r="AO295" i="1"/>
  <c r="AM295" i="1"/>
  <c r="AK295" i="1"/>
  <c r="AN591" i="1"/>
  <c r="AO591" i="1"/>
  <c r="AK591" i="1"/>
  <c r="AL591" i="1"/>
  <c r="AM591" i="1"/>
  <c r="AL396" i="1"/>
  <c r="AM396" i="1"/>
  <c r="AK396" i="1"/>
  <c r="AN396" i="1"/>
  <c r="AO396" i="1"/>
  <c r="AK260" i="1"/>
  <c r="AL260" i="1"/>
  <c r="AM260" i="1"/>
  <c r="AN260" i="1"/>
  <c r="AO260" i="1"/>
  <c r="AN94" i="1"/>
  <c r="AL624" i="1"/>
  <c r="AN624" i="1"/>
  <c r="AO624" i="1"/>
  <c r="AM624" i="1"/>
  <c r="AN668" i="1"/>
  <c r="AO668" i="1"/>
  <c r="AK668" i="1"/>
  <c r="AL668" i="1"/>
  <c r="AM668" i="1"/>
  <c r="AM98" i="1"/>
  <c r="AN98" i="1"/>
  <c r="AM94" i="1"/>
  <c r="AN311" i="1"/>
  <c r="AO311" i="1"/>
  <c r="AM311" i="1"/>
  <c r="AL394" i="1"/>
  <c r="AK671" i="1"/>
  <c r="AL671" i="1"/>
  <c r="AM671" i="1"/>
  <c r="AN671" i="1"/>
  <c r="AO671" i="1"/>
  <c r="AL94" i="1"/>
  <c r="AO258" i="1"/>
  <c r="AK258" i="1"/>
  <c r="AL258" i="1"/>
  <c r="AM258" i="1"/>
  <c r="AN258" i="1"/>
  <c r="AK203" i="1"/>
  <c r="AM203" i="1"/>
  <c r="AN203" i="1"/>
  <c r="AO203" i="1"/>
  <c r="AN194" i="1"/>
  <c r="AO194" i="1"/>
  <c r="AK194" i="1"/>
  <c r="AL194" i="1"/>
  <c r="AM194" i="1"/>
  <c r="AN394" i="1"/>
  <c r="AO394" i="1"/>
  <c r="AM394" i="1"/>
  <c r="AO650" i="1"/>
  <c r="AK650" i="1"/>
  <c r="AL650" i="1"/>
  <c r="AM650" i="1"/>
  <c r="AN650" i="1"/>
  <c r="AO94" i="1"/>
  <c r="AO670" i="1"/>
  <c r="AK454" i="1"/>
  <c r="AL454" i="1"/>
  <c r="AM454" i="1"/>
  <c r="AO454" i="1"/>
  <c r="AN454" i="1"/>
  <c r="AN670" i="1"/>
  <c r="AN198" i="1"/>
  <c r="AO198" i="1"/>
  <c r="AM198" i="1"/>
  <c r="AK309" i="1"/>
  <c r="AL309" i="1"/>
  <c r="AM309" i="1"/>
  <c r="AN309" i="1"/>
  <c r="AO309" i="1"/>
  <c r="AK648" i="1"/>
  <c r="AL648" i="1"/>
  <c r="AM648" i="1"/>
  <c r="AN648" i="1"/>
  <c r="AO648" i="1"/>
  <c r="AK670" i="1"/>
  <c r="AL670" i="1"/>
  <c r="AK518" i="1"/>
  <c r="AL518" i="1"/>
  <c r="AM518" i="1"/>
  <c r="AN518" i="1"/>
  <c r="AO518" i="1"/>
  <c r="AK91" i="1"/>
  <c r="AL91" i="1"/>
  <c r="AM91" i="1"/>
  <c r="AN91" i="1"/>
  <c r="AM87" i="1"/>
  <c r="AN87" i="1"/>
  <c r="AO87" i="1"/>
  <c r="AK87" i="1"/>
  <c r="AL87" i="1"/>
  <c r="AM202" i="1"/>
  <c r="AL202" i="1"/>
  <c r="AN202" i="1"/>
  <c r="AO202" i="1"/>
  <c r="AM456" i="1"/>
  <c r="AN456" i="1"/>
  <c r="AO456" i="1"/>
  <c r="AK456" i="1"/>
  <c r="AL456" i="1"/>
  <c r="AL669" i="1"/>
  <c r="AM669" i="1"/>
  <c r="AN669" i="1"/>
  <c r="AO669" i="1"/>
  <c r="AK669" i="1"/>
  <c r="AL88" i="1"/>
  <c r="AM88" i="1"/>
  <c r="AN88" i="1"/>
  <c r="AO88" i="1"/>
  <c r="AK88" i="1"/>
  <c r="AL256" i="1"/>
  <c r="AM256" i="1"/>
  <c r="AN256" i="1"/>
  <c r="AO256" i="1"/>
  <c r="AK256" i="1"/>
  <c r="AK262" i="1"/>
  <c r="AL262" i="1"/>
  <c r="AM262" i="1"/>
  <c r="AN262" i="1"/>
  <c r="AO262" i="1"/>
  <c r="AK96" i="1"/>
  <c r="AL96" i="1"/>
  <c r="AK457" i="1"/>
  <c r="AL457" i="1"/>
  <c r="AM457" i="1"/>
  <c r="AO647" i="1"/>
  <c r="AO259" i="1"/>
  <c r="AK308" i="1"/>
  <c r="AM308" i="1"/>
  <c r="AO308" i="1"/>
  <c r="AN308" i="1"/>
  <c r="AK90" i="1"/>
  <c r="AL90" i="1"/>
  <c r="AM90" i="1"/>
  <c r="AN90" i="1"/>
  <c r="AK666" i="1"/>
  <c r="AL666" i="1"/>
  <c r="AM666" i="1"/>
  <c r="AN666" i="1"/>
  <c r="AK73" i="1"/>
  <c r="AN73" i="1"/>
  <c r="AL73" i="1"/>
  <c r="AM73" i="1"/>
  <c r="AO73" i="1"/>
  <c r="AK440" i="1"/>
  <c r="AL440" i="1"/>
  <c r="AM440" i="1"/>
  <c r="AN440" i="1"/>
  <c r="AO440" i="1"/>
  <c r="AO176" i="1"/>
  <c r="AL176" i="1"/>
  <c r="AM176" i="1"/>
  <c r="AN176" i="1"/>
  <c r="AK176" i="1"/>
  <c r="AM495" i="1"/>
  <c r="AN495" i="1"/>
  <c r="AO495" i="1"/>
  <c r="AL495" i="1"/>
  <c r="AK495" i="1"/>
  <c r="AN665" i="1"/>
  <c r="AO590" i="1"/>
  <c r="AM590" i="1"/>
  <c r="AN590" i="1"/>
  <c r="AL590" i="1"/>
  <c r="AL355" i="1"/>
  <c r="AM355" i="1"/>
  <c r="AN355" i="1"/>
  <c r="AO355" i="1"/>
  <c r="AK355" i="1"/>
  <c r="AN55" i="1"/>
  <c r="AN513" i="1"/>
  <c r="AK201" i="1"/>
  <c r="AL201" i="1"/>
  <c r="AM201" i="1"/>
  <c r="AO201" i="1"/>
  <c r="AO645" i="1"/>
  <c r="AL451" i="1"/>
  <c r="AK672" i="1"/>
  <c r="AN672" i="1"/>
  <c r="AL519" i="1"/>
  <c r="AK667" i="1"/>
  <c r="AL667" i="1"/>
  <c r="AN667" i="1"/>
  <c r="AN84" i="1"/>
  <c r="AO84" i="1"/>
  <c r="AK640" i="1"/>
  <c r="AL640" i="1"/>
  <c r="AM640" i="1"/>
  <c r="AO640" i="1"/>
  <c r="AK665" i="1"/>
  <c r="AM665" i="1"/>
  <c r="AL514" i="1"/>
  <c r="AM514" i="1"/>
  <c r="AN514" i="1"/>
  <c r="AO514" i="1"/>
  <c r="AN192" i="1"/>
  <c r="AO192" i="1"/>
  <c r="AL192" i="1"/>
  <c r="AM192" i="1"/>
  <c r="AK192" i="1"/>
  <c r="AL302" i="1"/>
  <c r="AK302" i="1"/>
  <c r="AO302" i="1"/>
  <c r="AN314" i="1"/>
  <c r="AL55" i="1"/>
  <c r="AL513" i="1"/>
  <c r="AO312" i="1"/>
  <c r="AN95" i="1"/>
  <c r="AO310" i="1"/>
  <c r="AK89" i="1"/>
  <c r="AM645" i="1"/>
  <c r="AL393" i="1"/>
  <c r="AO97" i="1"/>
  <c r="AK513" i="1"/>
  <c r="AK681" i="1"/>
  <c r="AL312" i="1"/>
  <c r="AM95" i="1"/>
  <c r="AO646" i="1"/>
  <c r="AL645" i="1"/>
  <c r="AN97" i="1"/>
  <c r="AM458" i="1"/>
  <c r="AL95" i="1"/>
  <c r="AO93" i="1"/>
  <c r="AN646" i="1"/>
  <c r="AK645" i="1"/>
  <c r="AL199" i="1"/>
  <c r="AN199" i="1"/>
  <c r="AN641" i="1"/>
  <c r="AM97" i="1"/>
  <c r="AL458" i="1"/>
  <c r="AK95" i="1"/>
  <c r="AK626" i="1"/>
  <c r="AL626" i="1"/>
  <c r="AO626" i="1"/>
  <c r="AM646" i="1"/>
  <c r="AM641" i="1"/>
  <c r="AO515" i="1"/>
  <c r="AL449" i="1"/>
  <c r="AM449" i="1"/>
  <c r="AN449" i="1"/>
  <c r="AO449" i="1"/>
  <c r="AK449" i="1"/>
  <c r="AK362" i="1"/>
  <c r="AL362" i="1"/>
  <c r="AO362" i="1"/>
  <c r="AM362" i="1"/>
  <c r="AN362" i="1"/>
  <c r="AK314" i="1"/>
  <c r="AL314" i="1"/>
  <c r="AK97" i="1"/>
  <c r="AK310" i="1"/>
  <c r="AL310" i="1"/>
  <c r="AN310" i="1"/>
  <c r="AL641" i="1"/>
  <c r="AK452" i="1"/>
  <c r="AL452" i="1"/>
  <c r="AN452" i="1"/>
  <c r="AO452" i="1"/>
  <c r="AM393" i="1"/>
  <c r="AN393" i="1"/>
  <c r="AO393" i="1"/>
  <c r="AM312" i="1"/>
  <c r="AN312" i="1"/>
  <c r="AK646" i="1"/>
  <c r="AO90" i="1"/>
  <c r="AK641" i="1"/>
  <c r="AO666" i="1"/>
  <c r="AO508" i="1"/>
  <c r="AK508" i="1"/>
  <c r="AL508" i="1"/>
  <c r="AM508" i="1"/>
  <c r="AN508" i="1"/>
  <c r="AK623" i="1"/>
  <c r="AL623" i="1"/>
  <c r="AN623" i="1"/>
  <c r="AL515" i="1"/>
  <c r="AK93" i="1"/>
  <c r="AN93" i="1"/>
  <c r="AO649" i="1"/>
  <c r="AM230" i="1"/>
  <c r="AN230" i="1"/>
  <c r="AO230" i="1"/>
  <c r="AN447" i="1"/>
  <c r="AO447" i="1"/>
  <c r="AL447" i="1"/>
  <c r="AN180" i="1"/>
  <c r="AO180" i="1"/>
  <c r="AK180" i="1"/>
  <c r="AL180" i="1"/>
  <c r="AM180" i="1"/>
  <c r="AK191" i="1"/>
  <c r="AL191" i="1"/>
  <c r="AM191" i="1"/>
  <c r="AN191" i="1"/>
  <c r="AM619" i="1"/>
  <c r="AN619" i="1"/>
  <c r="AL251" i="1"/>
  <c r="AM251" i="1"/>
  <c r="AO251" i="1"/>
  <c r="AK83" i="1"/>
  <c r="AL83" i="1"/>
  <c r="AM83" i="1"/>
  <c r="AN83" i="1"/>
  <c r="AO83" i="1"/>
  <c r="AK363" i="1"/>
  <c r="AL363" i="1"/>
  <c r="AM363" i="1"/>
  <c r="AK589" i="1"/>
  <c r="AL589" i="1"/>
  <c r="AM589" i="1"/>
  <c r="AN589" i="1"/>
  <c r="AO589" i="1"/>
  <c r="AM599" i="1"/>
  <c r="AN599" i="1"/>
  <c r="AO599" i="1"/>
  <c r="AL599" i="1"/>
  <c r="AK599" i="1"/>
  <c r="AM184" i="1"/>
  <c r="AL184" i="1"/>
  <c r="AN184" i="1"/>
  <c r="AO184" i="1"/>
  <c r="AK336" i="1"/>
  <c r="AL336" i="1"/>
  <c r="AN336" i="1"/>
  <c r="AO336" i="1"/>
  <c r="AL254" i="1"/>
  <c r="AN585" i="1"/>
  <c r="AO585" i="1"/>
  <c r="AK585" i="1"/>
  <c r="AL248" i="1"/>
  <c r="AK248" i="1"/>
  <c r="AM248" i="1"/>
  <c r="AN248" i="1"/>
  <c r="AO248" i="1"/>
  <c r="AK82" i="1"/>
  <c r="AL82" i="1"/>
  <c r="AM82" i="1"/>
  <c r="AN82" i="1"/>
  <c r="AO82" i="1"/>
  <c r="AK621" i="1"/>
  <c r="AL621" i="1"/>
  <c r="AM621" i="1"/>
  <c r="AN621" i="1"/>
  <c r="AO621" i="1"/>
  <c r="AK505" i="1"/>
  <c r="AM505" i="1"/>
  <c r="AN505" i="1"/>
  <c r="AO505" i="1"/>
  <c r="AK193" i="1"/>
  <c r="AL193" i="1"/>
  <c r="AM193" i="1"/>
  <c r="AN193" i="1"/>
  <c r="AK512" i="1"/>
  <c r="AL512" i="1"/>
  <c r="AM512" i="1"/>
  <c r="AN512" i="1"/>
  <c r="AO512" i="1"/>
  <c r="AM254" i="1"/>
  <c r="AN254" i="1"/>
  <c r="AO254" i="1"/>
  <c r="AL588" i="1"/>
  <c r="AM588" i="1"/>
  <c r="AN588" i="1"/>
  <c r="AO588" i="1"/>
  <c r="AL250" i="1"/>
  <c r="AM250" i="1"/>
  <c r="AN250" i="1"/>
  <c r="AO250" i="1"/>
  <c r="AM183" i="1"/>
  <c r="AN183" i="1"/>
  <c r="AO183" i="1"/>
  <c r="AK183" i="1"/>
  <c r="AN190" i="1"/>
  <c r="AO190" i="1"/>
  <c r="AK181" i="1"/>
  <c r="AL181" i="1"/>
  <c r="AN181" i="1"/>
  <c r="AM181" i="1"/>
  <c r="AO181" i="1"/>
  <c r="AK358" i="1"/>
  <c r="AL358" i="1"/>
  <c r="AN358" i="1"/>
  <c r="AO358" i="1"/>
  <c r="AM358" i="1"/>
  <c r="AL247" i="1"/>
  <c r="AM247" i="1"/>
  <c r="AO247" i="1"/>
  <c r="AK247" i="1"/>
  <c r="AL230" i="1"/>
  <c r="AK511" i="1"/>
  <c r="AL511" i="1"/>
  <c r="AM511" i="1"/>
  <c r="AN511" i="1"/>
  <c r="AO511" i="1"/>
  <c r="AK587" i="1"/>
  <c r="AL587" i="1"/>
  <c r="AM587" i="1"/>
  <c r="AN587" i="1"/>
  <c r="AO587" i="1"/>
  <c r="AK510" i="1"/>
  <c r="AL510" i="1"/>
  <c r="AM510" i="1"/>
  <c r="AN510" i="1"/>
  <c r="AM447" i="1"/>
  <c r="AM617" i="1"/>
  <c r="AN617" i="1"/>
  <c r="AK617" i="1"/>
  <c r="AL617" i="1"/>
  <c r="AO617" i="1"/>
  <c r="AN583" i="1"/>
  <c r="AO583" i="1"/>
  <c r="AL583" i="1"/>
  <c r="AK229" i="1"/>
  <c r="AL229" i="1"/>
  <c r="AO229" i="1"/>
  <c r="AN229" i="1"/>
  <c r="AK230" i="1"/>
  <c r="AK447" i="1"/>
  <c r="AN244" i="1"/>
  <c r="AO244" i="1"/>
  <c r="AK244" i="1"/>
  <c r="AL244" i="1"/>
  <c r="AK56" i="1"/>
  <c r="AM56" i="1"/>
  <c r="AN56" i="1"/>
  <c r="AO56" i="1"/>
  <c r="AL56" i="1"/>
  <c r="AK509" i="1"/>
  <c r="AN509" i="1"/>
  <c r="AO509" i="1"/>
  <c r="AK360" i="1"/>
  <c r="AL360" i="1"/>
  <c r="AN360" i="1"/>
  <c r="AO360" i="1"/>
  <c r="AL580" i="1"/>
  <c r="AM580" i="1"/>
  <c r="AN580" i="1"/>
  <c r="AO611" i="1"/>
  <c r="AK71" i="1"/>
  <c r="AL71" i="1"/>
  <c r="AM71" i="1"/>
  <c r="AN71" i="1"/>
  <c r="AM281" i="1"/>
  <c r="AN281" i="1"/>
  <c r="AO281" i="1"/>
  <c r="AK431" i="1"/>
  <c r="AL431" i="1"/>
  <c r="AM431" i="1"/>
  <c r="AN431" i="1"/>
  <c r="AO431" i="1"/>
  <c r="AN233" i="1"/>
  <c r="AO233" i="1"/>
  <c r="AK233" i="1"/>
  <c r="AL233" i="1"/>
  <c r="AK299" i="1"/>
  <c r="AM299" i="1"/>
  <c r="AK607" i="1"/>
  <c r="AL607" i="1"/>
  <c r="AM607" i="1"/>
  <c r="AN607" i="1"/>
  <c r="AO607" i="1"/>
  <c r="AL603" i="1"/>
  <c r="AM603" i="1"/>
  <c r="AN603" i="1"/>
  <c r="AK603" i="1"/>
  <c r="AO603" i="1"/>
  <c r="AK429" i="1"/>
  <c r="AM429" i="1"/>
  <c r="AN429" i="1"/>
  <c r="AO429" i="1"/>
  <c r="AL429" i="1"/>
  <c r="AL291" i="1"/>
  <c r="AK291" i="1"/>
  <c r="AM291" i="1"/>
  <c r="AN291" i="1"/>
  <c r="AO291" i="1"/>
  <c r="AL46" i="1"/>
  <c r="AN46" i="1"/>
  <c r="AO46" i="1"/>
  <c r="AM46" i="1"/>
  <c r="AN45" i="1"/>
  <c r="AL45" i="1"/>
  <c r="AM45" i="1"/>
  <c r="AO45" i="1"/>
  <c r="AK45" i="1"/>
  <c r="AM365" i="1"/>
  <c r="AL450" i="1"/>
  <c r="AN80" i="1"/>
  <c r="AK361" i="1"/>
  <c r="AN361" i="1"/>
  <c r="AN186" i="1"/>
  <c r="AK76" i="1"/>
  <c r="AL76" i="1"/>
  <c r="AM76" i="1"/>
  <c r="AL614" i="1"/>
  <c r="AO614" i="1"/>
  <c r="AK357" i="1"/>
  <c r="AN357" i="1"/>
  <c r="AK577" i="1"/>
  <c r="AL577" i="1"/>
  <c r="AM577" i="1"/>
  <c r="AN577" i="1"/>
  <c r="AO577" i="1"/>
  <c r="AK334" i="1"/>
  <c r="AL334" i="1"/>
  <c r="AM334" i="1"/>
  <c r="AN334" i="1"/>
  <c r="AO334" i="1"/>
  <c r="AK66" i="1"/>
  <c r="AL66" i="1"/>
  <c r="AM66" i="1"/>
  <c r="AL19" i="1"/>
  <c r="AM19" i="1"/>
  <c r="AN19" i="1"/>
  <c r="AO19" i="1"/>
  <c r="AK19" i="1"/>
  <c r="AL537" i="1"/>
  <c r="AM537" i="1"/>
  <c r="AN537" i="1"/>
  <c r="AK537" i="1"/>
  <c r="AO537" i="1"/>
  <c r="AL365" i="1"/>
  <c r="AK450" i="1"/>
  <c r="AL78" i="1"/>
  <c r="AM78" i="1"/>
  <c r="AN616" i="1"/>
  <c r="AM507" i="1"/>
  <c r="AO359" i="1"/>
  <c r="AL186" i="1"/>
  <c r="AO75" i="1"/>
  <c r="AN579" i="1"/>
  <c r="AK608" i="1"/>
  <c r="AK298" i="1"/>
  <c r="AL298" i="1"/>
  <c r="AM298" i="1"/>
  <c r="AN298" i="1"/>
  <c r="AO298" i="1"/>
  <c r="AK601" i="1"/>
  <c r="AO601" i="1"/>
  <c r="AN597" i="1"/>
  <c r="AK597" i="1"/>
  <c r="AL597" i="1"/>
  <c r="AO597" i="1"/>
  <c r="AM597" i="1"/>
  <c r="AM343" i="1"/>
  <c r="AN343" i="1"/>
  <c r="AK343" i="1"/>
  <c r="AL343" i="1"/>
  <c r="AO343" i="1"/>
  <c r="AK365" i="1"/>
  <c r="AN448" i="1"/>
  <c r="AM616" i="1"/>
  <c r="AO445" i="1"/>
  <c r="AM359" i="1"/>
  <c r="AN249" i="1"/>
  <c r="AL75" i="1"/>
  <c r="AK582" i="1"/>
  <c r="AN582" i="1"/>
  <c r="AO182" i="1"/>
  <c r="AM579" i="1"/>
  <c r="AK610" i="1"/>
  <c r="AL610" i="1"/>
  <c r="AM610" i="1"/>
  <c r="AN610" i="1"/>
  <c r="AO610" i="1"/>
  <c r="AM246" i="1"/>
  <c r="AN246" i="1"/>
  <c r="AO246" i="1"/>
  <c r="AK70" i="1"/>
  <c r="AL70" i="1"/>
  <c r="AM70" i="1"/>
  <c r="AO70" i="1"/>
  <c r="AK606" i="1"/>
  <c r="AL606" i="1"/>
  <c r="AM606" i="1"/>
  <c r="AN606" i="1"/>
  <c r="AO606" i="1"/>
  <c r="AK574" i="1"/>
  <c r="AL574" i="1"/>
  <c r="AM574" i="1"/>
  <c r="AN574" i="1"/>
  <c r="AO574" i="1"/>
  <c r="AO366" i="1"/>
  <c r="AO364" i="1"/>
  <c r="AO252" i="1"/>
  <c r="AK616" i="1"/>
  <c r="AN445" i="1"/>
  <c r="AL613" i="1"/>
  <c r="AM613" i="1"/>
  <c r="AN613" i="1"/>
  <c r="AO504" i="1"/>
  <c r="AN300" i="1"/>
  <c r="AK491" i="1"/>
  <c r="AL491" i="1"/>
  <c r="AM491" i="1"/>
  <c r="AN491" i="1"/>
  <c r="AO491" i="1"/>
  <c r="AK290" i="1"/>
  <c r="AM290" i="1"/>
  <c r="AN290" i="1"/>
  <c r="AL290" i="1"/>
  <c r="AO290" i="1"/>
  <c r="AN366" i="1"/>
  <c r="AO255" i="1"/>
  <c r="AN364" i="1"/>
  <c r="AO253" i="1"/>
  <c r="AO81" i="1"/>
  <c r="AL80" i="1"/>
  <c r="AM80" i="1"/>
  <c r="AN252" i="1"/>
  <c r="AM445" i="1"/>
  <c r="AM75" i="1"/>
  <c r="AN75" i="1"/>
  <c r="AK182" i="1"/>
  <c r="AL182" i="1"/>
  <c r="AM182" i="1"/>
  <c r="AL579" i="1"/>
  <c r="AO579" i="1"/>
  <c r="AM292" i="1"/>
  <c r="AO292" i="1"/>
  <c r="AN292" i="1"/>
  <c r="AL292" i="1"/>
  <c r="AK600" i="1"/>
  <c r="AM600" i="1"/>
  <c r="AN600" i="1"/>
  <c r="AO600" i="1"/>
  <c r="AL600" i="1"/>
  <c r="AM60" i="1"/>
  <c r="AN60" i="1"/>
  <c r="AO60" i="1"/>
  <c r="AL60" i="1"/>
  <c r="AK60" i="1"/>
  <c r="AN563" i="1"/>
  <c r="AO563" i="1"/>
  <c r="AM563" i="1"/>
  <c r="AL563" i="1"/>
  <c r="AM364" i="1"/>
  <c r="AN253" i="1"/>
  <c r="AN81" i="1"/>
  <c r="AO618" i="1"/>
  <c r="AM252" i="1"/>
  <c r="AK507" i="1"/>
  <c r="AN507" i="1"/>
  <c r="AO507" i="1"/>
  <c r="AL445" i="1"/>
  <c r="AM186" i="1"/>
  <c r="AK185" i="1"/>
  <c r="AL185" i="1"/>
  <c r="AO185" i="1"/>
  <c r="AO335" i="1"/>
  <c r="AN72" i="1"/>
  <c r="AO72" i="1"/>
  <c r="AO356" i="1"/>
  <c r="AK300" i="1"/>
  <c r="AL300" i="1"/>
  <c r="AO300" i="1"/>
  <c r="AK179" i="1"/>
  <c r="AL179" i="1"/>
  <c r="AM179" i="1"/>
  <c r="AN179" i="1"/>
  <c r="AO179" i="1"/>
  <c r="AO575" i="1"/>
  <c r="AM65" i="1"/>
  <c r="AN65" i="1"/>
  <c r="AO65" i="1"/>
  <c r="AL65" i="1"/>
  <c r="AK568" i="1"/>
  <c r="AL568" i="1"/>
  <c r="AM568" i="1"/>
  <c r="AN568" i="1"/>
  <c r="AO568" i="1"/>
  <c r="AK16" i="1"/>
  <c r="AL16" i="1"/>
  <c r="AM16" i="1"/>
  <c r="AO16" i="1"/>
  <c r="AN16" i="1"/>
  <c r="AL366" i="1"/>
  <c r="AM255" i="1"/>
  <c r="AL364" i="1"/>
  <c r="AM253" i="1"/>
  <c r="AM81" i="1"/>
  <c r="AN618" i="1"/>
  <c r="AL252" i="1"/>
  <c r="AO586" i="1"/>
  <c r="AK359" i="1"/>
  <c r="AN359" i="1"/>
  <c r="AL249" i="1"/>
  <c r="AM249" i="1"/>
  <c r="AO249" i="1"/>
  <c r="AM581" i="1"/>
  <c r="AN356" i="1"/>
  <c r="AK500" i="1"/>
  <c r="AL500" i="1"/>
  <c r="AM500" i="1"/>
  <c r="AN500" i="1"/>
  <c r="AO500" i="1"/>
  <c r="AK296" i="1"/>
  <c r="AL296" i="1"/>
  <c r="AM296" i="1"/>
  <c r="AN296" i="1"/>
  <c r="AO296" i="1"/>
  <c r="AK573" i="1"/>
  <c r="AL573" i="1"/>
  <c r="AM573" i="1"/>
  <c r="AN573" i="1"/>
  <c r="AO573" i="1"/>
  <c r="AK366" i="1"/>
  <c r="AL255" i="1"/>
  <c r="AK364" i="1"/>
  <c r="AL253" i="1"/>
  <c r="AL81" i="1"/>
  <c r="AM618" i="1"/>
  <c r="AK252" i="1"/>
  <c r="AL79" i="1"/>
  <c r="AN586" i="1"/>
  <c r="AO77" i="1"/>
  <c r="AL581" i="1"/>
  <c r="AN612" i="1"/>
  <c r="AN441" i="1"/>
  <c r="AN611" i="1"/>
  <c r="AM356" i="1"/>
  <c r="AK53" i="1"/>
  <c r="AL53" i="1"/>
  <c r="AM53" i="1"/>
  <c r="AN53" i="1"/>
  <c r="AO53" i="1"/>
  <c r="AM575" i="1"/>
  <c r="AN174" i="1"/>
  <c r="AO174" i="1"/>
  <c r="AM174" i="1"/>
  <c r="AK350" i="1"/>
  <c r="AL350" i="1"/>
  <c r="AM350" i="1"/>
  <c r="AN350" i="1"/>
  <c r="AO350" i="1"/>
  <c r="AL618" i="1"/>
  <c r="AK189" i="1"/>
  <c r="AL189" i="1"/>
  <c r="AO189" i="1"/>
  <c r="AM586" i="1"/>
  <c r="AL77" i="1"/>
  <c r="AK584" i="1"/>
  <c r="AN584" i="1"/>
  <c r="AO74" i="1"/>
  <c r="AM612" i="1"/>
  <c r="AM441" i="1"/>
  <c r="AM611" i="1"/>
  <c r="AK356" i="1"/>
  <c r="AK245" i="1"/>
  <c r="AL245" i="1"/>
  <c r="AM245" i="1"/>
  <c r="AK227" i="1"/>
  <c r="AL227" i="1"/>
  <c r="AN227" i="1"/>
  <c r="AO571" i="1"/>
  <c r="AK571" i="1"/>
  <c r="AL571" i="1"/>
  <c r="AM571" i="1"/>
  <c r="AN571" i="1"/>
  <c r="AO306" i="1"/>
  <c r="AO58" i="1"/>
  <c r="AK58" i="1"/>
  <c r="AL58" i="1"/>
  <c r="AM58" i="1"/>
  <c r="AN58" i="1"/>
  <c r="AM509" i="1"/>
  <c r="AL615" i="1"/>
  <c r="AM615" i="1"/>
  <c r="AN615" i="1"/>
  <c r="AO506" i="1"/>
  <c r="AK503" i="1"/>
  <c r="AM503" i="1"/>
  <c r="AN503" i="1"/>
  <c r="AO503" i="1"/>
  <c r="AL441" i="1"/>
  <c r="AM228" i="1"/>
  <c r="AO580" i="1"/>
  <c r="AL611" i="1"/>
  <c r="AO299" i="1"/>
  <c r="AK575" i="1"/>
  <c r="AK177" i="1"/>
  <c r="AL177" i="1"/>
  <c r="AM177" i="1"/>
  <c r="AN177" i="1"/>
  <c r="AL494" i="1"/>
  <c r="AN306" i="1"/>
  <c r="AL225" i="1"/>
  <c r="AM225" i="1"/>
  <c r="AO225" i="1"/>
  <c r="AK225" i="1"/>
  <c r="AN225" i="1"/>
  <c r="AL304" i="1"/>
  <c r="AM304" i="1"/>
  <c r="AN304" i="1"/>
  <c r="AO304" i="1"/>
  <c r="AK304" i="1"/>
  <c r="AL509" i="1"/>
  <c r="AK586" i="1"/>
  <c r="AM360" i="1"/>
  <c r="AM77" i="1"/>
  <c r="AN77" i="1"/>
  <c r="AK74" i="1"/>
  <c r="AL74" i="1"/>
  <c r="AM74" i="1"/>
  <c r="AL612" i="1"/>
  <c r="AO612" i="1"/>
  <c r="AK335" i="1"/>
  <c r="AN335" i="1"/>
  <c r="AL301" i="1"/>
  <c r="AM301" i="1"/>
  <c r="AO301" i="1"/>
  <c r="AK580" i="1"/>
  <c r="AK611" i="1"/>
  <c r="AN299" i="1"/>
  <c r="AO71" i="1"/>
  <c r="AK178" i="1"/>
  <c r="AL178" i="1"/>
  <c r="AM178" i="1"/>
  <c r="AO178" i="1"/>
  <c r="AN243" i="1"/>
  <c r="AO243" i="1"/>
  <c r="AM243" i="1"/>
  <c r="AL243" i="1"/>
  <c r="AN67" i="1"/>
  <c r="AK67" i="1"/>
  <c r="AL67" i="1"/>
  <c r="AM67" i="1"/>
  <c r="AO67" i="1"/>
  <c r="AN173" i="1"/>
  <c r="AK173" i="1"/>
  <c r="AL173" i="1"/>
  <c r="AM173" i="1"/>
  <c r="AO173" i="1"/>
  <c r="AM348" i="1"/>
  <c r="AO348" i="1"/>
  <c r="AN348" i="1"/>
  <c r="AL348" i="1"/>
  <c r="AL490" i="1"/>
  <c r="AN490" i="1"/>
  <c r="AO490" i="1"/>
  <c r="AM490" i="1"/>
  <c r="AL235" i="1"/>
  <c r="AK235" i="1"/>
  <c r="AM235" i="1"/>
  <c r="AO235" i="1"/>
  <c r="AM79" i="1"/>
  <c r="AN79" i="1"/>
  <c r="AK187" i="1"/>
  <c r="AL187" i="1"/>
  <c r="AO187" i="1"/>
  <c r="AN581" i="1"/>
  <c r="AO581" i="1"/>
  <c r="AL299" i="1"/>
  <c r="AL281" i="1"/>
  <c r="AM435" i="1"/>
  <c r="AN435" i="1"/>
  <c r="AO435" i="1"/>
  <c r="AL435" i="1"/>
  <c r="AK351" i="1"/>
  <c r="AL351" i="1"/>
  <c r="AM351" i="1"/>
  <c r="AN351" i="1"/>
  <c r="AO351" i="1"/>
  <c r="AN494" i="1"/>
  <c r="AO494" i="1"/>
  <c r="AM494" i="1"/>
  <c r="AM306" i="1"/>
  <c r="AK306" i="1"/>
  <c r="AM240" i="1"/>
  <c r="AO240" i="1"/>
  <c r="AO432" i="1"/>
  <c r="AL63" i="1"/>
  <c r="AM63" i="1"/>
  <c r="AN63" i="1"/>
  <c r="AK22" i="1"/>
  <c r="AL22" i="1"/>
  <c r="AM22" i="1"/>
  <c r="AN22" i="1"/>
  <c r="AO22" i="1"/>
  <c r="AK392" i="1"/>
  <c r="AL392" i="1"/>
  <c r="AM392" i="1"/>
  <c r="AN392" i="1"/>
  <c r="AO392" i="1"/>
  <c r="AL128" i="1"/>
  <c r="AN128" i="1"/>
  <c r="AK128" i="1"/>
  <c r="AM128" i="1"/>
  <c r="AO128" i="1"/>
  <c r="AK150" i="1"/>
  <c r="AL150" i="1"/>
  <c r="AM150" i="1"/>
  <c r="AN150" i="1"/>
  <c r="AO150" i="1"/>
  <c r="AK476" i="1"/>
  <c r="AL476" i="1"/>
  <c r="AM476" i="1"/>
  <c r="AN476" i="1"/>
  <c r="AO476" i="1"/>
  <c r="AM333" i="1"/>
  <c r="AO436" i="1"/>
  <c r="AL68" i="1"/>
  <c r="AO496" i="1"/>
  <c r="AL241" i="1"/>
  <c r="AK432" i="1"/>
  <c r="AM239" i="1"/>
  <c r="AL570" i="1"/>
  <c r="AM570" i="1"/>
  <c r="AN570" i="1"/>
  <c r="AL170" i="1"/>
  <c r="AN62" i="1"/>
  <c r="AK428" i="1"/>
  <c r="AK488" i="1"/>
  <c r="AK486" i="1"/>
  <c r="AL486" i="1"/>
  <c r="AM486" i="1"/>
  <c r="AN486" i="1"/>
  <c r="AO486" i="1"/>
  <c r="AL26" i="1"/>
  <c r="AM26" i="1"/>
  <c r="AN26" i="1"/>
  <c r="AO26" i="1"/>
  <c r="AK25" i="1"/>
  <c r="AO25" i="1"/>
  <c r="AM25" i="1"/>
  <c r="AO215" i="1"/>
  <c r="AK215" i="1"/>
  <c r="AL215" i="1"/>
  <c r="AM215" i="1"/>
  <c r="AN215" i="1"/>
  <c r="AK333" i="1"/>
  <c r="AM353" i="1"/>
  <c r="AN353" i="1"/>
  <c r="AM433" i="1"/>
  <c r="AN433" i="1"/>
  <c r="AK239" i="1"/>
  <c r="AK237" i="1"/>
  <c r="AL237" i="1"/>
  <c r="AM237" i="1"/>
  <c r="AL62" i="1"/>
  <c r="AK168" i="1"/>
  <c r="AM168" i="1"/>
  <c r="AN168" i="1"/>
  <c r="AO168" i="1"/>
  <c r="AK566" i="1"/>
  <c r="AL566" i="1"/>
  <c r="AM566" i="1"/>
  <c r="AO566" i="1"/>
  <c r="AK487" i="1"/>
  <c r="AL487" i="1"/>
  <c r="AO487" i="1"/>
  <c r="AM487" i="1"/>
  <c r="AN487" i="1"/>
  <c r="AN21" i="1"/>
  <c r="AO21" i="1"/>
  <c r="AK21" i="1"/>
  <c r="AL21" i="1"/>
  <c r="AM21" i="1"/>
  <c r="AM28" i="1"/>
  <c r="AK161" i="1"/>
  <c r="AL161" i="1"/>
  <c r="AM161" i="1"/>
  <c r="AN161" i="1"/>
  <c r="AO161" i="1"/>
  <c r="AN439" i="1"/>
  <c r="AN499" i="1"/>
  <c r="AN354" i="1"/>
  <c r="AO69" i="1"/>
  <c r="AN434" i="1"/>
  <c r="AN602" i="1"/>
  <c r="AM64" i="1"/>
  <c r="AN349" i="1"/>
  <c r="AO598" i="1"/>
  <c r="AN347" i="1"/>
  <c r="AM425" i="1"/>
  <c r="AN425" i="1"/>
  <c r="AK595" i="1"/>
  <c r="AL595" i="1"/>
  <c r="AM595" i="1"/>
  <c r="AO595" i="1"/>
  <c r="AM23" i="1"/>
  <c r="AN23" i="1"/>
  <c r="AO23" i="1"/>
  <c r="AK23" i="1"/>
  <c r="AL332" i="1"/>
  <c r="AN332" i="1"/>
  <c r="AO332" i="1"/>
  <c r="AO62" i="1"/>
  <c r="AM236" i="1"/>
  <c r="AK236" i="1"/>
  <c r="AN236" i="1"/>
  <c r="AK280" i="1"/>
  <c r="AL280" i="1"/>
  <c r="AM280" i="1"/>
  <c r="AO280" i="1"/>
  <c r="AL562" i="1"/>
  <c r="AM562" i="1"/>
  <c r="AN562" i="1"/>
  <c r="AO562" i="1"/>
  <c r="AK592" i="1"/>
  <c r="AL592" i="1"/>
  <c r="AM592" i="1"/>
  <c r="AO592" i="1"/>
  <c r="AM30" i="1"/>
  <c r="AN30" i="1"/>
  <c r="AK30" i="1"/>
  <c r="AL30" i="1"/>
  <c r="AO30" i="1"/>
  <c r="AO28" i="1"/>
  <c r="AN28" i="1"/>
  <c r="AL28" i="1"/>
  <c r="AO497" i="1"/>
  <c r="AL436" i="1"/>
  <c r="AM436" i="1"/>
  <c r="AO604" i="1"/>
  <c r="AL496" i="1"/>
  <c r="AM496" i="1"/>
  <c r="AK172" i="1"/>
  <c r="AL172" i="1"/>
  <c r="AM172" i="1"/>
  <c r="AL430" i="1"/>
  <c r="AN430" i="1"/>
  <c r="AO430" i="1"/>
  <c r="AK567" i="1"/>
  <c r="AM567" i="1"/>
  <c r="AN567" i="1"/>
  <c r="AO567" i="1"/>
  <c r="AK427" i="1"/>
  <c r="AO427" i="1"/>
  <c r="AM427" i="1"/>
  <c r="AN427" i="1"/>
  <c r="AL234" i="1"/>
  <c r="AM234" i="1"/>
  <c r="AO234" i="1"/>
  <c r="AL485" i="1"/>
  <c r="AM485" i="1"/>
  <c r="AO485" i="1"/>
  <c r="AL271" i="1"/>
  <c r="AM271" i="1"/>
  <c r="AN271" i="1"/>
  <c r="AO271" i="1"/>
  <c r="AL135" i="1"/>
  <c r="AM135" i="1"/>
  <c r="AN135" i="1"/>
  <c r="AO135" i="1"/>
  <c r="AK135" i="1"/>
  <c r="AK439" i="1"/>
  <c r="AK499" i="1"/>
  <c r="AN497" i="1"/>
  <c r="AK354" i="1"/>
  <c r="AL69" i="1"/>
  <c r="AN604" i="1"/>
  <c r="AK434" i="1"/>
  <c r="AM569" i="1"/>
  <c r="AM238" i="1"/>
  <c r="AL598" i="1"/>
  <c r="AK347" i="1"/>
  <c r="AN565" i="1"/>
  <c r="AM497" i="1"/>
  <c r="AN297" i="1"/>
  <c r="AM604" i="1"/>
  <c r="AN240" i="1"/>
  <c r="AO572" i="1"/>
  <c r="AL569" i="1"/>
  <c r="AL238" i="1"/>
  <c r="AN61" i="1"/>
  <c r="AM61" i="1"/>
  <c r="AO61" i="1"/>
  <c r="AL346" i="1"/>
  <c r="AM346" i="1"/>
  <c r="AN346" i="1"/>
  <c r="AO346" i="1"/>
  <c r="AK561" i="1"/>
  <c r="AL561" i="1"/>
  <c r="AO561" i="1"/>
  <c r="AM561" i="1"/>
  <c r="AN561" i="1"/>
  <c r="AK534" i="1"/>
  <c r="AL534" i="1"/>
  <c r="AM534" i="1"/>
  <c r="AO534" i="1"/>
  <c r="AN534" i="1"/>
  <c r="AL497" i="1"/>
  <c r="AL604" i="1"/>
  <c r="AL240" i="1"/>
  <c r="AN572" i="1"/>
  <c r="AK493" i="1"/>
  <c r="AM493" i="1"/>
  <c r="AN493" i="1"/>
  <c r="AO493" i="1"/>
  <c r="AK569" i="1"/>
  <c r="AK238" i="1"/>
  <c r="AO63" i="1"/>
  <c r="AK489" i="1"/>
  <c r="AM489" i="1"/>
  <c r="AO565" i="1"/>
  <c r="AK565" i="1"/>
  <c r="AL565" i="1"/>
  <c r="AK596" i="1"/>
  <c r="AM596" i="1"/>
  <c r="AL33" i="1"/>
  <c r="AM33" i="1"/>
  <c r="AO33" i="1"/>
  <c r="AN33" i="1"/>
  <c r="AK240" i="1"/>
  <c r="AM572" i="1"/>
  <c r="AK63" i="1"/>
  <c r="AN18" i="1"/>
  <c r="AO18" i="1"/>
  <c r="AK18" i="1"/>
  <c r="AL18" i="1"/>
  <c r="AM18" i="1"/>
  <c r="AL47" i="1"/>
  <c r="AO47" i="1"/>
  <c r="AK47" i="1"/>
  <c r="AN47" i="1"/>
  <c r="AL572" i="1"/>
  <c r="AN171" i="1"/>
  <c r="AO428" i="1"/>
  <c r="AO488" i="1"/>
  <c r="AM289" i="1"/>
  <c r="AN289" i="1"/>
  <c r="AK289" i="1"/>
  <c r="AL289" i="1"/>
  <c r="AN167" i="1"/>
  <c r="AO167" i="1"/>
  <c r="AM167" i="1"/>
  <c r="AL424" i="1"/>
  <c r="AM424" i="1"/>
  <c r="AO424" i="1"/>
  <c r="AO498" i="1"/>
  <c r="AO605" i="1"/>
  <c r="AK572" i="1"/>
  <c r="AN428" i="1"/>
  <c r="AN488" i="1"/>
  <c r="AM421" i="1"/>
  <c r="AN421" i="1"/>
  <c r="AK421" i="1"/>
  <c r="AL421" i="1"/>
  <c r="AO421" i="1"/>
  <c r="AK381" i="1"/>
  <c r="AL381" i="1"/>
  <c r="AN381" i="1"/>
  <c r="AO381" i="1"/>
  <c r="AK532" i="1"/>
  <c r="AN532" i="1"/>
  <c r="AO532" i="1"/>
  <c r="AL274" i="1"/>
  <c r="AM274" i="1"/>
  <c r="AK274" i="1"/>
  <c r="AN274" i="1"/>
  <c r="AO274" i="1"/>
  <c r="AK330" i="1"/>
  <c r="AM330" i="1"/>
  <c r="AK328" i="1"/>
  <c r="AN328" i="1"/>
  <c r="AO328" i="1"/>
  <c r="AK213" i="1"/>
  <c r="AL213" i="1"/>
  <c r="AM213" i="1"/>
  <c r="AN213" i="1"/>
  <c r="AO213" i="1"/>
  <c r="AK530" i="1"/>
  <c r="AL530" i="1"/>
  <c r="AO530" i="1"/>
  <c r="AK212" i="1"/>
  <c r="AN212" i="1"/>
  <c r="AO212" i="1"/>
  <c r="AL212" i="1"/>
  <c r="AK169" i="1"/>
  <c r="AK345" i="1"/>
  <c r="AM59" i="1"/>
  <c r="AK344" i="1"/>
  <c r="AO305" i="1"/>
  <c r="AM232" i="1"/>
  <c r="AO232" i="1"/>
  <c r="AK164" i="1"/>
  <c r="AL422" i="1"/>
  <c r="AO17" i="1"/>
  <c r="AM20" i="1"/>
  <c r="AO20" i="1"/>
  <c r="AL29" i="1"/>
  <c r="AO24" i="1"/>
  <c r="AK387" i="1"/>
  <c r="AL387" i="1"/>
  <c r="AM387" i="1"/>
  <c r="AO387" i="1"/>
  <c r="AK10" i="1"/>
  <c r="AN144" i="1"/>
  <c r="AO144" i="1"/>
  <c r="AL536" i="1"/>
  <c r="AO408" i="1"/>
  <c r="AK408" i="1"/>
  <c r="AL408" i="1"/>
  <c r="AL327" i="1"/>
  <c r="AO327" i="1"/>
  <c r="AK327" i="1"/>
  <c r="AM327" i="1"/>
  <c r="AN327" i="1"/>
  <c r="AL593" i="1"/>
  <c r="AK422" i="1"/>
  <c r="AL36" i="1"/>
  <c r="AK29" i="1"/>
  <c r="AO279" i="1"/>
  <c r="AK152" i="1"/>
  <c r="AL152" i="1"/>
  <c r="AN152" i="1"/>
  <c r="AM149" i="1"/>
  <c r="AL149" i="1"/>
  <c r="AN149" i="1"/>
  <c r="AO149" i="1"/>
  <c r="AL484" i="1"/>
  <c r="AM484" i="1"/>
  <c r="AL32" i="1"/>
  <c r="AM32" i="1"/>
  <c r="AM536" i="1"/>
  <c r="AN536" i="1"/>
  <c r="AO536" i="1"/>
  <c r="AM473" i="1"/>
  <c r="AK473" i="1"/>
  <c r="AL473" i="1"/>
  <c r="AN473" i="1"/>
  <c r="AN323" i="1"/>
  <c r="AO323" i="1"/>
  <c r="AK323" i="1"/>
  <c r="AM323" i="1"/>
  <c r="AK594" i="1"/>
  <c r="AL594" i="1"/>
  <c r="AO594" i="1"/>
  <c r="AL305" i="1"/>
  <c r="AN305" i="1"/>
  <c r="AL17" i="1"/>
  <c r="AN17" i="1"/>
  <c r="AL24" i="1"/>
  <c r="AN24" i="1"/>
  <c r="AN27" i="1"/>
  <c r="AL373" i="1"/>
  <c r="AN277" i="1"/>
  <c r="AO277" i="1"/>
  <c r="AO471" i="1"/>
  <c r="AK471" i="1"/>
  <c r="AN471" i="1"/>
  <c r="AK529" i="1"/>
  <c r="AL529" i="1"/>
  <c r="AM529" i="1"/>
  <c r="AK419" i="1"/>
  <c r="AL419" i="1"/>
  <c r="AM419" i="1"/>
  <c r="AN419" i="1"/>
  <c r="AO419" i="1"/>
  <c r="AO165" i="1"/>
  <c r="AM27" i="1"/>
  <c r="AM382" i="1"/>
  <c r="AO376" i="1"/>
  <c r="AK279" i="1"/>
  <c r="AM279" i="1"/>
  <c r="AN329" i="1"/>
  <c r="AK329" i="1"/>
  <c r="AL329" i="1"/>
  <c r="AM329" i="1"/>
  <c r="AO329" i="1"/>
  <c r="AO126" i="1"/>
  <c r="AK126" i="1"/>
  <c r="AL126" i="1"/>
  <c r="AM126" i="1"/>
  <c r="AN126" i="1"/>
  <c r="AM551" i="1"/>
  <c r="AO551" i="1"/>
  <c r="AK551" i="1"/>
  <c r="AN551" i="1"/>
  <c r="AK272" i="1"/>
  <c r="AN272" i="1"/>
  <c r="AO272" i="1"/>
  <c r="AL272" i="1"/>
  <c r="AM272" i="1"/>
  <c r="AK564" i="1"/>
  <c r="AN564" i="1"/>
  <c r="AM165" i="1"/>
  <c r="AO57" i="1"/>
  <c r="AO483" i="1"/>
  <c r="AO34" i="1"/>
  <c r="AK27" i="1"/>
  <c r="AK5" i="1"/>
  <c r="AL5" i="1"/>
  <c r="AN5" i="1"/>
  <c r="AM376" i="1"/>
  <c r="AK407" i="1"/>
  <c r="AL407" i="1"/>
  <c r="AM407" i="1"/>
  <c r="AN407" i="1"/>
  <c r="AO407" i="1"/>
  <c r="AL140" i="1"/>
  <c r="AO140" i="1"/>
  <c r="AK140" i="1"/>
  <c r="AL418" i="1"/>
  <c r="AO418" i="1"/>
  <c r="AN418" i="1"/>
  <c r="AM210" i="1"/>
  <c r="AK210" i="1"/>
  <c r="AL210" i="1"/>
  <c r="AN210" i="1"/>
  <c r="AO210" i="1"/>
  <c r="AK166" i="1"/>
  <c r="AL165" i="1"/>
  <c r="AM57" i="1"/>
  <c r="AN483" i="1"/>
  <c r="AN34" i="1"/>
  <c r="AK35" i="1"/>
  <c r="AK31" i="1"/>
  <c r="AL31" i="1"/>
  <c r="AM31" i="1"/>
  <c r="AN31" i="1"/>
  <c r="AL376" i="1"/>
  <c r="AK48" i="1"/>
  <c r="AL48" i="1"/>
  <c r="AM48" i="1"/>
  <c r="AO48" i="1"/>
  <c r="AM556" i="1"/>
  <c r="AK556" i="1"/>
  <c r="AL556" i="1"/>
  <c r="AN556" i="1"/>
  <c r="AO556" i="1"/>
  <c r="AN325" i="1"/>
  <c r="AK325" i="1"/>
  <c r="AL325" i="1"/>
  <c r="AM325" i="1"/>
  <c r="AK423" i="1"/>
  <c r="AK165" i="1"/>
  <c r="AK376" i="1"/>
  <c r="AK4" i="1"/>
  <c r="AL4" i="1"/>
  <c r="AM4" i="1"/>
  <c r="AN4" i="1"/>
  <c r="AL214" i="1"/>
  <c r="AM214" i="1"/>
  <c r="AK214" i="1"/>
  <c r="AO214" i="1"/>
  <c r="AK276" i="1"/>
  <c r="AN276" i="1"/>
  <c r="AO276" i="1"/>
  <c r="AL276" i="1"/>
  <c r="AL531" i="1"/>
  <c r="AM531" i="1"/>
  <c r="AO531" i="1"/>
  <c r="AL42" i="1"/>
  <c r="AM42" i="1"/>
  <c r="AN42" i="1"/>
  <c r="AO42" i="1"/>
  <c r="AK42" i="1"/>
  <c r="AK483" i="1"/>
  <c r="AM483" i="1"/>
  <c r="AK34" i="1"/>
  <c r="AM34" i="1"/>
  <c r="AN382" i="1"/>
  <c r="AO382" i="1"/>
  <c r="AK554" i="1"/>
  <c r="AM554" i="1"/>
  <c r="AN554" i="1"/>
  <c r="AO554" i="1"/>
  <c r="AK118" i="1"/>
  <c r="AL118" i="1"/>
  <c r="AM118" i="1"/>
  <c r="AN118" i="1"/>
  <c r="AO118" i="1"/>
  <c r="AO330" i="1"/>
  <c r="AM216" i="1"/>
  <c r="AN216" i="1"/>
  <c r="AO216" i="1"/>
  <c r="AK151" i="1"/>
  <c r="AN151" i="1"/>
  <c r="AO151" i="1"/>
  <c r="AL151" i="1"/>
  <c r="AM143" i="1"/>
  <c r="AN143" i="1"/>
  <c r="AO143" i="1"/>
  <c r="AM532" i="1"/>
  <c r="AK57" i="1"/>
  <c r="AN57" i="1"/>
  <c r="AO11" i="1"/>
  <c r="AN330" i="1"/>
  <c r="AM328" i="1"/>
  <c r="AM142" i="1"/>
  <c r="AN142" i="1"/>
  <c r="AL142" i="1"/>
  <c r="AO142" i="1"/>
  <c r="AL532" i="1"/>
  <c r="AN530" i="1"/>
  <c r="AK224" i="1"/>
  <c r="AL224" i="1"/>
  <c r="AM224" i="1"/>
  <c r="AN224" i="1"/>
  <c r="AO224" i="1"/>
  <c r="AL121" i="1"/>
  <c r="AO121" i="1"/>
  <c r="AO538" i="1"/>
  <c r="AK538" i="1"/>
  <c r="AL538" i="1"/>
  <c r="AM538" i="1"/>
  <c r="AO141" i="1"/>
  <c r="AM420" i="1"/>
  <c r="AN420" i="1"/>
  <c r="AK43" i="1"/>
  <c r="AM405" i="1"/>
  <c r="AK120" i="1"/>
  <c r="AL120" i="1"/>
  <c r="AM120" i="1"/>
  <c r="AN120" i="1"/>
  <c r="AO120" i="1"/>
  <c r="AK478" i="1"/>
  <c r="AL478" i="1"/>
  <c r="AM478" i="1"/>
  <c r="AN478" i="1"/>
  <c r="AO478" i="1"/>
  <c r="AN141" i="1"/>
  <c r="AM148" i="1"/>
  <c r="AN148" i="1"/>
  <c r="AK137" i="1"/>
  <c r="AL137" i="1"/>
  <c r="AM137" i="1"/>
  <c r="AN137" i="1"/>
  <c r="AO137" i="1"/>
  <c r="AL405" i="1"/>
  <c r="AK115" i="1"/>
  <c r="AL115" i="1"/>
  <c r="AO115" i="1"/>
  <c r="AL129" i="1"/>
  <c r="AN129" i="1"/>
  <c r="AK129" i="1"/>
  <c r="AM129" i="1"/>
  <c r="AO129" i="1"/>
  <c r="AK219" i="1"/>
  <c r="AL219" i="1"/>
  <c r="AM219" i="1"/>
  <c r="AN219" i="1"/>
  <c r="AO219" i="1"/>
  <c r="AK540" i="1"/>
  <c r="AL540" i="1"/>
  <c r="AM540" i="1"/>
  <c r="AN540" i="1"/>
  <c r="AO540" i="1"/>
  <c r="AK535" i="1"/>
  <c r="AK470" i="1"/>
  <c r="AL470" i="1"/>
  <c r="AO470" i="1"/>
  <c r="AK211" i="1"/>
  <c r="AL211" i="1"/>
  <c r="AM211" i="1"/>
  <c r="AM123" i="1"/>
  <c r="AN123" i="1"/>
  <c r="AO123" i="1"/>
  <c r="AM468" i="1"/>
  <c r="AN468" i="1"/>
  <c r="AO468" i="1"/>
  <c r="AK133" i="1"/>
  <c r="AN131" i="1"/>
  <c r="AK131" i="1"/>
  <c r="AL131" i="1"/>
  <c r="AK340" i="1"/>
  <c r="AL340" i="1"/>
  <c r="AM340" i="1"/>
  <c r="AN340" i="1"/>
  <c r="AO340" i="1"/>
  <c r="AK553" i="1"/>
  <c r="AL553" i="1"/>
  <c r="AM553" i="1"/>
  <c r="AN553" i="1"/>
  <c r="AK550" i="1"/>
  <c r="AL550" i="1"/>
  <c r="AM550" i="1"/>
  <c r="AN550" i="1"/>
  <c r="AO550" i="1"/>
  <c r="AN405" i="1"/>
  <c r="AK482" i="1"/>
  <c r="AL482" i="1"/>
  <c r="AM482" i="1"/>
  <c r="AN482" i="1"/>
  <c r="AO482" i="1"/>
  <c r="AK130" i="1"/>
  <c r="AN130" i="1"/>
  <c r="AL130" i="1"/>
  <c r="AM130" i="1"/>
  <c r="AO130" i="1"/>
  <c r="AL374" i="1"/>
  <c r="AN474" i="1"/>
  <c r="AL533" i="1"/>
  <c r="AM138" i="1"/>
  <c r="AN136" i="1"/>
  <c r="AO119" i="1"/>
  <c r="AM146" i="1"/>
  <c r="AK141" i="1"/>
  <c r="AO139" i="1"/>
  <c r="AK324" i="1"/>
  <c r="AL324" i="1"/>
  <c r="AN324" i="1"/>
  <c r="AO324" i="1"/>
  <c r="AL138" i="1"/>
  <c r="AK417" i="1"/>
  <c r="AL417" i="1"/>
  <c r="AM417" i="1"/>
  <c r="AN417" i="1"/>
  <c r="AO417" i="1"/>
  <c r="AM136" i="1"/>
  <c r="AM119" i="1"/>
  <c r="AL474" i="1"/>
  <c r="AL326" i="1"/>
  <c r="AM326" i="1"/>
  <c r="AN121" i="1"/>
  <c r="AL119" i="1"/>
  <c r="AK474" i="1"/>
  <c r="AL139" i="1"/>
  <c r="AM139" i="1"/>
  <c r="AN139" i="1"/>
  <c r="AK555" i="1"/>
  <c r="AN555" i="1"/>
  <c r="AO555" i="1"/>
  <c r="AK162" i="1"/>
  <c r="AL162" i="1"/>
  <c r="AM162" i="1"/>
  <c r="AN162" i="1"/>
  <c r="AO162" i="1"/>
  <c r="AN138" i="1"/>
  <c r="AM121" i="1"/>
  <c r="AK136" i="1"/>
  <c r="AM472" i="1"/>
  <c r="AN472" i="1"/>
  <c r="AK121" i="1"/>
  <c r="AN119" i="1"/>
  <c r="AL146" i="1"/>
  <c r="AN146" i="1"/>
  <c r="AO146" i="1"/>
  <c r="AK385" i="1"/>
  <c r="AL385" i="1"/>
  <c r="AM385" i="1"/>
  <c r="AO385" i="1"/>
  <c r="AO147" i="1"/>
  <c r="AK125" i="1"/>
  <c r="AL125" i="1"/>
  <c r="AO125" i="1"/>
  <c r="AO420" i="1"/>
  <c r="AO275" i="1"/>
  <c r="AK44" i="1"/>
  <c r="AN44" i="1"/>
  <c r="AO44" i="1"/>
  <c r="AO552" i="1"/>
  <c r="AK389" i="1"/>
  <c r="AL389" i="1"/>
  <c r="AM389" i="1"/>
  <c r="AN389" i="1"/>
  <c r="AO389" i="1"/>
  <c r="AK388" i="1"/>
  <c r="AL388" i="1"/>
  <c r="AM388" i="1"/>
  <c r="AN388" i="1"/>
  <c r="AO388" i="1"/>
  <c r="AK546" i="1"/>
  <c r="AL546" i="1"/>
  <c r="AM546" i="1"/>
  <c r="AN546" i="1"/>
  <c r="AO546" i="1"/>
  <c r="AK404" i="1"/>
  <c r="AL404" i="1"/>
  <c r="AM404" i="1"/>
  <c r="AN404" i="1"/>
  <c r="AO404" i="1"/>
  <c r="AK544" i="1"/>
  <c r="AL544" i="1"/>
  <c r="AM544" i="1"/>
  <c r="AN544" i="1"/>
  <c r="AO544" i="1"/>
  <c r="AL282" i="1"/>
  <c r="AM282" i="1"/>
  <c r="AN282" i="1"/>
  <c r="AO282" i="1"/>
  <c r="AK416" i="1"/>
  <c r="AL416" i="1"/>
  <c r="AM416" i="1"/>
  <c r="AN416" i="1"/>
  <c r="AK285" i="1"/>
  <c r="AL285" i="1"/>
  <c r="AM285" i="1"/>
  <c r="AN285" i="1"/>
  <c r="AO285" i="1"/>
  <c r="AK37" i="1"/>
  <c r="AL37" i="1"/>
  <c r="AM37" i="1"/>
  <c r="AN37" i="1"/>
  <c r="AO37" i="1"/>
  <c r="AL412" i="1"/>
  <c r="AM412" i="1"/>
  <c r="AN412" i="1"/>
  <c r="AO412" i="1"/>
  <c r="AK155" i="1"/>
  <c r="AL155" i="1"/>
  <c r="AM155" i="1"/>
  <c r="AN155" i="1"/>
  <c r="AO155" i="1"/>
  <c r="AK410" i="1"/>
  <c r="AL410" i="1"/>
  <c r="AM410" i="1"/>
  <c r="AN410" i="1"/>
  <c r="AO410" i="1"/>
  <c r="AL273" i="1"/>
  <c r="AM122" i="1"/>
  <c r="AL41" i="1"/>
  <c r="AM467" i="1"/>
  <c r="AL134" i="1"/>
  <c r="AL145" i="1"/>
  <c r="AK380" i="1"/>
  <c r="AL380" i="1"/>
  <c r="AM380" i="1"/>
  <c r="AN380" i="1"/>
  <c r="AO380" i="1"/>
  <c r="AK273" i="1"/>
  <c r="AL122" i="1"/>
  <c r="AK41" i="1"/>
  <c r="AL467" i="1"/>
  <c r="AK134" i="1"/>
  <c r="AK371" i="1"/>
  <c r="AL371" i="1"/>
  <c r="AM371" i="1"/>
  <c r="AN371" i="1"/>
  <c r="AL370" i="1"/>
  <c r="AM370" i="1"/>
  <c r="AN370" i="1"/>
  <c r="AO370" i="1"/>
  <c r="AK218" i="1"/>
  <c r="AL218" i="1"/>
  <c r="AM218" i="1"/>
  <c r="AN218" i="1"/>
  <c r="AO218" i="1"/>
  <c r="AK557" i="1"/>
  <c r="AL557" i="1"/>
  <c r="AM557" i="1"/>
  <c r="AN557" i="1"/>
  <c r="AO557" i="1"/>
  <c r="AK403" i="1"/>
  <c r="AL403" i="1"/>
  <c r="AM403" i="1"/>
  <c r="AN403" i="1"/>
  <c r="AO403" i="1"/>
  <c r="AK122" i="1"/>
  <c r="AK467" i="1"/>
  <c r="AO9" i="1"/>
  <c r="AL480" i="1"/>
  <c r="AM480" i="1"/>
  <c r="AN480" i="1"/>
  <c r="AO480" i="1"/>
  <c r="AK221" i="1"/>
  <c r="AL221" i="1"/>
  <c r="AM221" i="1"/>
  <c r="AN221" i="1"/>
  <c r="AO221" i="1"/>
  <c r="AO132" i="1"/>
  <c r="AN9" i="1"/>
  <c r="AK341" i="1"/>
  <c r="AL341" i="1"/>
  <c r="AM341" i="1"/>
  <c r="AN341" i="1"/>
  <c r="AO341" i="1"/>
  <c r="AK159" i="1"/>
  <c r="AL159" i="1"/>
  <c r="AM159" i="1"/>
  <c r="AN159" i="1"/>
  <c r="AO159" i="1"/>
  <c r="AK337" i="1"/>
  <c r="AL337" i="1"/>
  <c r="AM337" i="1"/>
  <c r="AN337" i="1"/>
  <c r="AO337" i="1"/>
  <c r="AM477" i="1"/>
  <c r="AN477" i="1"/>
  <c r="AO477" i="1"/>
  <c r="AK477" i="1"/>
  <c r="AM132" i="1"/>
  <c r="AO145" i="1"/>
  <c r="AL8" i="1"/>
  <c r="AM8" i="1"/>
  <c r="AN8" i="1"/>
  <c r="AO8" i="1"/>
  <c r="AK377" i="1"/>
  <c r="AL377" i="1"/>
  <c r="AM377" i="1"/>
  <c r="AN377" i="1"/>
  <c r="AO377" i="1"/>
  <c r="AK549" i="1"/>
  <c r="AL549" i="1"/>
  <c r="AM549" i="1"/>
  <c r="AN549" i="1"/>
  <c r="AO549" i="1"/>
  <c r="AL338" i="1"/>
  <c r="AM338" i="1"/>
  <c r="AN338" i="1"/>
  <c r="AO338" i="1"/>
  <c r="AM367" i="1"/>
  <c r="AN367" i="1"/>
  <c r="AO367" i="1"/>
  <c r="AK367" i="1"/>
  <c r="AL132" i="1"/>
  <c r="AK9" i="1"/>
  <c r="AL9" i="1"/>
  <c r="AK414" i="1"/>
  <c r="AL414" i="1"/>
  <c r="AM414" i="1"/>
  <c r="AN414" i="1"/>
  <c r="AO414" i="1"/>
  <c r="AK153" i="1"/>
  <c r="AL153" i="1"/>
  <c r="AM153" i="1"/>
  <c r="AN153" i="1"/>
  <c r="AO153" i="1"/>
  <c r="AL402" i="1"/>
  <c r="AM402" i="1"/>
  <c r="AN402" i="1"/>
  <c r="AO402" i="1"/>
  <c r="AK132" i="1"/>
  <c r="AK13" i="1"/>
  <c r="AL13" i="1"/>
  <c r="AM13" i="1"/>
  <c r="AN13" i="1"/>
  <c r="AO13" i="1"/>
  <c r="AK287" i="1"/>
  <c r="AL287" i="1"/>
  <c r="AM287" i="1"/>
  <c r="AN287" i="1"/>
  <c r="AO287" i="1"/>
  <c r="AM542" i="1"/>
  <c r="AN542" i="1"/>
  <c r="AO542" i="1"/>
  <c r="AK542" i="1"/>
  <c r="AK411" i="1"/>
  <c r="AL411" i="1"/>
  <c r="AM411" i="1"/>
  <c r="AN411" i="1"/>
  <c r="AO411" i="1"/>
  <c r="AK14" i="1"/>
  <c r="AL14" i="1"/>
  <c r="AM14" i="1"/>
  <c r="AN14" i="1"/>
  <c r="AO14" i="1"/>
  <c r="AK415" i="1"/>
  <c r="AL415" i="1"/>
  <c r="AM415" i="1"/>
  <c r="AN415" i="1"/>
  <c r="AO415" i="1"/>
  <c r="AK284" i="1"/>
  <c r="AL284" i="1"/>
  <c r="AM284" i="1"/>
  <c r="AN284" i="1"/>
  <c r="AO284" i="1"/>
  <c r="AK342" i="1"/>
  <c r="AL342" i="1"/>
  <c r="AM342" i="1"/>
  <c r="AN342" i="1"/>
  <c r="AL548" i="1"/>
  <c r="AM548" i="1"/>
  <c r="AN548" i="1"/>
  <c r="AO548" i="1"/>
  <c r="AK49" i="1"/>
  <c r="AL49" i="1"/>
  <c r="AM49" i="1"/>
  <c r="AN49" i="1"/>
  <c r="AO49" i="1"/>
  <c r="AK401" i="1"/>
  <c r="AL401" i="1"/>
  <c r="AM401" i="1"/>
  <c r="AN401" i="1"/>
  <c r="AO401" i="1"/>
  <c r="AL116" i="1"/>
  <c r="AK479" i="1"/>
  <c r="AL479" i="1"/>
  <c r="AM479" i="1"/>
  <c r="AN479" i="1"/>
  <c r="AO479" i="1"/>
  <c r="AM409" i="1"/>
  <c r="AN409" i="1"/>
  <c r="AO409" i="1"/>
  <c r="AK409" i="1"/>
  <c r="AM117" i="1"/>
  <c r="AK15" i="1"/>
  <c r="AL15" i="1"/>
  <c r="AM15" i="1"/>
  <c r="AN15" i="1"/>
  <c r="AO15" i="1"/>
  <c r="AL384" i="1"/>
  <c r="AM384" i="1"/>
  <c r="AN384" i="1"/>
  <c r="AO384" i="1"/>
  <c r="AM547" i="1"/>
  <c r="AN547" i="1"/>
  <c r="AO547" i="1"/>
  <c r="AK547" i="1"/>
  <c r="AK368" i="1"/>
  <c r="AL368" i="1"/>
  <c r="AM368" i="1"/>
  <c r="AN368" i="1"/>
  <c r="AO368" i="1"/>
  <c r="AK209" i="1"/>
  <c r="AO39" i="1"/>
  <c r="AM481" i="1"/>
  <c r="AL286" i="1"/>
  <c r="AM339" i="1"/>
  <c r="AK157" i="1"/>
  <c r="AO543" i="1"/>
  <c r="AM413" i="1"/>
  <c r="AL220" i="1"/>
  <c r="AM283" i="1"/>
  <c r="AK51" i="1"/>
  <c r="AO559" i="1"/>
  <c r="AL154" i="1"/>
  <c r="AM217" i="1"/>
  <c r="AO475" i="1"/>
  <c r="AO386" i="1"/>
  <c r="AO369" i="1"/>
  <c r="AO6" i="1"/>
  <c r="AO223" i="1"/>
  <c r="AN39" i="1"/>
  <c r="AL481" i="1"/>
  <c r="AK286" i="1"/>
  <c r="AO158" i="1"/>
  <c r="AL339" i="1"/>
  <c r="AN543" i="1"/>
  <c r="AL413" i="1"/>
  <c r="AK220" i="1"/>
  <c r="AO52" i="1"/>
  <c r="AL283" i="1"/>
  <c r="AN559" i="1"/>
  <c r="AK154" i="1"/>
  <c r="AO539" i="1"/>
  <c r="AL217" i="1"/>
  <c r="AN475" i="1"/>
  <c r="AN386" i="1"/>
  <c r="AN369" i="1"/>
  <c r="AN6" i="1"/>
  <c r="AN223" i="1"/>
  <c r="AM39" i="1"/>
  <c r="AN158" i="1"/>
  <c r="AK339" i="1"/>
  <c r="AM543" i="1"/>
  <c r="AK413" i="1"/>
  <c r="AN52" i="1"/>
  <c r="AK283" i="1"/>
  <c r="AM559" i="1"/>
  <c r="AN539" i="1"/>
  <c r="AK217" i="1"/>
  <c r="AM475" i="1"/>
  <c r="AM386" i="1"/>
  <c r="AM369" i="1"/>
  <c r="AM6" i="1"/>
  <c r="AM223" i="1"/>
  <c r="AL39" i="1"/>
  <c r="AM158" i="1"/>
  <c r="AL543" i="1"/>
  <c r="AM52" i="1"/>
  <c r="AL559" i="1"/>
  <c r="AM539" i="1"/>
  <c r="AL475" i="1"/>
  <c r="AL386" i="1"/>
  <c r="AL369" i="1"/>
  <c r="AL6" i="1"/>
  <c r="AL223" i="1"/>
  <c r="AK39" i="1"/>
  <c r="AL158" i="1"/>
  <c r="AK543" i="1"/>
  <c r="AL52" i="1"/>
  <c r="AK559" i="1"/>
  <c r="AL539" i="1"/>
  <c r="AK386" i="1"/>
  <c r="AK369" i="1"/>
  <c r="AK6" i="1"/>
  <c r="AK223" i="1"/>
  <c r="AK158" i="1"/>
  <c r="AK52" i="1"/>
  <c r="AK539" i="1"/>
  <c r="AN372" i="1"/>
  <c r="AN7" i="1"/>
  <c r="AM303" i="1"/>
  <c r="AO390" i="1"/>
  <c r="AO378" i="1"/>
  <c r="AO288" i="1"/>
  <c r="AO222" i="1"/>
  <c r="AO156" i="1"/>
  <c r="AO50" i="1"/>
  <c r="AN390" i="1"/>
  <c r="AN378" i="1"/>
  <c r="AN288" i="1"/>
  <c r="AN222" i="1"/>
  <c r="AN156" i="1"/>
  <c r="AN50" i="1"/>
  <c r="AM390" i="1"/>
  <c r="AM378" i="1"/>
  <c r="AM288" i="1"/>
  <c r="AM222" i="1"/>
  <c r="AM156" i="1"/>
  <c r="AM50" i="1"/>
  <c r="AL390" i="1"/>
  <c r="AL378" i="1"/>
  <c r="AL288" i="1"/>
  <c r="AL222" i="1"/>
  <c r="AL156" i="1"/>
  <c r="AL50" i="1"/>
  <c r="AO391" i="1"/>
  <c r="AO379" i="1"/>
  <c r="AO12" i="1"/>
  <c r="AO160" i="1"/>
  <c r="AO38" i="1"/>
  <c r="AO541" i="1"/>
  <c r="AO558" i="1"/>
  <c r="CC56" i="3" l="1"/>
  <c r="AG56" i="3"/>
  <c r="AD56" i="3" s="1"/>
  <c r="CC55" i="3"/>
  <c r="AG55" i="3"/>
  <c r="AD55" i="3" s="1"/>
  <c r="CC54" i="3"/>
  <c r="AG54" i="3"/>
  <c r="AD54" i="3" s="1"/>
  <c r="CC53" i="3"/>
  <c r="AG53" i="3"/>
  <c r="AD53" i="3" s="1"/>
  <c r="Y55" i="3" l="1"/>
  <c r="AF55" i="3"/>
  <c r="Y53" i="3"/>
  <c r="AF53" i="3"/>
  <c r="Y54" i="3"/>
  <c r="AF54" i="3"/>
  <c r="Y56" i="3"/>
  <c r="AF56" i="3"/>
  <c r="AM53" i="3"/>
  <c r="AL53" i="3"/>
  <c r="AK53" i="3"/>
  <c r="AO53" i="3"/>
  <c r="AN53" i="3"/>
  <c r="AN55" i="3"/>
  <c r="AK55" i="3"/>
  <c r="AL55" i="3"/>
  <c r="AM55" i="3"/>
  <c r="AO55" i="3"/>
  <c r="AO54" i="3"/>
  <c r="AN54" i="3"/>
  <c r="AM54" i="3"/>
  <c r="AL54" i="3"/>
  <c r="AK54" i="3"/>
  <c r="AO56" i="3"/>
  <c r="AN56" i="3"/>
  <c r="AM56" i="3"/>
  <c r="AL56" i="3"/>
  <c r="AK56" i="3"/>
  <c r="CC16" i="5" l="1"/>
  <c r="AG16" i="5"/>
  <c r="AD16" i="5" s="1"/>
  <c r="CC15" i="5"/>
  <c r="AG15" i="5"/>
  <c r="AD15" i="5" s="1"/>
  <c r="CC14" i="5"/>
  <c r="AG14" i="5"/>
  <c r="AD14" i="5" s="1"/>
  <c r="AF14" i="5" s="1"/>
  <c r="CC13" i="5"/>
  <c r="AG13" i="5"/>
  <c r="AD13" i="5" s="1"/>
  <c r="CC12" i="5"/>
  <c r="AG12" i="5"/>
  <c r="AD12" i="5" s="1"/>
  <c r="CC11" i="5"/>
  <c r="AG11" i="5"/>
  <c r="AD11" i="5" s="1"/>
  <c r="CC10" i="5"/>
  <c r="AG10" i="5"/>
  <c r="AD10" i="5" s="1"/>
  <c r="AF10" i="5" s="1"/>
  <c r="CC9" i="5"/>
  <c r="AG9" i="5"/>
  <c r="AD9" i="5" s="1"/>
  <c r="CC8" i="5"/>
  <c r="AG8" i="5"/>
  <c r="AD8" i="5" s="1"/>
  <c r="CC7" i="5"/>
  <c r="AG7" i="5"/>
  <c r="AD7" i="5" s="1"/>
  <c r="AF7" i="5" s="1"/>
  <c r="CC6" i="5"/>
  <c r="AG6" i="5"/>
  <c r="AD6" i="5" s="1"/>
  <c r="AF6" i="5" s="1"/>
  <c r="CC5" i="5"/>
  <c r="AG5" i="5"/>
  <c r="AD5" i="5" s="1"/>
  <c r="CC4" i="5"/>
  <c r="AG4" i="5"/>
  <c r="AD4" i="5" s="1"/>
  <c r="CC27" i="4"/>
  <c r="AG27" i="4"/>
  <c r="AD27" i="4" s="1"/>
  <c r="CC26" i="4"/>
  <c r="AG26" i="4"/>
  <c r="AD26" i="4" s="1"/>
  <c r="CC25" i="4"/>
  <c r="AG25" i="4"/>
  <c r="AD25" i="4" s="1"/>
  <c r="CC24" i="4"/>
  <c r="AG24" i="4"/>
  <c r="AD24" i="4" s="1"/>
  <c r="AF24" i="4" s="1"/>
  <c r="CC23" i="4"/>
  <c r="AG23" i="4"/>
  <c r="AD23" i="4" s="1"/>
  <c r="CC22" i="4"/>
  <c r="AG22" i="4"/>
  <c r="AD22" i="4" s="1"/>
  <c r="AF22" i="4" s="1"/>
  <c r="CC21" i="4"/>
  <c r="AG21" i="4"/>
  <c r="AD21" i="4" s="1"/>
  <c r="CC20" i="4"/>
  <c r="AG20" i="4"/>
  <c r="AD20" i="4" s="1"/>
  <c r="CC19" i="4"/>
  <c r="AG19" i="4"/>
  <c r="AD19" i="4" s="1"/>
  <c r="CC18" i="4"/>
  <c r="AG18" i="4"/>
  <c r="AD18" i="4" s="1"/>
  <c r="CC17" i="4"/>
  <c r="AG17" i="4"/>
  <c r="AD17" i="4" s="1"/>
  <c r="CC16" i="4"/>
  <c r="AG16" i="4"/>
  <c r="AD16" i="4" s="1"/>
  <c r="CC15" i="4"/>
  <c r="AG15" i="4"/>
  <c r="AD15" i="4" s="1"/>
  <c r="CC14" i="4"/>
  <c r="AG14" i="4"/>
  <c r="AD14" i="4" s="1"/>
  <c r="AF14" i="4" s="1"/>
  <c r="CC13" i="4"/>
  <c r="AG13" i="4"/>
  <c r="AD13" i="4" s="1"/>
  <c r="CC12" i="4"/>
  <c r="AG12" i="4"/>
  <c r="AD12" i="4" s="1"/>
  <c r="AF12" i="4" s="1"/>
  <c r="CC11" i="4"/>
  <c r="AG11" i="4"/>
  <c r="AD11" i="4" s="1"/>
  <c r="CC10" i="4"/>
  <c r="AG10" i="4"/>
  <c r="AD10" i="4" s="1"/>
  <c r="CC9" i="4"/>
  <c r="AG9" i="4"/>
  <c r="AD9" i="4" s="1"/>
  <c r="CC8" i="4"/>
  <c r="AG8" i="4"/>
  <c r="AD8" i="4" s="1"/>
  <c r="AF8" i="4" s="1"/>
  <c r="CC7" i="4"/>
  <c r="AG7" i="4"/>
  <c r="AD7" i="4" s="1"/>
  <c r="CC6" i="4"/>
  <c r="AG6" i="4"/>
  <c r="AD6" i="4" s="1"/>
  <c r="AF6" i="4" s="1"/>
  <c r="CC5" i="4"/>
  <c r="AG5" i="4"/>
  <c r="AD5" i="4" s="1"/>
  <c r="CC4" i="4"/>
  <c r="AG4" i="4"/>
  <c r="AD4" i="4" s="1"/>
  <c r="AF4" i="4" s="1"/>
  <c r="CC27" i="3"/>
  <c r="AG27" i="3"/>
  <c r="AD27" i="3" s="1"/>
  <c r="AF27" i="3" s="1"/>
  <c r="CC28" i="3"/>
  <c r="AG28" i="3"/>
  <c r="AD28" i="3" s="1"/>
  <c r="CC35" i="3"/>
  <c r="AG35" i="3"/>
  <c r="AD35" i="3" s="1"/>
  <c r="AF35" i="3" s="1"/>
  <c r="CC43" i="3"/>
  <c r="AG43" i="3"/>
  <c r="AD43" i="3" s="1"/>
  <c r="CC62" i="3"/>
  <c r="AG62" i="3"/>
  <c r="AD62" i="3" s="1"/>
  <c r="AF62" i="3" s="1"/>
  <c r="CC61" i="3"/>
  <c r="AG61" i="3"/>
  <c r="AD61" i="3" s="1"/>
  <c r="CC24" i="3"/>
  <c r="AG24" i="3"/>
  <c r="AD24" i="3" s="1"/>
  <c r="AF24" i="3" s="1"/>
  <c r="CC23" i="3"/>
  <c r="AG23" i="3"/>
  <c r="AD23" i="3" s="1"/>
  <c r="CC34" i="3"/>
  <c r="AG34" i="3"/>
  <c r="AD34" i="3" s="1"/>
  <c r="CC33" i="3"/>
  <c r="AG33" i="3"/>
  <c r="AD33" i="3" s="1"/>
  <c r="CC60" i="3"/>
  <c r="AG60" i="3"/>
  <c r="AD60" i="3" s="1"/>
  <c r="CC59" i="3"/>
  <c r="AG59" i="3"/>
  <c r="AD59" i="3" s="1"/>
  <c r="CC58" i="3"/>
  <c r="AG58" i="3"/>
  <c r="AD58" i="3" s="1"/>
  <c r="CC57" i="3"/>
  <c r="AG57" i="3"/>
  <c r="AD57" i="3" s="1"/>
  <c r="AF57" i="3" s="1"/>
  <c r="CC29" i="2"/>
  <c r="AG29" i="2"/>
  <c r="AD29" i="2" s="1"/>
  <c r="CC28" i="2"/>
  <c r="AG28" i="2"/>
  <c r="AD28" i="2" s="1"/>
  <c r="CC27" i="2"/>
  <c r="AG27" i="2"/>
  <c r="AD27" i="2" s="1"/>
  <c r="CC26" i="2"/>
  <c r="AG26" i="2"/>
  <c r="AD26" i="2" s="1"/>
  <c r="CC25" i="2"/>
  <c r="AG25" i="2"/>
  <c r="AD25" i="2" s="1"/>
  <c r="AF25" i="2" s="1"/>
  <c r="CC24" i="2"/>
  <c r="AG24" i="2"/>
  <c r="AD24" i="2" s="1"/>
  <c r="CC23" i="2"/>
  <c r="AG23" i="2"/>
  <c r="AD23" i="2" s="1"/>
  <c r="CC22" i="2"/>
  <c r="AG22" i="2"/>
  <c r="AD22" i="2" s="1"/>
  <c r="CC21" i="2"/>
  <c r="AG21" i="2"/>
  <c r="AD21" i="2" s="1"/>
  <c r="CC20" i="2"/>
  <c r="AG20" i="2"/>
  <c r="AD20" i="2" s="1"/>
  <c r="CC19" i="2"/>
  <c r="AG19" i="2"/>
  <c r="AD19" i="2" s="1"/>
  <c r="AF19" i="2" s="1"/>
  <c r="CC18" i="2"/>
  <c r="AG18" i="2"/>
  <c r="AD18" i="2" s="1"/>
  <c r="CC17" i="2"/>
  <c r="AG17" i="2"/>
  <c r="AD17" i="2" s="1"/>
  <c r="CC16" i="2"/>
  <c r="AG16" i="2"/>
  <c r="AD16" i="2" s="1"/>
  <c r="AF16" i="2" s="1"/>
  <c r="CC15" i="2"/>
  <c r="AG15" i="2"/>
  <c r="AD15" i="2" s="1"/>
  <c r="CC14" i="2"/>
  <c r="AG14" i="2"/>
  <c r="AD14" i="2" s="1"/>
  <c r="CC13" i="2"/>
  <c r="AG13" i="2"/>
  <c r="AD13" i="2" s="1"/>
  <c r="CC12" i="2"/>
  <c r="AG12" i="2"/>
  <c r="AD12" i="2" s="1"/>
  <c r="CC11" i="2"/>
  <c r="AG11" i="2"/>
  <c r="AD11" i="2" s="1"/>
  <c r="AF11" i="2" s="1"/>
  <c r="CC10" i="2"/>
  <c r="AG10" i="2"/>
  <c r="AD10" i="2" s="1"/>
  <c r="CC9" i="2"/>
  <c r="AG9" i="2"/>
  <c r="AD9" i="2" s="1"/>
  <c r="AF9" i="2" s="1"/>
  <c r="CC8" i="2"/>
  <c r="AG8" i="2"/>
  <c r="AD8" i="2" s="1"/>
  <c r="CC7" i="2"/>
  <c r="AG7" i="2"/>
  <c r="AD7" i="2" s="1"/>
  <c r="CC6" i="2"/>
  <c r="AG6" i="2"/>
  <c r="AD6" i="2" s="1"/>
  <c r="CC5" i="2"/>
  <c r="AG5" i="2"/>
  <c r="AD5" i="2" s="1"/>
  <c r="AF5" i="2" s="1"/>
  <c r="CC4" i="2"/>
  <c r="AG4" i="2"/>
  <c r="AD4" i="2" s="1"/>
  <c r="AF4" i="2" s="1"/>
  <c r="Y15" i="2" l="1"/>
  <c r="AF15" i="2"/>
  <c r="Y23" i="2"/>
  <c r="AF23" i="2"/>
  <c r="Y27" i="2"/>
  <c r="AF27" i="2"/>
  <c r="Y58" i="3"/>
  <c r="AF58" i="3"/>
  <c r="Y34" i="3"/>
  <c r="AF34" i="3"/>
  <c r="Y7" i="4"/>
  <c r="AF7" i="4"/>
  <c r="Y11" i="4"/>
  <c r="AF11" i="4"/>
  <c r="Y15" i="4"/>
  <c r="AF15" i="4"/>
  <c r="Y19" i="4"/>
  <c r="AF19" i="4"/>
  <c r="Y23" i="4"/>
  <c r="AF23" i="4"/>
  <c r="Y27" i="4"/>
  <c r="AF27" i="4"/>
  <c r="Y9" i="5"/>
  <c r="AF9" i="5"/>
  <c r="Y11" i="5"/>
  <c r="AF11" i="5"/>
  <c r="Y15" i="5"/>
  <c r="AF15" i="5"/>
  <c r="Y7" i="2"/>
  <c r="AF7" i="2"/>
  <c r="Y13" i="2"/>
  <c r="AF13" i="2"/>
  <c r="Y17" i="2"/>
  <c r="AF17" i="2"/>
  <c r="Y21" i="2"/>
  <c r="AF21" i="2"/>
  <c r="Y29" i="2"/>
  <c r="AF29" i="2"/>
  <c r="Y60" i="3"/>
  <c r="AF60" i="3"/>
  <c r="Y5" i="4"/>
  <c r="AF5" i="4"/>
  <c r="Y9" i="4"/>
  <c r="AF9" i="4"/>
  <c r="Y13" i="4"/>
  <c r="AF13" i="4"/>
  <c r="Y17" i="4"/>
  <c r="AF17" i="4"/>
  <c r="Y21" i="4"/>
  <c r="AF21" i="4"/>
  <c r="Y25" i="4"/>
  <c r="AF25" i="4"/>
  <c r="Y5" i="5"/>
  <c r="AF5" i="5"/>
  <c r="Y13" i="5"/>
  <c r="AF13" i="5"/>
  <c r="Y6" i="2"/>
  <c r="AF6" i="2"/>
  <c r="Y10" i="2"/>
  <c r="AF10" i="2"/>
  <c r="Y14" i="2"/>
  <c r="AF14" i="2"/>
  <c r="Y18" i="2"/>
  <c r="AF18" i="2"/>
  <c r="Y22" i="2"/>
  <c r="AF22" i="2"/>
  <c r="Y26" i="2"/>
  <c r="AF26" i="2"/>
  <c r="Y33" i="3"/>
  <c r="AF33" i="3"/>
  <c r="Y61" i="3"/>
  <c r="AF61" i="3"/>
  <c r="Y28" i="3"/>
  <c r="AF28" i="3"/>
  <c r="Y10" i="4"/>
  <c r="AF10" i="4"/>
  <c r="Y18" i="4"/>
  <c r="AF18" i="4"/>
  <c r="Y26" i="4"/>
  <c r="AF26" i="4"/>
  <c r="Y8" i="5"/>
  <c r="AF8" i="5"/>
  <c r="Y12" i="5"/>
  <c r="AF12" i="5"/>
  <c r="Y16" i="5"/>
  <c r="AF16" i="5"/>
  <c r="Y8" i="2"/>
  <c r="AF8" i="2"/>
  <c r="Y12" i="2"/>
  <c r="AF12" i="2"/>
  <c r="Y20" i="2"/>
  <c r="AF20" i="2"/>
  <c r="Y24" i="2"/>
  <c r="AF24" i="2"/>
  <c r="Y28" i="2"/>
  <c r="AF28" i="2"/>
  <c r="Y59" i="3"/>
  <c r="AF59" i="3"/>
  <c r="Y23" i="3"/>
  <c r="AF23" i="3"/>
  <c r="Y43" i="3"/>
  <c r="AF43" i="3"/>
  <c r="Y16" i="4"/>
  <c r="AF16" i="4"/>
  <c r="Y20" i="4"/>
  <c r="AF20" i="4"/>
  <c r="Y4" i="5"/>
  <c r="AF4" i="5"/>
  <c r="AO14" i="4"/>
  <c r="Y14" i="4"/>
  <c r="AO12" i="4"/>
  <c r="Y12" i="4"/>
  <c r="AO6" i="4"/>
  <c r="Y6" i="4"/>
  <c r="AO22" i="4"/>
  <c r="Y22" i="4"/>
  <c r="AM24" i="4"/>
  <c r="Y24" i="4"/>
  <c r="AO4" i="4"/>
  <c r="Y4" i="4"/>
  <c r="AM8" i="4"/>
  <c r="Y8" i="4"/>
  <c r="AO62" i="3"/>
  <c r="Y62" i="3"/>
  <c r="AO57" i="3"/>
  <c r="Y57" i="3"/>
  <c r="AN24" i="3"/>
  <c r="Y24" i="3"/>
  <c r="AO35" i="3"/>
  <c r="Y35" i="3"/>
  <c r="AL27" i="3"/>
  <c r="Y27" i="3"/>
  <c r="AM7" i="5"/>
  <c r="Y7" i="5"/>
  <c r="AM6" i="5"/>
  <c r="Y6" i="5"/>
  <c r="AO10" i="5"/>
  <c r="Y10" i="5"/>
  <c r="AM14" i="5"/>
  <c r="Y14" i="5"/>
  <c r="AO5" i="2"/>
  <c r="Y5" i="2"/>
  <c r="AN9" i="2"/>
  <c r="Y9" i="2"/>
  <c r="AN25" i="2"/>
  <c r="Y25" i="2"/>
  <c r="AO4" i="2"/>
  <c r="Y4" i="2"/>
  <c r="AO16" i="2"/>
  <c r="Y16" i="2"/>
  <c r="AN11" i="2"/>
  <c r="Y11" i="2"/>
  <c r="AN19" i="2"/>
  <c r="Y19" i="2"/>
  <c r="AN9" i="5"/>
  <c r="AO9" i="5"/>
  <c r="AL9" i="5"/>
  <c r="AN5" i="5"/>
  <c r="AK5" i="5"/>
  <c r="AK12" i="5"/>
  <c r="AN12" i="5"/>
  <c r="AN4" i="5"/>
  <c r="AK4" i="5"/>
  <c r="AO20" i="4"/>
  <c r="AN24" i="4"/>
  <c r="AO24" i="4"/>
  <c r="AM20" i="4"/>
  <c r="AL7" i="5"/>
  <c r="AK10" i="5"/>
  <c r="AO15" i="5"/>
  <c r="AN15" i="5"/>
  <c r="AL15" i="5"/>
  <c r="AK15" i="5"/>
  <c r="AO7" i="5"/>
  <c r="AN7" i="5"/>
  <c r="AK7" i="5"/>
  <c r="AO5" i="5"/>
  <c r="AL5" i="5"/>
  <c r="AL10" i="5"/>
  <c r="AM15" i="5"/>
  <c r="AN8" i="5"/>
  <c r="AK8" i="5"/>
  <c r="AM5" i="5"/>
  <c r="AL8" i="5"/>
  <c r="AN10" i="5"/>
  <c r="AM10" i="5"/>
  <c r="AM8" i="5"/>
  <c r="AM11" i="5"/>
  <c r="AL11" i="5"/>
  <c r="AO13" i="5"/>
  <c r="AL13" i="5"/>
  <c r="AN16" i="5"/>
  <c r="AK16" i="5"/>
  <c r="AO8" i="5"/>
  <c r="AK13" i="5"/>
  <c r="AL16" i="5"/>
  <c r="AM13" i="5"/>
  <c r="AM16" i="5"/>
  <c r="AK11" i="5"/>
  <c r="AN13" i="5"/>
  <c r="AO16" i="5"/>
  <c r="AL6" i="5"/>
  <c r="AK6" i="5"/>
  <c r="AO6" i="5"/>
  <c r="AN6" i="5"/>
  <c r="AN11" i="5"/>
  <c r="AO4" i="5"/>
  <c r="AM4" i="5"/>
  <c r="AL4" i="5"/>
  <c r="AO11" i="5"/>
  <c r="AL14" i="5"/>
  <c r="AK14" i="5"/>
  <c r="AO14" i="5"/>
  <c r="AN14" i="5"/>
  <c r="AO12" i="5"/>
  <c r="AM12" i="5"/>
  <c r="AL12" i="5"/>
  <c r="AK9" i="5"/>
  <c r="AM9" i="5"/>
  <c r="AM16" i="4"/>
  <c r="AN16" i="4"/>
  <c r="AO16" i="4"/>
  <c r="AL4" i="4"/>
  <c r="AM4" i="4"/>
  <c r="AN8" i="4"/>
  <c r="AL12" i="4"/>
  <c r="AO8" i="4"/>
  <c r="AM12" i="4"/>
  <c r="AL20" i="4"/>
  <c r="AL61" i="3"/>
  <c r="AM62" i="3"/>
  <c r="AK5" i="4"/>
  <c r="AM5" i="4"/>
  <c r="AO5" i="4"/>
  <c r="AN5" i="4"/>
  <c r="AL5" i="4"/>
  <c r="AO17" i="4"/>
  <c r="AN17" i="4"/>
  <c r="AM17" i="4"/>
  <c r="AL17" i="4"/>
  <c r="AK17" i="4"/>
  <c r="AK21" i="4"/>
  <c r="AM21" i="4"/>
  <c r="AO21" i="4"/>
  <c r="AN21" i="4"/>
  <c r="AL21" i="4"/>
  <c r="AO9" i="4"/>
  <c r="AN9" i="4"/>
  <c r="AM9" i="4"/>
  <c r="AL9" i="4"/>
  <c r="AK9" i="4"/>
  <c r="AO25" i="4"/>
  <c r="AN25" i="4"/>
  <c r="AM25" i="4"/>
  <c r="AL25" i="4"/>
  <c r="AK25" i="4"/>
  <c r="AO10" i="4"/>
  <c r="AN10" i="4"/>
  <c r="AK10" i="4"/>
  <c r="AM10" i="4"/>
  <c r="AL10" i="4"/>
  <c r="AO18" i="4"/>
  <c r="AK18" i="4"/>
  <c r="AN18" i="4"/>
  <c r="AM18" i="4"/>
  <c r="AL18" i="4"/>
  <c r="AK13" i="4"/>
  <c r="AO13" i="4"/>
  <c r="AN13" i="4"/>
  <c r="AM13" i="4"/>
  <c r="AL13" i="4"/>
  <c r="AO26" i="4"/>
  <c r="AK26" i="4"/>
  <c r="AN26" i="4"/>
  <c r="AM26" i="4"/>
  <c r="AL26" i="4"/>
  <c r="AO11" i="4"/>
  <c r="AN11" i="4"/>
  <c r="AM11" i="4"/>
  <c r="AL11" i="4"/>
  <c r="AK11" i="4"/>
  <c r="AO19" i="4"/>
  <c r="AN19" i="4"/>
  <c r="AM19" i="4"/>
  <c r="AL19" i="4"/>
  <c r="AK19" i="4"/>
  <c r="AO27" i="4"/>
  <c r="AN27" i="4"/>
  <c r="AM27" i="4"/>
  <c r="AL27" i="4"/>
  <c r="AK27" i="4"/>
  <c r="AK7" i="4"/>
  <c r="AK15" i="4"/>
  <c r="AK23" i="4"/>
  <c r="AL7" i="4"/>
  <c r="AL15" i="4"/>
  <c r="AL23" i="4"/>
  <c r="AK4" i="4"/>
  <c r="AM7" i="4"/>
  <c r="AK12" i="4"/>
  <c r="AM15" i="4"/>
  <c r="AK20" i="4"/>
  <c r="AM23" i="4"/>
  <c r="AN7" i="4"/>
  <c r="AN15" i="4"/>
  <c r="AN23" i="4"/>
  <c r="AO7" i="4"/>
  <c r="AO15" i="4"/>
  <c r="AO23" i="4"/>
  <c r="AN4" i="4"/>
  <c r="AN12" i="4"/>
  <c r="AN20" i="4"/>
  <c r="AK6" i="4"/>
  <c r="AK14" i="4"/>
  <c r="AK22" i="4"/>
  <c r="AL6" i="4"/>
  <c r="AL14" i="4"/>
  <c r="AL22" i="4"/>
  <c r="AM6" i="4"/>
  <c r="AM14" i="4"/>
  <c r="AM22" i="4"/>
  <c r="AN6" i="4"/>
  <c r="AN14" i="4"/>
  <c r="AN22" i="4"/>
  <c r="AK8" i="4"/>
  <c r="AK16" i="4"/>
  <c r="AK24" i="4"/>
  <c r="AL8" i="4"/>
  <c r="AL16" i="4"/>
  <c r="AL24" i="4"/>
  <c r="AL43" i="3"/>
  <c r="AO43" i="3"/>
  <c r="AN43" i="3"/>
  <c r="AM43" i="3"/>
  <c r="AM27" i="3"/>
  <c r="AO61" i="3"/>
  <c r="AN61" i="3"/>
  <c r="AM61" i="3"/>
  <c r="AO23" i="3"/>
  <c r="AK23" i="3"/>
  <c r="AL23" i="3"/>
  <c r="AK24" i="3"/>
  <c r="AM24" i="3"/>
  <c r="AL24" i="3"/>
  <c r="AO27" i="3"/>
  <c r="AN27" i="3"/>
  <c r="AK27" i="3"/>
  <c r="AO24" i="3"/>
  <c r="AM24" i="2"/>
  <c r="AL24" i="2"/>
  <c r="AN24" i="2"/>
  <c r="AO20" i="2"/>
  <c r="AM20" i="2"/>
  <c r="AO17" i="2"/>
  <c r="AL17" i="2"/>
  <c r="AM17" i="2"/>
  <c r="AM27" i="2"/>
  <c r="AO27" i="2"/>
  <c r="AN27" i="2"/>
  <c r="AO11" i="2"/>
  <c r="AN16" i="2"/>
  <c r="AO19" i="2"/>
  <c r="AK13" i="2"/>
  <c r="AM59" i="3"/>
  <c r="AL59" i="3"/>
  <c r="AK59" i="3"/>
  <c r="AN59" i="3"/>
  <c r="AO59" i="3"/>
  <c r="AO60" i="3"/>
  <c r="AN60" i="3"/>
  <c r="AM60" i="3"/>
  <c r="AL60" i="3"/>
  <c r="AK60" i="3"/>
  <c r="AO33" i="3"/>
  <c r="AN33" i="3"/>
  <c r="AM33" i="3"/>
  <c r="AL33" i="3"/>
  <c r="AK33" i="3"/>
  <c r="AO28" i="3"/>
  <c r="AN28" i="3"/>
  <c r="AM28" i="3"/>
  <c r="AL28" i="3"/>
  <c r="AK28" i="3"/>
  <c r="AO34" i="3"/>
  <c r="AN34" i="3"/>
  <c r="AM34" i="3"/>
  <c r="AL34" i="3"/>
  <c r="AK34" i="3"/>
  <c r="AK58" i="3"/>
  <c r="AL58" i="3"/>
  <c r="AK62" i="3"/>
  <c r="AM58" i="3"/>
  <c r="AL62" i="3"/>
  <c r="AN58" i="3"/>
  <c r="AO58" i="3"/>
  <c r="AM23" i="3"/>
  <c r="AN62" i="3"/>
  <c r="AN23" i="3"/>
  <c r="AK35" i="3"/>
  <c r="AK57" i="3"/>
  <c r="AL35" i="3"/>
  <c r="AL57" i="3"/>
  <c r="AK61" i="3"/>
  <c r="AM35" i="3"/>
  <c r="AM57" i="3"/>
  <c r="AN35" i="3"/>
  <c r="AN57" i="3"/>
  <c r="AK43" i="3"/>
  <c r="AO6" i="2"/>
  <c r="AL6" i="2"/>
  <c r="AM6" i="2"/>
  <c r="AO15" i="2"/>
  <c r="AM8" i="2"/>
  <c r="AN12" i="2"/>
  <c r="AL5" i="2"/>
  <c r="AN5" i="2"/>
  <c r="AM5" i="2"/>
  <c r="AN8" i="2"/>
  <c r="AO8" i="2"/>
  <c r="AO28" i="2"/>
  <c r="AL16" i="2"/>
  <c r="AM16" i="2"/>
  <c r="AK25" i="2"/>
  <c r="AL25" i="2"/>
  <c r="AM28" i="2"/>
  <c r="AM13" i="2"/>
  <c r="AL13" i="2"/>
  <c r="AO23" i="2"/>
  <c r="AM9" i="2"/>
  <c r="AO13" i="2"/>
  <c r="AN13" i="2"/>
  <c r="AK24" i="2"/>
  <c r="AO24" i="2"/>
  <c r="AN29" i="2"/>
  <c r="AO29" i="2"/>
  <c r="AL29" i="2"/>
  <c r="AM29" i="2"/>
  <c r="AK29" i="2"/>
  <c r="AK18" i="2"/>
  <c r="AM18" i="2"/>
  <c r="AO18" i="2"/>
  <c r="AN18" i="2"/>
  <c r="AL18" i="2"/>
  <c r="AL21" i="2"/>
  <c r="AO21" i="2"/>
  <c r="AK21" i="2"/>
  <c r="AN21" i="2"/>
  <c r="AM21" i="2"/>
  <c r="AO22" i="2"/>
  <c r="AM22" i="2"/>
  <c r="AL22" i="2"/>
  <c r="AN22" i="2"/>
  <c r="AK22" i="2"/>
  <c r="AL10" i="2"/>
  <c r="AO10" i="2"/>
  <c r="AN10" i="2"/>
  <c r="AM10" i="2"/>
  <c r="AK10" i="2"/>
  <c r="AM14" i="2"/>
  <c r="AO14" i="2"/>
  <c r="AK14" i="2"/>
  <c r="AN14" i="2"/>
  <c r="AL14" i="2"/>
  <c r="AK7" i="2"/>
  <c r="AK26" i="2"/>
  <c r="AK15" i="2"/>
  <c r="AL4" i="2"/>
  <c r="AL15" i="2"/>
  <c r="AK4" i="2"/>
  <c r="AM7" i="2"/>
  <c r="AM15" i="2"/>
  <c r="AK23" i="2"/>
  <c r="AM26" i="2"/>
  <c r="AM4" i="2"/>
  <c r="AN7" i="2"/>
  <c r="AK12" i="2"/>
  <c r="AN26" i="2"/>
  <c r="AL12" i="2"/>
  <c r="AN15" i="2"/>
  <c r="AK20" i="2"/>
  <c r="AM23" i="2"/>
  <c r="AO26" i="2"/>
  <c r="AL7" i="2"/>
  <c r="AL26" i="2"/>
  <c r="AL23" i="2"/>
  <c r="AN4" i="2"/>
  <c r="AO7" i="2"/>
  <c r="AK9" i="2"/>
  <c r="AK28" i="2"/>
  <c r="AK6" i="2"/>
  <c r="AL9" i="2"/>
  <c r="AM12" i="2"/>
  <c r="AK17" i="2"/>
  <c r="AL20" i="2"/>
  <c r="AN23" i="2"/>
  <c r="AL28" i="2"/>
  <c r="AN20" i="2"/>
  <c r="AO12" i="2"/>
  <c r="AN28" i="2"/>
  <c r="AN6" i="2"/>
  <c r="AO9" i="2"/>
  <c r="AK8" i="2"/>
  <c r="AL11" i="2"/>
  <c r="AN17" i="2"/>
  <c r="AO25" i="2"/>
  <c r="AK5" i="2"/>
  <c r="AL8" i="2"/>
  <c r="AM11" i="2"/>
  <c r="AK16" i="2"/>
  <c r="AM19" i="2"/>
  <c r="AL27" i="2"/>
  <c r="AM25" i="2"/>
  <c r="AK11" i="2"/>
  <c r="AK19" i="2"/>
  <c r="AL19" i="2"/>
  <c r="AK27" i="2"/>
</calcChain>
</file>

<file path=xl/sharedStrings.xml><?xml version="1.0" encoding="utf-8"?>
<sst xmlns="http://schemas.openxmlformats.org/spreadsheetml/2006/main" count="33065" uniqueCount="6533">
  <si>
    <t>Product Fields</t>
  </si>
  <si>
    <t>Import File Version:</t>
  </si>
  <si>
    <t>You cannot delete the first 3 header rows of this spreadhsheet!</t>
  </si>
  <si>
    <t>Product-Fields</t>
  </si>
  <si>
    <t>Filter0</t>
  </si>
  <si>
    <t>Manufacturer</t>
  </si>
  <si>
    <t>Supplier</t>
  </si>
  <si>
    <t>Restricted Quantities</t>
  </si>
  <si>
    <t>Obsolete Replacements</t>
  </si>
  <si>
    <t>Shipping Time</t>
  </si>
  <si>
    <t>Manufacturer Category</t>
  </si>
  <si>
    <t>Category1</t>
  </si>
  <si>
    <t>Category2</t>
  </si>
  <si>
    <t>Category3</t>
  </si>
  <si>
    <t>Category4</t>
  </si>
  <si>
    <t>Summary</t>
  </si>
  <si>
    <t>Description</t>
  </si>
  <si>
    <t>SEDescription</t>
  </si>
  <si>
    <t>SETitle</t>
  </si>
  <si>
    <t>Features</t>
  </si>
  <si>
    <t>Dimensional Weight</t>
  </si>
  <si>
    <t>Shipping Weight</t>
  </si>
  <si>
    <t>GTIN</t>
  </si>
  <si>
    <t>Published</t>
  </si>
  <si>
    <t>Condition</t>
  </si>
  <si>
    <t>ImageFilenameOverride</t>
  </si>
  <si>
    <t>Revised Markup</t>
  </si>
  <si>
    <t>Competitor</t>
  </si>
  <si>
    <t>Price</t>
  </si>
  <si>
    <t>MFG LIST</t>
  </si>
  <si>
    <t>MSRP</t>
  </si>
  <si>
    <t>Price Code</t>
  </si>
  <si>
    <t>Multiplier</t>
  </si>
  <si>
    <t>Markup</t>
  </si>
  <si>
    <t>Preferred</t>
  </si>
  <si>
    <t>Gold</t>
  </si>
  <si>
    <t>Reseller</t>
  </si>
  <si>
    <t>Discount Level1</t>
  </si>
  <si>
    <t>Discount Level2</t>
  </si>
  <si>
    <t>Discount Level3</t>
  </si>
  <si>
    <t>Discount Level4</t>
  </si>
  <si>
    <t>Discount Level5</t>
  </si>
  <si>
    <t>Discount Level6</t>
  </si>
  <si>
    <t>Discount Level7</t>
  </si>
  <si>
    <t>Discount Level8</t>
  </si>
  <si>
    <t>Discount Level9</t>
  </si>
  <si>
    <t>Discount Level10</t>
  </si>
  <si>
    <t>Discount Level11</t>
  </si>
  <si>
    <t>Discount Level12</t>
  </si>
  <si>
    <t>Discount Level13</t>
  </si>
  <si>
    <t>Discount Level14</t>
  </si>
  <si>
    <t>Discount Level15</t>
  </si>
  <si>
    <t>Discount Level16</t>
  </si>
  <si>
    <t>Discount Level17</t>
  </si>
  <si>
    <t>Discount Level18</t>
  </si>
  <si>
    <t>Discount Level19</t>
  </si>
  <si>
    <t>Discount Level20</t>
  </si>
  <si>
    <t>Discount Level21</t>
  </si>
  <si>
    <t>Discount Level22</t>
  </si>
  <si>
    <t>SpareImage</t>
  </si>
  <si>
    <t>Filter1</t>
  </si>
  <si>
    <t>Filter2</t>
  </si>
  <si>
    <t>Filter3</t>
  </si>
  <si>
    <t>Filter15</t>
  </si>
  <si>
    <t>Filter5</t>
  </si>
  <si>
    <t>Filter6</t>
  </si>
  <si>
    <t>Filter7</t>
  </si>
  <si>
    <t>Filter8</t>
  </si>
  <si>
    <t>Filter9</t>
  </si>
  <si>
    <t>Filter10</t>
  </si>
  <si>
    <t>Filter11</t>
  </si>
  <si>
    <t>Filter12</t>
  </si>
  <si>
    <t>Filter14</t>
  </si>
  <si>
    <t>Filter17</t>
  </si>
  <si>
    <t>Filter18</t>
  </si>
  <si>
    <t>Filter19</t>
  </si>
  <si>
    <t>1 or 0</t>
  </si>
  <si>
    <t>Volume Reseller</t>
  </si>
  <si>
    <t>Special</t>
  </si>
  <si>
    <t>(text-field)</t>
  </si>
  <si>
    <t>Component</t>
  </si>
  <si>
    <t>Sub Component</t>
  </si>
  <si>
    <t>Line</t>
  </si>
  <si>
    <t>Enclosure Nema Rating</t>
  </si>
  <si>
    <t>Enclosure Environment Rating</t>
  </si>
  <si>
    <t>Enclosure Hinge Type</t>
  </si>
  <si>
    <t>Enclosure Latch Type</t>
  </si>
  <si>
    <t>Enclosure Composition</t>
  </si>
  <si>
    <t>Enclosure Number of Doors</t>
  </si>
  <si>
    <t>Enclosure Mount Type</t>
  </si>
  <si>
    <t>Enclosure Door Type</t>
  </si>
  <si>
    <t>Enclosure Lock Type</t>
  </si>
  <si>
    <t>Enclosure Height</t>
  </si>
  <si>
    <t>Enclosure Width</t>
  </si>
  <si>
    <t>Enclosure Depth</t>
  </si>
  <si>
    <t>Allied Moulded AM30240RLW Enclosure 30.00" x 24.00" x 11.75"</t>
  </si>
  <si>
    <t>Allied Moulded AM30240RLW</t>
  </si>
  <si>
    <t>Allied Moulded</t>
  </si>
  <si>
    <t>AM30240RLW</t>
  </si>
  <si>
    <t>Allied Moulded PF3024,Allied Moulded AMPOLEMNT24,Allied Moulded PA3024,Allied Moulded HFP3024,Allied Moulded P3024,Allied Moulded AM30240RL,Allied Moulded PG3024,Allied Moulded AM30240RTW,Allied Moulded AMHS150</t>
  </si>
  <si>
    <t>F-F,175,1,L0-P,1,D0,P0,O0,U0</t>
  </si>
  <si>
    <t>Ships in 2 weeks</t>
  </si>
  <si>
    <t>/Enclosures/All Enclosures</t>
  </si>
  <si>
    <t>/Enclosures/All Enclosures/Allied Moulded Enclosures</t>
  </si>
  <si>
    <t>/Enclosures/Non-Metallic Enclosures</t>
  </si>
  <si>
    <t>/Enclosures/Non-Metallic Enclosures/Fiberglass Enclosures::/Enclosures/Non-Metallic Enclosures/Fiberglass Enclosures/Allied Moulded Fiberglass Enclosures</t>
  </si>
  <si>
    <t>Allied Moulded AM30240RLW Control Series Fiberglass Enclosure with Windows 30.00" x 24.00" x 11.75" (HxWxD) Approx. Inside Dimensions Raised Lockable Snap Latch Hinged Cover.</t>
  </si>
  <si>
    <t>Non-corrosive, non-conductive, light weight with lower installation cost, easy to modify and longer life cycle compared to steel. Rigid design with back panel inserts plus stainless steel mounting brackets and a gasket system encased in a continuous channel on the cover.;Rigid design with back panel inserts plus stainless steel mounting brackets and a gasket system encased in a continuous channel on the cover.;</t>
  </si>
  <si>
    <t/>
  </si>
  <si>
    <t>Allied-Moulded-AM30240RLW.jpg</t>
  </si>
  <si>
    <t>ALLIED</t>
  </si>
  <si>
    <t>Must order a minimum of $150 of Allied Moulded products for order to ship.</t>
  </si>
  <si>
    <t>Non-Metallic Enclosure</t>
  </si>
  <si>
    <t>Control Series</t>
  </si>
  <si>
    <t>NEMA Type 4X</t>
  </si>
  <si>
    <t>Outdoor-Indoor</t>
  </si>
  <si>
    <t>Standard Hinge</t>
  </si>
  <si>
    <t>Snap</t>
  </si>
  <si>
    <t>Fiberglass</t>
  </si>
  <si>
    <t>2 Door</t>
  </si>
  <si>
    <t>Wall Mount</t>
  </si>
  <si>
    <t>Window</t>
  </si>
  <si>
    <t>Padlocking</t>
  </si>
  <si>
    <t>30"</t>
  </si>
  <si>
    <t>24"</t>
  </si>
  <si>
    <t>12"</t>
  </si>
  <si>
    <t>Allied Moulded AM30240RTW Enclosure 30.00" x 24.00" x 11.75"</t>
  </si>
  <si>
    <t>Allied Moulded AM30240RTW</t>
  </si>
  <si>
    <t>AM30240RTW</t>
  </si>
  <si>
    <t>Allied Moulded PG3024,Allied Moulded PA3024,Allied Moulded HFP3024,Allied Moulded PF3024,Allied Moulded P3024,Allied Moulded AMHS150,Allied Moulded AM30240RLW,Allied Moulded AMPOLEMNT24,Allied Moulded AM30240RT</t>
  </si>
  <si>
    <t>Allied Moulded AM30240RTW Control Series Fiberglass Enclosure with Windows 30.00" x 24.00" x 11.75" (HxWxD) Approx. Inside Dimensions Raised Lockable Twist Latch Hinged Cover.</t>
  </si>
  <si>
    <t>Allied-Moulded-AM30240RTW.jpg</t>
  </si>
  <si>
    <t>Twist</t>
  </si>
  <si>
    <t>Allied Moulded AM30240RL Fiberglass Enclosure 30.00" x 24.00" x 11.75"</t>
  </si>
  <si>
    <t>Allied Moulded AM30240RL</t>
  </si>
  <si>
    <t>AM30240RL</t>
  </si>
  <si>
    <t>Allied Moulded PA3024,Allied Moulded AM30240RT,Allied Moulded PG3024,Allied Moulded AMHS150,Allied Moulded PF3024,Allied Moulded AMPOLEMNT24,Allied Moulded P3024,Allied Moulded HFP3024</t>
  </si>
  <si>
    <t>Allied Moulded AM30240RL Control Series Fiberglass Enclosures 30.00" x 24.00" x 11.75" (HxWxL) Raised Lockable Snap Latch Hinged Cover</t>
  </si>
  <si>
    <t>Allied-Moulded-AM30240RL.jpg</t>
  </si>
  <si>
    <t>1 Door</t>
  </si>
  <si>
    <t>Solid</t>
  </si>
  <si>
    <t>Allied Moulded AM30240RT Fiberglass Enclosure 30.00" x 24.00" x 11.75"</t>
  </si>
  <si>
    <t>Allied Moulded AM30240RT</t>
  </si>
  <si>
    <t>AM30240RT</t>
  </si>
  <si>
    <t>Allied Moulded PG3024,Allied Moulded PA3024,Allied Moulded P3024,Allied Moulded HFP3024,Allied Moulded PF3024,Allied Moulded AM30240RL,Allied Moulded AM30240RTW,Allied Moulded AMPOLEMNT24,Allied Moulded AMHS150</t>
  </si>
  <si>
    <t>Allied Moulded AM30240RT Control Series Fiberglass Enclosures 30.00" x 24.00" x 11.75" (HxWxL) Raised Lockable Twist Latch Hinged Cover</t>
  </si>
  <si>
    <t>Allied-Moulded-AM30240RT.jpg</t>
  </si>
  <si>
    <t>Allied Moulded AM30240R3PT Fiberglass Enclosure 30.00" x 24.00" x 11.75"</t>
  </si>
  <si>
    <t>Allied Moulded AM30240R3PT</t>
  </si>
  <si>
    <t>AM30240R3PT</t>
  </si>
  <si>
    <t>Allied Moulded PF3024,Allied Moulded AMPOLEMNT24,Allied Moulded PG3024,Allied Moulded AMHS150,Allied Moulded HFP3024,Allied Moulded PA3024,Allied Moulded AM30240RQT,Allied Moulded P3024</t>
  </si>
  <si>
    <t>Allied Moulded AM30240R3PT Control Series Fiberglass Enclosures 30.00" x 24.00" x 11.75" (HxWxL) Raised Lockable 3-Point Handle Hinged Cover</t>
  </si>
  <si>
    <t>Allied-Moulded-AM30240R3PT.jpg</t>
  </si>
  <si>
    <t xml:space="preserve">3-Point with Handle </t>
  </si>
  <si>
    <t>Allied Moulded AM30240RQT Fiberglass Enclosure 30.00" x 24.00" x 11.75"</t>
  </si>
  <si>
    <t>Allied Moulded AM30240RQT</t>
  </si>
  <si>
    <t>AM30240RQT</t>
  </si>
  <si>
    <t>Allied Moulded PG3024,Allied Moulded P3024,Allied Moulded PA3024,Allied Moulded PF3024,Allied Moulded HFP3024,Allied Moulded AM30240RTW,Allied Moulded AM30240R3PT,Allied Moulded AMPOLEMNT24,Allied Moulded AMHS150</t>
  </si>
  <si>
    <t>Allied Moulded AM30240RQT Control Series Fiberglass Enclosures 30.00" x 24.00" x 11.75" (HxWxL) Raised Quarter-Turn Latch Hinged Cover</t>
  </si>
  <si>
    <t>Allied-Moulded-AM30240RQT.jpg</t>
  </si>
  <si>
    <t>Quarter Turn</t>
  </si>
  <si>
    <t>Allied Moulded AM30248RLW Enclosure 30.00" x 24.00" x 9.75"</t>
  </si>
  <si>
    <t>Allied Moulded AM30248RLW</t>
  </si>
  <si>
    <t>AM30248RLW</t>
  </si>
  <si>
    <t>Allied Moulded AM30248RTW,Allied Moulded AMPOLEMNT24,Allied Moulded P3024,Allied Moulded PG3024,Allied Moulded PA3024,Allied Moulded AM30248RL,Allied Moulded AMHS150,Allied Moulded HFP3024,Allied Moulded PF3024</t>
  </si>
  <si>
    <t>Allied Moulded AM30248RLW Control Series Fiberglass Enclosure with Windows 30.00" x 24.00" x 9.75" (HxWxD) Approx. Inside Dimensions Raised Lockable Snap Latch Hinged Cover.</t>
  </si>
  <si>
    <t>Allied-Moulded-AM30248RLW.jpg</t>
  </si>
  <si>
    <t>10"</t>
  </si>
  <si>
    <t>Allied Moulded AM30248RTW Enclosure 30.00" x 24.00" x 9.75"</t>
  </si>
  <si>
    <t>Allied Moulded AM30248RTW</t>
  </si>
  <si>
    <t>AM30248RTW</t>
  </si>
  <si>
    <t>Allied Moulded PG3024,Allied Moulded AM30248RT,Allied Moulded PF3024,Allied Moulded PA3024,Allied Moulded AM30248RLW,Allied Moulded P3024,Allied Moulded HFP3024,Allied Moulded AMPOLEMNT24,Allied Moulded AMHS150</t>
  </si>
  <si>
    <t>Allied Moulded AM30248RTW Control Series Fiberglass Enclosure with Windows 30.00" x 24.00" x 9.75" (HxWxD) Approx. Inside Dimensions Raised Lockable Twist Latch Hinged Cover.</t>
  </si>
  <si>
    <t>Allied-Moulded-AM30248RTW.jpg</t>
  </si>
  <si>
    <t>Allied Moulded AM30248RL Fiberglass Enclosure 30.00" x 24.00" x 9.75"</t>
  </si>
  <si>
    <t>Allied Moulded AM30248RL</t>
  </si>
  <si>
    <t>AM30248RL</t>
  </si>
  <si>
    <t>Allied Moulded P3024,Allied Moulded AM30248RT,Allied Moulded PF3024,Allied Moulded AMHS150,Allied Moulded AM30248RLW,Allied Moulded PA3024,Allied Moulded HFP3024,Allied Moulded PG3024,Allied Moulded AMPOLEMNT24</t>
  </si>
  <si>
    <t>Allied Moulded AM30248RL Control Series Fiberglass Enclosures 30.00" x 24.00" x 9.75" (HxWxL) Raised Lockable Snap Latch Hinged Cover</t>
  </si>
  <si>
    <t>Allied-Moulded-AM30248RL.jpg</t>
  </si>
  <si>
    <t>Allied Moulded AM30248RT Fiberglass Enclosure 30.00" x 24.00" x 9.75"</t>
  </si>
  <si>
    <t>Allied Moulded AM30248RT</t>
  </si>
  <si>
    <t>AM30248RT</t>
  </si>
  <si>
    <t>Allied Moulded HFP3024,Allied Moulded PG3024,Allied Moulded PA3024,Allied Moulded AM30248RL,Allied Moulded AMPOLEMNT24,Allied Moulded PF3024,Allied Moulded AM30248RTW,Allied Moulded AMHS150,Allied Moulded P3024</t>
  </si>
  <si>
    <t>Allied Moulded AM30248RT Control Series Fiberglass Enclosures 30.00" x 24.00" x 9.75" (HxWxL) Raised Lockable Twist Latch Hinged Cover</t>
  </si>
  <si>
    <t>Allied-Moulded-AM30248RT.jpg</t>
  </si>
  <si>
    <t>Allied Moulded AM30248R3PT Fiberglass Enclosure 30.00" x 24.00" x 9.75"</t>
  </si>
  <si>
    <t>Allied Moulded AM30248R3PT</t>
  </si>
  <si>
    <t>AM30248R3PT</t>
  </si>
  <si>
    <t>Allied Moulded AMHS150,Allied Moulded AM30248RLW,Allied Moulded P3024,Allied Moulded PA3024,Allied Moulded PG3024,Allied Moulded HFP3024,Allied Moulded AM30248RQT,Allied Moulded AMPOLEMNT24,Allied Moulded PF3024</t>
  </si>
  <si>
    <t>Allied Moulded AM30248R3PT Control Series Fiberglass Enclosures 30.00" x 24.00" x 9.75" (HxWxL) Raised Lockable 3-Point Handle Hinged Cover</t>
  </si>
  <si>
    <t>Allied-Moulded-AM30248R3PT.jpg</t>
  </si>
  <si>
    <t>Allied Moulded AM30248RQT Fiberglass Enclosure 30.00" x 24.00" x 9.75"</t>
  </si>
  <si>
    <t>Allied Moulded AM30248RQT</t>
  </si>
  <si>
    <t>AM30248RQT</t>
  </si>
  <si>
    <t>Allied Moulded PG3024,Allied Moulded PA3024,Allied Moulded AM30248RTW,Allied Moulded AMPOLEMNT24,Allied Moulded P3024,Allied Moulded HFP3024,Allied Moulded PF3024,Allied Moulded AMHS150,Allied Moulded AM30248R3PT</t>
  </si>
  <si>
    <t>Allied Moulded AM30248RQT Control Series Fiberglass Enclosures 30.00" x 24.00" x 9.75" (HxWxL) Raised Quarter-Turn Latch Hinged Cover</t>
  </si>
  <si>
    <t>Allied-Moulded-AM30248RQT.jpg</t>
  </si>
  <si>
    <t>Allied Moulded AM722525FS Enclosure 72" x 25" x 25"</t>
  </si>
  <si>
    <t>Allied Moulded AM722525FS</t>
  </si>
  <si>
    <t>AM722525FS</t>
  </si>
  <si>
    <t>Allied Moulded AMPFA3000,Allied Moulded AMHS300,Allied Moulded AMPRINTPOCKET,Allied Moulded P7225CS</t>
  </si>
  <si>
    <t>Allied Moulded AM722525FS Empire Series Wall Mount &amp; Free Standing Fiberglass Enclosure 72" x 25" x 25" (HxWxD) Approx. Inside Dimensions Free Standing with 3-PT Latching Handle.</t>
  </si>
  <si>
    <t>Non-corrosive, non-conductive, light weight with lower installation cost, easy to modify and longer life cycle compared to steel. Rigid design with back panel inserts plus a spring loaded gasket system.;Rigid design with back panel inserts plus a spring loaded gasket system.;</t>
  </si>
  <si>
    <t>Allied-Moulded-AM722525FS.jpg</t>
  </si>
  <si>
    <t>Empire Series</t>
  </si>
  <si>
    <t xml:space="preserve"> Free-Standing</t>
  </si>
  <si>
    <t>72"</t>
  </si>
  <si>
    <t>25"</t>
  </si>
  <si>
    <t>Allied Moulded AMEC3630123PTW Enclosure 36" x 30" x 12"</t>
  </si>
  <si>
    <t>Allied Moulded AMEC3630123PTW</t>
  </si>
  <si>
    <t>AMEC3630123PTW</t>
  </si>
  <si>
    <t>Allied Moulded AMPOLEMNTEMP,Allied Moulded AMHS300,Allied Moulded AMPFA1000,Allied Moulded AMEC363012TW,Allied Moulded AMPRINTPOCKET,Allied Moulded P3630CS</t>
  </si>
  <si>
    <t>Allied Moulded AMEC3630123PTW Empire Series Wall Mount Compression Molded Fiberglass Enclosure 36" x 30" x 12" (HxWxD) Approx. Inside Dimensions Wall Mount 3-PT Latch.</t>
  </si>
  <si>
    <t>Non-corrosive, non-conductive, light weight with lower installation cost, easy to modify and longer life cycle compared to steel. Rigid design with back panel inserts plus molded-in mounting flanges and a formed-in-place polyurethane gasket system.;Rigid design with back panel inserts plus molded-in mounting flanges and a formed-in-place polyurethane gasket system.;</t>
  </si>
  <si>
    <t>Allied-Moulded-AMEC3630123PTW.jpg</t>
  </si>
  <si>
    <t>36"</t>
  </si>
  <si>
    <t>Allied Moulded AMEC363012TW Enclosure 36" x 30" x 12"</t>
  </si>
  <si>
    <t>Allied Moulded AMEC363012TW</t>
  </si>
  <si>
    <t>AMEC363012TW</t>
  </si>
  <si>
    <t>Allied Moulded AMPOLEMNTEMP,Allied Moulded P3630CS,Allied Moulded AMHS300,Allied Moulded AMEC363012T,Allied Moulded AMPFA1000,Allied Moulded AMPRINTPOCKET</t>
  </si>
  <si>
    <t>Allied Moulded AMEC363012TW Empire Series Wall Mount Compression Molded Fiberglass Enclosure 36" x 30" x 12" (HxWxD) Approx. Inside Dimensions Wall Mount Twist Latch.</t>
  </si>
  <si>
    <t>Allied-Moulded-AMEC363012TW.jpg</t>
  </si>
  <si>
    <t>Allied Moulded AMEC3630123PT Enclosure 36" x 30" x 12"</t>
  </si>
  <si>
    <t>Allied Moulded AMEC3630123PT</t>
  </si>
  <si>
    <t>AMEC3630123PT</t>
  </si>
  <si>
    <t>Allied Moulded AMPOLEMNTEMP,Allied Moulded AMPRINTPOCKET,Allied Moulded AMPFA1000,Allied Moulded AMEC363012T,Allied Moulded AMEC363012TW,Allied Moulded AMHS300</t>
  </si>
  <si>
    <t>Allied Moulded AMEC3630123PT Empire Series Wall Mount Compression Molded Fiberglass Enclosure 36" x 30" x 12" (HxWxD) Approx. Inside Dimensions Wall Mount 3-PT Latch.</t>
  </si>
  <si>
    <t>Allied-Moulded-AMEC3630123PT.jpg</t>
  </si>
  <si>
    <t>Allied Moulded AMEC363012T Enclosure 36" x 30" x 12"</t>
  </si>
  <si>
    <t>Allied Moulded AMEC363012T</t>
  </si>
  <si>
    <t>AMEC363012T</t>
  </si>
  <si>
    <t>Allied Moulded P3630CS,Allied Moulded AMPOLEMNTEMP,Allied Moulded AMEC363012TW,Allied Moulded AMPFA1000,Allied Moulded AMPRINTPOCKET,Allied Moulded AMHS300</t>
  </si>
  <si>
    <t>Allied Moulded AMEC363012T Empire Series Wall Mount Compression Molded Fiberglass Enclosure 36" x 30" x 12" (HxWxD) Approx. Inside Dimensions Wall Mount Twist Latch.</t>
  </si>
  <si>
    <t>Allied-Moulded-AMEC363012T.jpg</t>
  </si>
  <si>
    <t>Allied Moulded AM363016L3PT Enclosure 36" x 30" x 16"</t>
  </si>
  <si>
    <t>Allied Moulded AM363016L3PT</t>
  </si>
  <si>
    <t>AM363016L3PT</t>
  </si>
  <si>
    <t>Allied Moulded AMPFA1000,Allied Moulded AM363016L,Allied Moulded AMPOLEMNTEMP,Allied Moulded AMHS300,Allied Moulded AMPRINTPOCKET,Allied Moulded P3630CS</t>
  </si>
  <si>
    <t>Allied Moulded AM363016L3PT Empire Series Wall Mount &amp; Free Standing Fiberglass Enclosure 36" x 30" x 16" (HxWxD) Approx. Inside Dimensions Wall Mount 3-PT Latch.</t>
  </si>
  <si>
    <t>Non-corrosive, non-conductive, light weight with lower installation cost, easy to modify and longer life cycle compared to steel. Rigid design with back panel inserts plus molded-in mounting flanges and a spring loaded gasket system.;Rigid design with back panel inserts plus molded-in mounting flanges and a spring loaded gasket system.;</t>
  </si>
  <si>
    <t>Allied-Moulded-AM363016L3PT.jpg</t>
  </si>
  <si>
    <t>16"</t>
  </si>
  <si>
    <t>Allied Moulded AM363016L Enclosure 36" x 30" x 16"</t>
  </si>
  <si>
    <t>Allied Moulded AM363016L</t>
  </si>
  <si>
    <t>AM363016L</t>
  </si>
  <si>
    <t>Allied Moulded AMPRINTPOCKET,Allied Moulded AMHS300,Allied Moulded AMPOLEMNTEMP,Allied Moulded AM363016L3PT,Allied Moulded AMPFA1000,Allied Moulded P3630CS</t>
  </si>
  <si>
    <t>Allied Moulded AM363016L Empire Series Wall Mount &amp; Free Standing Fiberglass Enclosure 36" x 30" x 16" (HxWxD) Approx. Inside Dimensions Wall Mount Twist Latch.</t>
  </si>
  <si>
    <t>Allied-Moulded-AM363016L.jpg</t>
  </si>
  <si>
    <t>40"</t>
  </si>
  <si>
    <t>32"</t>
  </si>
  <si>
    <t>Allied Moulded AMXL403212L3PT Enclosure 40" x 32" x 12"</t>
  </si>
  <si>
    <t>Allied Moulded AMXL403212L3PT</t>
  </si>
  <si>
    <t>AMXL403212L3PT</t>
  </si>
  <si>
    <t>Allied Moulded AMPRINTPOCKET,Allied Moulded HFP4032,Allied Moulded P4032,Allied Moulded AMHS300,Allied Moulded PA4032,Allied Moulded AMPFA1000</t>
  </si>
  <si>
    <t>Allied Moulded AMXL403212L3PT Control Series Fiberglass Enclosure with Windows 40" x 32" x 12" (HxWxD) Approx. Inside Dimensions Raised Lockable Snap Latch Hinged Cover.</t>
  </si>
  <si>
    <t>Allied-Moulded-AMXL403212L3PT.jpg</t>
  </si>
  <si>
    <t>Allied Moulded AM363616L3PT Enclosure 36" x 36" x 16"</t>
  </si>
  <si>
    <t>Allied Moulded AM363616L3PT</t>
  </si>
  <si>
    <t>AM363616L3PT</t>
  </si>
  <si>
    <t>Allied Moulded AMPOLEMNTEMP,Allied Moulded AM363616L,Allied Moulded AMPFA1000,Allied Moulded AMPRINTPOCKET,Allied Moulded P3636CS,Allied Moulded AMHS300</t>
  </si>
  <si>
    <t>Allied Moulded AM363616L3PT Empire Series Wall Mount &amp; Free Standing Fiberglass Enclosure 36" x 36" x 16" (HxWxD) Approx. Inside Dimensions Wall Mount 3-PT Latch.</t>
  </si>
  <si>
    <t>Allied-Moulded-AM363616L3PT.jpg</t>
  </si>
  <si>
    <t>Allied Moulded AM363616L Enclosure 36" x 36" x 16"</t>
  </si>
  <si>
    <t>Allied Moulded AM363616L</t>
  </si>
  <si>
    <t>AM363616L</t>
  </si>
  <si>
    <t>Allied Moulded P3636CS,Allied Moulded AMPRINTPOCKET,Allied Moulded AMPOLEMNTEMP,Allied Moulded AM363616L3PT,Allied Moulded AMHS300,Allied Moulded AMPFA1000</t>
  </si>
  <si>
    <t>Allied Moulded AM363616L Empire Series Wall Mount &amp; Free Standing Fiberglass Enclosure 36" x 36" x 16" (HxWxD) Approx. Inside Dimensions Wall Mount Twist Latch.</t>
  </si>
  <si>
    <t>Allied-Moulded-AM363616L.jpg</t>
  </si>
  <si>
    <t>Allied Moulded AM363612L3PT Enclosure 36" x 36" x 12"</t>
  </si>
  <si>
    <t>Allied Moulded AM363612L3PT</t>
  </si>
  <si>
    <t>AM363612L3PT</t>
  </si>
  <si>
    <t>Allied Moulded AMHS300,Allied Moulded AMPRINTPOCKET,Allied Moulded AM363612L,Allied Moulded AMPOLEMNTEMP,Allied Moulded AMPFA1000,Allied Moulded P3636CS</t>
  </si>
  <si>
    <t>Allied Moulded AM363612L3PT Empire Series Wall Mount &amp; Free Standing Fiberglass Enclosure 36" x 36" x 12" (HxWxD) Approx. Inside Dimensions Wall Mount 3-PT Latch.</t>
  </si>
  <si>
    <t>Allied-Moulded-AM363612L3PT.jpg</t>
  </si>
  <si>
    <t>Allied Moulded AM363612L Enclosure 36" x 36" x 12"</t>
  </si>
  <si>
    <t>Allied Moulded AM363612L</t>
  </si>
  <si>
    <t>AM363612L</t>
  </si>
  <si>
    <t>Allied Moulded AMPFA1000,Allied Moulded AMHS300,Allied Moulded AM363612L3PT,Allied Moulded P3636CS,Allied Moulded AMPOLEMNTEMP,Allied Moulded AMPRINTPOCKET</t>
  </si>
  <si>
    <t>Allied Moulded AM363612L Empire Series Wall Mount &amp; Free Standing Fiberglass Enclosure 36" x 36" x 12" (HxWxD) Approx. Inside Dimensions Wall Mount Twist Latch.</t>
  </si>
  <si>
    <t>Allied-Moulded-AM363612L.jpg</t>
  </si>
  <si>
    <t>Allied Moulded AM483616L Enclosure 48" x 36" x 16"</t>
  </si>
  <si>
    <t>Allied Moulded AM483616L</t>
  </si>
  <si>
    <t>AM483616L</t>
  </si>
  <si>
    <t>Allied Moulded AM483616L3PT,Allied Moulded P4836CS,Allied Moulded AMPRINTPOCKET,Allied Moulded AMHS300,Allied Moulded AMPFA2000,Allied Moulded AMPOLEMNTEMP</t>
  </si>
  <si>
    <t>Allied Moulded AM483616L Empire Series Wall Mount &amp; Free Standing Fiberglass Enclosure 48" x 36" x 16" (HxWxD) Approx. Inside Dimensions Wall Mount Twist Latch.</t>
  </si>
  <si>
    <t>Allied-Moulded-AM483616L.jpg</t>
  </si>
  <si>
    <t>48"</t>
  </si>
  <si>
    <t>Allied Moulded AM483616L3PT Enclosure 48" x 36" x 16"</t>
  </si>
  <si>
    <t>Allied Moulded AM483616L3PT</t>
  </si>
  <si>
    <t>AM483616L3PT</t>
  </si>
  <si>
    <t>Allied Moulded AMHS300,Allied Moulded P4836CS,Allied Moulded AMPFA2000,Allied Moulded AM483616L,Allied Moulded AMPRINTPOCKET,Allied Moulded AMPOLEMNTEMP</t>
  </si>
  <si>
    <t>Allied Moulded AM483616L3PT Empire Series Wall Mount &amp; Free Standing Fiberglass Enclosure 48" x 36" x 16" (HxWxD) Approx. Inside Dimensions Wall Mount 3-PT Latch.</t>
  </si>
  <si>
    <t>Allied-Moulded-AM483616L3PT.jpg</t>
  </si>
  <si>
    <t>Allied Moulded AM483612L3PT Enclosure 48" x 36" x 12"</t>
  </si>
  <si>
    <t>Allied Moulded AM483612L3PT</t>
  </si>
  <si>
    <t>AM483612L3PT</t>
  </si>
  <si>
    <t>Allied Moulded AMPFA2000,Allied Moulded AMPRINTPOCKET,Allied Moulded AMPOLEMNTEMP,Allied Moulded AMHS300,Allied Moulded P4836CS,Allied Moulded AM483612L</t>
  </si>
  <si>
    <t>Allied Moulded AM483612L3PT Empire Series Wall Mount &amp; Free Standing Fiberglass Enclosure 48" x 36" x 12" (HxWxD) Approx. Inside Dimensions Wall Mount 3-PT Latch.</t>
  </si>
  <si>
    <t>Allied-Moulded-AM483612L3PT.jpg</t>
  </si>
  <si>
    <t>Allied Moulded AM483612L Enclosure 48" x 36" x 12"</t>
  </si>
  <si>
    <t>Allied Moulded AM483612L</t>
  </si>
  <si>
    <t>AM483612L</t>
  </si>
  <si>
    <t>Allied Moulded AMPFA2000,Allied Moulded AMHS300,Allied Moulded AM483612L3PT,Allied Moulded P4836CS,Allied Moulded AMPOLEMNTEMP,Allied Moulded AMPRINTPOCKET</t>
  </si>
  <si>
    <t>Allied Moulded AM483612L Empire Series Wall Mount &amp; Free Standing Fiberglass Enclosure 48" x 36" x 12" (HxWxD) Approx. Inside Dimensions Wall Mount Twist Latch.</t>
  </si>
  <si>
    <t>Allied-Moulded-AM483612L.jpg</t>
  </si>
  <si>
    <t>Allied Moulded AM603616L3PT Enclosure 60" x 36" x 16"</t>
  </si>
  <si>
    <t>Allied Moulded AM603616L3PT</t>
  </si>
  <si>
    <t>AM603616L3PT</t>
  </si>
  <si>
    <t>Allied Moulded P6036CS,Allied Moulded AM483616L,Allied Moulded AMHS300,Allied Moulded AMPFA2000,Allied Moulded AMPRINTPOCKET,Allied Moulded AMPOLEMNTEMP</t>
  </si>
  <si>
    <t>Allied Moulded AM603616L3PT Empire Series Wall Mount &amp; Free Standing Fiberglass Enclosure 60" x 36" x 16" (HxWxD) Approx. Inside Dimensions Wall Mount 3-PT Latch.</t>
  </si>
  <si>
    <t>Allied-Moulded-AM603616L3PT.jpg</t>
  </si>
  <si>
    <t>60"</t>
  </si>
  <si>
    <t>Allied Moulded AM603616L Enclosure 60" x 36" x 16"</t>
  </si>
  <si>
    <t>Allied Moulded AM603616L</t>
  </si>
  <si>
    <t>AM603616L</t>
  </si>
  <si>
    <t>Allied Moulded AMHS300,Allied Moulded AM603616L3PT,Allied Moulded P6036CS,Allied Moulded AMPFA2000,Allied Moulded AMPRINTPOCKET,Allied Moulded AMPOLEMNTEMP</t>
  </si>
  <si>
    <t>Allied Moulded AM603616L Empire Series Wall Mount &amp; Free Standing Fiberglass Enclosure 60" x 36" x 16" (HxWxD) Approx. Inside Dimensions Wall Mount Twist Latch.</t>
  </si>
  <si>
    <t>Allied-Moulded-AM603616L.jpg</t>
  </si>
  <si>
    <t>Allied Moulded AM603612L3PT Enclosure 60" x 36" x 12"</t>
  </si>
  <si>
    <t>Allied Moulded AM603612L3PT</t>
  </si>
  <si>
    <t>AM603612L3PT</t>
  </si>
  <si>
    <t>Allied Moulded AMPRINTPOCKET,Allied Moulded P6036CS,Allied Moulded AMPFA2000,Allied Moulded AMPOLEMNTEMP,Allied Moulded AMHS300,Allied Moulded AM603612L</t>
  </si>
  <si>
    <t>Allied Moulded AM603612L3PT Empire Series Wall Mount &amp; Free Standing Fiberglass Enclosure 60" x 36" x 12" (HxWxD) Approx. Inside Dimensions Wall Mount 3-PT Latch.</t>
  </si>
  <si>
    <t>Allied-Moulded-AM603612L3PT.jpg</t>
  </si>
  <si>
    <t>Allied Moulded AM603612L Enclosure 60" x 36" x 12"</t>
  </si>
  <si>
    <t>Allied Moulded AM603612L</t>
  </si>
  <si>
    <t>AM603612L</t>
  </si>
  <si>
    <t>Allied Moulded AMPRINTPOCKET,Allied Moulded P6036CS,Allied Moulded AMPOLEMNTEMP,Allied Moulded AMHS300,Allied Moulded AM603612L3PT,Allied Moulded AMPFA2000</t>
  </si>
  <si>
    <t>Allied Moulded AM603612L Empire Series Wall Mount &amp; Free Standing Fiberglass Enclosure 60" x 36" x 12" (HxWxD) Approx. Inside Dimensions Wall Mount Twist Latch.</t>
  </si>
  <si>
    <t>Allied-Moulded-AM603612L.jpg</t>
  </si>
  <si>
    <t>Allied Moulded AM724925FSDD Enclosure 72" x 49" x 25"</t>
  </si>
  <si>
    <t>Allied Moulded AM724925FSDD</t>
  </si>
  <si>
    <t>AM724925FSDD</t>
  </si>
  <si>
    <t>Allied Moulded P7249CS,Allied Moulded AMHS300,Allied Moulded AMPRINTPOCKET,Allied Moulded AMPFA3000</t>
  </si>
  <si>
    <t>Allied Moulded AM724925FSDD Empire Series Wall Mount &amp; Free Standing Fiberglass Enclosure 72" x 49" x 25" (HxWxD) Approx. Inside Dimensions Free Standing with 3-PT Latching Handle.</t>
  </si>
  <si>
    <t>Allied-Moulded-AM724925FSDD.jpg</t>
  </si>
  <si>
    <t>49"</t>
  </si>
  <si>
    <t>Allied Moulded AM1206W ULTRAGUARD Fiberglass reinforced polyester Type 4x Small Window Junction Box</t>
  </si>
  <si>
    <t>Allied Moulded AM1206W</t>
  </si>
  <si>
    <t>AM1206W</t>
  </si>
  <si>
    <t>Allied Moulded PLA120,Allied Moulded AMHS075,Allied Moulded AMU1206W,Allied Moulded PF120,Allied Moulded PG120,Allied Moulded AM1206R,Allied Moulded AMPOLEMNT10,Allied Moulded AMP1206CC,Allied Moulded PL120</t>
  </si>
  <si>
    <t>P-F,175,1,L0-P,1,D0,P0,O0,U0</t>
  </si>
  <si>
    <t>/Enclosures/Non-Metallic Enclosures/Polyester Enclosures::/Enclosures/Non-Metallic Enclosures/Polyester Enclosures/Allied Moulded polyester Enclosures</t>
  </si>
  <si>
    <t>Allied Moulded AM1206W ULTRAGUARD Fiberglass reinforced polyester Type 4x Window Junction Box Enclosure 12" x 10" x 6" (HXWXD) Inside Dimension. Bonded clear polycarbonate cover with lift off 4 screw cover. 316 Stainless Steel external hardware and plated carbon steel internal hardware.</t>
  </si>
  <si>
    <t>Allied Moulded AM1206W ULTRAGUARD Fiberglass reinforced polyester Type 4x Window Junction Box Enclosure 12" x 10" x 6" (HXWXD). Bonded clear polycarbonate cover with lift off 4 screw cover. 316 Stainless Steel external hardware and plated carbon steel internal hardware.</t>
  </si>
  <si>
    <t>Allied Moulded AM1206W Non Metallic Polyester Window Enclosure</t>
  </si>
  <si>
    <t>Allied-Moulded-AM1206W.jpg</t>
  </si>
  <si>
    <t>ULTRAGUARD</t>
  </si>
  <si>
    <t>Screw</t>
  </si>
  <si>
    <t>Polyester</t>
  </si>
  <si>
    <t>6"</t>
  </si>
  <si>
    <t>Allied Moulded AM1206HW ULTRAGUARD Fiberglass reinforced polyester Type 4x Small Window Junction Box</t>
  </si>
  <si>
    <t>Allied Moulded AM1206HW</t>
  </si>
  <si>
    <t>AM1206HW</t>
  </si>
  <si>
    <t>Allied Moulded PF120,Allied Moulded AMP1206CCH,Allied Moulded AMPOLEMNT10,Allied Moulded PL120,Allied Moulded PLA120,Allied Moulded PG120,Allied Moulded AMU1206HW,Allied Moulded AMHS075,Allied Moulded AM1206RH</t>
  </si>
  <si>
    <t>Allied Moulded AM1206HW ULTRAGUARD Fiberglass reinforced polyester Type 4x Window Junction Box Enclosure 12" x 10" x 6" (HXWXD) Inside Dimension. Bonded clear polycarbonate cover with hinged 2 screw cover. 316 Stainless Steel hinge, external hardware and plated carbon steel internal hardware.</t>
  </si>
  <si>
    <t>Allied Moulded AM1206HW ULTRAGUARD Fiberglass reinforced polyester Type 4x Window Junction Box Enclosure 12" x 10" x 6" (HXWXD). Bonded clear polycarbonate cover with hinged 2 screw cover. 316 Stainless Steel hinge, external hardware and plated carbon steel internal hardware.</t>
  </si>
  <si>
    <t>Allied Moulded AM1206HW Non Metallic Polyester Window Enclosure</t>
  </si>
  <si>
    <t>Allied-Moulded-AM1206HW.jpg</t>
  </si>
  <si>
    <t>Allied Moulded AM1206LW ULTRAGUARD Fiberglass reinforced polyester Type 4x Small Window Junction Box</t>
  </si>
  <si>
    <t>Allied Moulded AM1206LW</t>
  </si>
  <si>
    <t>AM1206LW</t>
  </si>
  <si>
    <t>Allied Moulded PG120,Allied Moulded PF120,Allied Moulded PL120,Allied Moulded AMU1206LW,Allied Moulded AMPOLEMNT10,Allied Moulded AMHS075,Allied Moulded PLA120,Allied Moulded AM1206RL,Allied Moulded AMP1206CCL</t>
  </si>
  <si>
    <t>Allied Moulded AM1206LW ULTRAGUARD Fiberglass reinforced polyester Type 4x Window Junction Box Enclosure 12" x 10" x 6" (HXWXD) Inside Dimension. Bonded clear polycarbonate cover hinged with lockable clamp latch. 316 Stainless Steel hinge, latch, external hardware and plated carbon steel internal hardware.</t>
  </si>
  <si>
    <t>Allied Moulded AM1206LW ULTRAGUARD Fiberglass reinforced polyester Type 4x Window Junction Box Enclosure 12" x 10" x 6" (HXWXD). Bonded clear polycarbonate cover hinged with lockable clamp latch. 316 Stainless Steel hinge, latch, external hardware and plated carbon steel internal hardware.</t>
  </si>
  <si>
    <t>Allied Moulded AM1206LW Non Metallic Polyester Window Enclosure</t>
  </si>
  <si>
    <t>Allied-Moulded-AM1206LW.jpg</t>
  </si>
  <si>
    <t>Clamp</t>
  </si>
  <si>
    <t>Allied Moulded AM1206TW ULTRAGUARD Fiberglass reinforced polyester Type 4x Small Window Junction Box</t>
  </si>
  <si>
    <t>Allied Moulded AM1206TW</t>
  </si>
  <si>
    <t>AM1206TW</t>
  </si>
  <si>
    <t>Allied Moulded PL120,Allied Moulded AMPOLEMNT10,Allied Moulded PG120,Allied Moulded AMP1206CCL,Allied Moulded AMHS075,Allied Moulded AM1206RTW,Allied Moulded PF120,Allied Moulded AMU1206TW,Allied Moulded PLA120</t>
  </si>
  <si>
    <t>Allied Moulded AM1206TW ULTRAGUARD Fiberglass reinforced polyester Type 4x Window Junction Box Enclosure 12" x 10" x 6" (HXWXD) Inside Dimension. Bonded clear polycarbonate cover hinged with lockable twist latch. 316 Stainless Steel hinge, latch, external hardware and plated carbon steel internal hardware.</t>
  </si>
  <si>
    <t>Allied Moulded AM1206TW ULTRAGUARD Fiberglass reinforced polyester Type 4x Window Junction Box Enclosure 12" x 10" x 6" (HXWXD). Bonded clear polycarbonate cover hinged with lockable twist latch. 316 Stainless Steel hinge, latch, external hardware and plated carbon steel internal hardware.</t>
  </si>
  <si>
    <t>Allied Moulded AM1206TW Non Metallic Polyester Window Enclosure</t>
  </si>
  <si>
    <t>Allied-Moulded-AM1206TW.jpg</t>
  </si>
  <si>
    <t>Allied Moulded AM1206R Enclosure 12.00" x 10.00" x 7.75"</t>
  </si>
  <si>
    <t>Allied Moulded AM1206R</t>
  </si>
  <si>
    <t>AM1206R</t>
  </si>
  <si>
    <t>Allied Moulded PLA120,Allied Moulded HFP120,Allied Moulded AMU1206,Allied Moulded PF120,Allied Moulded AM1206RW,Allied Moulded AMP1206,Allied Moulded AMPOLEMNT10,Allied Moulded PG120,Allied Moulded AMHS075,Allied Moulded PL120</t>
  </si>
  <si>
    <t>Allied Moulded AM1206R AM-R Series JIC Size Fiberglass Enclosure 12.00" x 10.00" x 7.75" (HxWxD) Approx. Inside Dimensions Raised Lift-Off Screw Cover.</t>
  </si>
  <si>
    <t>Allied-Moulded-AM1206R.jpg</t>
  </si>
  <si>
    <t>AM-R Series</t>
  </si>
  <si>
    <t>Sold Separately</t>
  </si>
  <si>
    <t>8"</t>
  </si>
  <si>
    <t>Allied Moulded AM1206RH Enclosure 12.00" x 10.00" x 7.75"</t>
  </si>
  <si>
    <t>Allied Moulded AM1206RH</t>
  </si>
  <si>
    <t>AM1206RH</t>
  </si>
  <si>
    <t>Allied Moulded PG120,Allied Moulded AMPOLEMNT10,Allied Moulded PLA120,Allied Moulded PF120,Allied Moulded AM1206RHW,Allied Moulded PL120,Allied Moulded HFP120,Allied Moulded AMHS075,Allied Moulded AMP1206H,Allied Moulded AMU1206H</t>
  </si>
  <si>
    <t>Allied Moulded AM1206RH AM-R Series JIC Size Fiberglass Enclosure 12.00" x 10.00" x 7.75" (HxWxD) Approx. Inside Dimensions Raised Hinged Screw Cover.</t>
  </si>
  <si>
    <t>Allied-Moulded-AM1206RH.jpg</t>
  </si>
  <si>
    <t>Allied Moulded AM1206RL Enclosure 12.00" x 10.00" x 7.75"</t>
  </si>
  <si>
    <t>Allied Moulded AM1206RL</t>
  </si>
  <si>
    <t>AM1206RL</t>
  </si>
  <si>
    <t>Allied Moulded PLA120,Allied Moulded PG120,Allied Moulded PL120,Allied Moulded AMPOLEMNT10,Allied Moulded AMHS075,Allied Moulded AMP1206L,Allied Moulded PF120,Allied Moulded AM1206RLW,Allied Moulded AMU1206L,Allied Moulded HFP120</t>
  </si>
  <si>
    <t>Allied Moulded AM1206RL AM-R Series JIC Size Fiberglass Enclosure 12.00" x 10.00" x 7.75" (HxWxD) Approx. Inside Dimensions Raised Stainless Steel Lockable Snap Latch Hinged Cover.</t>
  </si>
  <si>
    <t>Allied-Moulded-AM1206RL.jpg</t>
  </si>
  <si>
    <t>Allied Moulded AM1206RT Enclosure 12.00" x 10.00" x 7.75"</t>
  </si>
  <si>
    <t>Allied Moulded AM1206RT</t>
  </si>
  <si>
    <t>AM1206RT</t>
  </si>
  <si>
    <t>Allied Moulded PF120,Allied Moulded PLA120,Allied Moulded AMPOLEMNT10,Allied Moulded AMHS075,Allied Moulded AMP1206L,Allied Moulded PG120,Allied Moulded PL120,Allied Moulded AMU1206T,Allied Moulded HFP120,Allied Moulded AM1206RTW</t>
  </si>
  <si>
    <t>Allied Moulded AM1206RT AM-R Series JIC Size Fiberglass Enclosure 12.00" x 10.00" x 7.75" (HxWxD) Approx. Inside Dimensions Raised Stainless Steel Lockable Twist Latch Hinged Cover.</t>
  </si>
  <si>
    <t>Allied-Moulded-AM1206RT.jpg</t>
  </si>
  <si>
    <t>Allied Moulded AM1206RW Enclosure 12.00" x 10.00" x 7.75"</t>
  </si>
  <si>
    <t>Allied Moulded AM1206RW</t>
  </si>
  <si>
    <t>AM1206RW</t>
  </si>
  <si>
    <t>Allied Moulded AM1206R,Allied Moulded PLA120,Allied Moulded AMP1206CC,Allied Moulded AMPOLEMNT10,Allied Moulded HFP120,Allied Moulded PL120,Allied Moulded AMU1206W,Allied Moulded AMHS075,Allied Moulded PF120,Allied Moulded PG120</t>
  </si>
  <si>
    <t>Allied Moulded AM1206RW AM-R Series JIC Size Fiberglass Enclosure with Windows 12.00" x 10.00" x 7.75" (HxWxD) Approx. Inside Dimensions Raised Lift-Off Screw Cover.</t>
  </si>
  <si>
    <t>Allied-Moulded-AM1206RW.jpg</t>
  </si>
  <si>
    <t>Allied Moulded AM1206RHW Enclosure 12.00" x 10.00" x 7.75"</t>
  </si>
  <si>
    <t>Allied Moulded AM1206RHW</t>
  </si>
  <si>
    <t>AM1206RHW</t>
  </si>
  <si>
    <t>Allied Moulded PF120,Allied Moulded AM1206RH,Allied Moulded PLA120,Allied Moulded HFP120,Allied Moulded AMU1206HW,Allied Moulded AMP1206CCH,Allied Moulded PL120,Allied Moulded PG120,Allied Moulded AMHS075,Allied Moulded AMPOLEMNT10</t>
  </si>
  <si>
    <t>Allied Moulded AM1206RHW AM-R Series JIC Size Fiberglass Enclosure with Windows 12.00" x 10.00" x 7.75" (HxWxD) Approx. Inside Dimensions Raised Hinged Screw Cover.</t>
  </si>
  <si>
    <t>Allied-Moulded-AM1206RHW.jpg</t>
  </si>
  <si>
    <t>Allied Moulded AM1206RLW Enclosure 12.00" x 10.00" x 7.75"</t>
  </si>
  <si>
    <t>Allied Moulded AM1206RLW</t>
  </si>
  <si>
    <t>AM1206RLW</t>
  </si>
  <si>
    <t>Allied Moulded AMHS075,Allied Moulded HFP120,Allied Moulded AM1206RL,Allied Moulded AMPOLEMNT10,Allied Moulded PF120,Allied Moulded PL120,Allied Moulded PG120,Allied Moulded PLA120,Allied Moulded AMU1206LW,Allied Moulded AMP1206CCL</t>
  </si>
  <si>
    <t>Allied Moulded AM1206RLW AM-R Series JIC Size Fiberglass Enclosure with Windows 12.00" x 10.00" x 7.75" (HxWxD) Approx. Inside Dimensions Raised Stainless Steel Lockable Snap Latch Hinged Cover.</t>
  </si>
  <si>
    <t>Allied-Moulded-AM1206RLW.jpg</t>
  </si>
  <si>
    <t>Allied Moulded AM1206RTW Enclosure 12.00" x 10.00" x 7.75"</t>
  </si>
  <si>
    <t>Allied Moulded AM1206RTW</t>
  </si>
  <si>
    <t>AM1206RTW</t>
  </si>
  <si>
    <t>Allied Moulded AMP1206CCL,Allied Moulded AMHS075,Allied Moulded PG120,Allied Moulded PF120,Allied Moulded AMPOLEMNT10,Allied Moulded HFP120,Allied Moulded PLA120,Allied Moulded AMU1206TW,Allied Moulded AM1206RT,Allied Moulded PL120</t>
  </si>
  <si>
    <t>Allied Moulded AM1206RTW AM-R Series JIC Size Fiberglass Enclosure with Windows 12.00" x 10.00" x 7.75" (HxWxD) Approx. Inside Dimensions Raised Lockable Twist Latch Hinged Cover.</t>
  </si>
  <si>
    <t>Allied-Moulded-AM1206RTW.jpg</t>
  </si>
  <si>
    <t>Allied Moulded AM1206 ULTRAGUARD Fiberglass reinforced polyester Type 4x Small Junction Box</t>
  </si>
  <si>
    <t>Allied Moulded AM1206</t>
  </si>
  <si>
    <t>AM1206</t>
  </si>
  <si>
    <t>Allied Moulded PL120,Allied Moulded AMPOLEMNT10,Allied Moulded AMP1206,Allied Moulded PF120,Allied Moulded AMHS075,Allied Moulded AM1206RW,Allied Moulded AMU1206,Allied Moulded PLA120,Allied Moulded PG120</t>
  </si>
  <si>
    <t>Allied Moulded AM1206 ULTRAGUARD Fiberglass reinforced polyester Type 4x Junction Box Enclosure 12" x 10" x 64" (HXWXD) Inside Dimension. Opaque cover with lift off 4 screw cover. 316 Stainless Steel external hardware and plated carbon steel internal hardware.</t>
  </si>
  <si>
    <t>Allied Moulded AM1206 ULTRAGUARD Fiberglass reinforced polyester Type 4x Junction Box Enclosure 12" x 10" x 64" (HXWXD). Opaque cover with lift off 4 screw cover. 316 Stainless Steel external hardware and plated carbon steel internal hardware.</t>
  </si>
  <si>
    <t>Allied Moulded AM1206 Non Metallic Polyester Enclosure</t>
  </si>
  <si>
    <t>Allied-Moulded-AM1206.jpg</t>
  </si>
  <si>
    <t>Allied Moulded AM1206H ULTRAGUARD Fiberglass reinforced polyester Type 4x Small Junction Box</t>
  </si>
  <si>
    <t>Allied Moulded AM1206H</t>
  </si>
  <si>
    <t>AM1206H</t>
  </si>
  <si>
    <t>Allied Moulded PLA120,Allied Moulded PF120,Allied Moulded AMPOLEMNT10,Allied Moulded AMHS075,Allied Moulded AMP1206H,Allied Moulded AMU1206H,Allied Moulded PG120,Allied Moulded AM1206RHW,Allied Moulded PL120</t>
  </si>
  <si>
    <t>Allied Moulded AM1206H ULTRAGUARD Fiberglass reinforced polyester Type 4x Junction Box Enclosure 20" x 10" x 6" (HXWXD) Inside Dimension. Opaque cover with hinged 2 screw cover. 316 Stainless Steel hinge, external hardware and plated carbon steel internal hardware.</t>
  </si>
  <si>
    <t>Allied Moulded AM1206H ULTRAGUARD Fiberglass reinforced polyester Type 4x Junction Box Enclosure 20" x 10" x 6" (HXWXD). Opaque cover with hinged 2 screw cover. 316 Stainless Steel hinge, external hardware and plated carbon steel internal hardware.</t>
  </si>
  <si>
    <t>Allied Moulded AM1206H Non Metallic Polyester Enclosure</t>
  </si>
  <si>
    <t>Allied-Moulded-AM1206H.jpg</t>
  </si>
  <si>
    <t>Allied Moulded AM1206L ULTRAGUARD Fiberglass reinforced polyester Type 4x Small Junction Box</t>
  </si>
  <si>
    <t>Allied Moulded AM1206L</t>
  </si>
  <si>
    <t>AM1206L</t>
  </si>
  <si>
    <t>Allied Moulded PLA120,Allied Moulded AMPOLEMNT10,Allied Moulded PL120,Allied Moulded AMU1206L,Allied Moulded PG120,Allied Moulded PF120,Allied Moulded AM1206RLW,Allied Moulded AMP1206L,Allied Moulded AMHS075</t>
  </si>
  <si>
    <t>Allied Moulded AM1206L ULTRAGUARD Fiberglass reinforced polyester Type 4x Junction Box Enclosure 12" x 10" x 6" (HXWXD) Inside Dimension. Opaque cover hinged with lockable clamp latch. 316 Stainless Steel hinge, latch, external hardware and plated carbon steel internal hardware.</t>
  </si>
  <si>
    <t>Allied Moulded AM1206L ULTRAGUARD Fiberglass reinforced polyester Type 4x Junction Box Enclosure 12" x 10" x 6" (HXWXD). Opaque cover hinged with lockable clamp latch. 316 Stainless Steel hinge, latch, external hardware and plated carbon steel internal hardware.</t>
  </si>
  <si>
    <t>Allied Moulded AM1206L Non Metallic Polyester Enclosure</t>
  </si>
  <si>
    <t>Allied-Moulded-AM1206L.jpg</t>
  </si>
  <si>
    <t>Allied Moulded AM1206T ULTRAGUARD Fiberglass reinforced polyester Type 4x Small Junction Box</t>
  </si>
  <si>
    <t>Allied Moulded AM1206T</t>
  </si>
  <si>
    <t>AM1206T</t>
  </si>
  <si>
    <t>Allied Moulded PF120,Allied Moulded PL120,Allied Moulded AM1206RTW,Allied Moulded PLA120,Allied Moulded AMP1206L,Allied Moulded AMPOLEMNT10,Allied Moulded AMHS075,Allied Moulded AMU1206T,Allied Moulded PG120</t>
  </si>
  <si>
    <t>Allied Moulded AM1206T ULTRAGUARD Fiberglass reinforced polyester Type 4x Junction Box Enclosure 12" x 10" x 6" (HXWXD) Inside Dimension. Opaque cover hinged with lockable twist latch. 316 Stainless Steel hinge, latch, external hardware and plated carbon steel internal hardware.</t>
  </si>
  <si>
    <t>Allied Moulded AM1206T ULTRAGUARD Fiberglass reinforced polyester Type 4x Junction Box Enclosure 12" x 10" x 6" (HXWXD). Opaque cover hinged with lockable twist latch. 316 Stainless Steel hinge, latch, external hardware and plated carbon steel internal hardware.</t>
  </si>
  <si>
    <t>Allied Moulded AM1206T Non Metallic Polyester Enclosure</t>
  </si>
  <si>
    <t>Allied-Moulded-AM1206T.jpg</t>
  </si>
  <si>
    <t>Allied Moulded AMU1206LW Enclosure 12" x 10" x 6"</t>
  </si>
  <si>
    <t>Allied Moulded AMU1206LW</t>
  </si>
  <si>
    <t>AMU1206LW</t>
  </si>
  <si>
    <t>Allied Moulded AM1206LW,Allied Moulded AMU1206CCL,Allied Moulded HFPU120,Allied Moulded PF120,Allied Moulded PLA120,Allied Moulded AMU1206TW,Allied Moulded AMHS075,Allied Moulded PL120,Allied Moulded AMP1206CCL,Allied Moulded PG120</t>
  </si>
  <si>
    <t>Allied Moulded AMU1206LW ULTRALINE AMU Series JIC Size Fiberglass Enclosure 12" x 10" x 6" (HxWxD) Approx. Inside Dimensions Metal Snap Latch Hinged Cover.</t>
  </si>
  <si>
    <t>Non-corrosive, non-conductive, light weight with lower installation cost, easy to modify and longer life cycle compared to steel. Rigid design with back panel inserts plus nonmetallic mounting brackets and a gasket system encased in a continuous channel on the cover.;Rigid design with back panel inserts plus nonmetallic mounting brackets and a gasket system encased in a continuous channel on the cover.;</t>
  </si>
  <si>
    <t>Allied-Moulded-AMU1206LW.jpg</t>
  </si>
  <si>
    <t>ULTRALINE AMU Series</t>
  </si>
  <si>
    <t>Allied Moulded AMU1206LWF Enclosure 12" x 10" x 6"</t>
  </si>
  <si>
    <t>Allied Moulded AMU1206LWF</t>
  </si>
  <si>
    <t>AMU1206LWF</t>
  </si>
  <si>
    <t>Allied Moulded PLA120,Allied Moulded PG120,Allied Moulded AMPOLEMNT10,Allied Moulded AMHS075,Allied Moulded AMU1206TWF,Allied Moulded AMP1206CCLF,Allied Moulded PL120,Allied Moulded HFPU120,Allied Moulded AM1206LW,Allied Moulded AMU1206CCLF,Allied Moulded PF120</t>
  </si>
  <si>
    <t>Allied Moulded AMU1206LWF ULTRALINE AMU Series JIC Size Fiberglass Enclosure 12" x 10" x 6" (HxWxD) Approx. Inside Dimensions Metal Snap Latch Hinged Cover.</t>
  </si>
  <si>
    <t>Allied-Moulded-AMU1206LWF.jpg</t>
  </si>
  <si>
    <t>Allied Moulded AMP1426CCNL Enclosure 12" x 10" x 6"</t>
  </si>
  <si>
    <t>Allied Moulded AMP1426CCNL</t>
  </si>
  <si>
    <t>AMP1426CCNL</t>
  </si>
  <si>
    <t>Allied Moulded PL142,Allied Moulded AMP1426L,Allied Moulded AMU1426CCL,Allied Moulded AM1426LW,Allied Moulded AMHS075,Allied Moulded PLPVC142,Allied Moulded PLA142,Allied Moulded HFPP142,Allied Moulded AMP1426NL</t>
  </si>
  <si>
    <t>/Enclosures/Non-Metallic Enclosures/Polycarbonate Enclosures::/Enclosures/Non-Metallic Enclosures/Polycarbonate Enclosures/Allied Moulded Polycarbonate Enclosures</t>
  </si>
  <si>
    <t>Allied Moulded AMP1426CCNL POLYLINE AMP Series JIC Size Polycarbonate Enclosure with Clear Covers 12" x 10" x 6" (HxWxD) Approx. Inside Dimensions Nonmetallic Snap Latch Hinged Cover.</t>
  </si>
  <si>
    <t>Allied-Moulded-AMP1426CCNL.jpg</t>
  </si>
  <si>
    <t>POLYLINE AMP Series</t>
  </si>
  <si>
    <t>Polycarbonate</t>
  </si>
  <si>
    <t>Allied Moulded AMU1206 Enclosure 12" x 10" x 6"</t>
  </si>
  <si>
    <t>Allied Moulded AMU1206</t>
  </si>
  <si>
    <t>AMU1206</t>
  </si>
  <si>
    <t>Allied Moulded AMU1206CC,Allied Moulded PLA120,Allied Moulded AM1206,Allied Moulded AMHS075,Allied Moulded AMU1206L,Allied Moulded AMP1206,Allied Moulded PG120,Allied Moulded HFPU120,Allied Moulded PL120,Allied Moulded PF120</t>
  </si>
  <si>
    <t>Allied Moulded AMU1206 ULTRALINE AMU Series JIC Size Fiberglass Enclosure 12" x 10" x 6" (HxWxD) Approx. Inside Dimensions Lift-Off Screw Cover.</t>
  </si>
  <si>
    <t>Allied-Moulded-AMU1206.jpg</t>
  </si>
  <si>
    <t>Allied Moulded AMU1206F Enclosure 12" x 10" x 6"</t>
  </si>
  <si>
    <t>Allied Moulded AMU1206F</t>
  </si>
  <si>
    <t>AMU1206F</t>
  </si>
  <si>
    <t>Allied Moulded AM1206,Allied Moulded PG120,Allied Moulded AMPOLEMNT10,Allied Moulded PF120,Allied Moulded PL120,Allied Moulded HFPU120,Allied Moulded AMU1206CCF,Allied Moulded PLA120,Allied Moulded AMP1206F,Allied Moulded AMHS075</t>
  </si>
  <si>
    <t>Allied Moulded AMU1206F ULTRALINE AMU Series JIC Size Fiberglass Enclosure 12" x 10" x 6" (HxWxD) Approx. Inside Dimensions Lift-Off Screw Cover.</t>
  </si>
  <si>
    <t>Allied-Moulded-AMU1206F.jpg</t>
  </si>
  <si>
    <t>Allied Moulded AMU1206H Enclosure 12" x 10" x 6"</t>
  </si>
  <si>
    <t>Allied Moulded AMU1206H</t>
  </si>
  <si>
    <t>AMU1206H</t>
  </si>
  <si>
    <t>Allied Moulded AMU1206CCH,Allied Moulded AMU1206L,Allied Moulded PL120,Allied Moulded PLA120,Allied Moulded PG120,Allied Moulded HFPU120,Allied Moulded AMP1206H,Allied Moulded PF120,Allied Moulded AM1206H,Allied Moulded AMHS075</t>
  </si>
  <si>
    <t>Allied Moulded AMU1206H ULTRALINE AMU Series JIC Size Fiberglass Enclosure 12" x 10" x 6" (HxWxD) Approx. Inside Dimensions Hinged Screw Cover.</t>
  </si>
  <si>
    <t>Allied-Moulded-AMU1206H.jpg</t>
  </si>
  <si>
    <t>Allied Moulded AMU1206HF Enclosure 12" x 10" x 6"</t>
  </si>
  <si>
    <t>Allied Moulded AMU1206HF</t>
  </si>
  <si>
    <t>AMU1206HF</t>
  </si>
  <si>
    <t>Allied Moulded HFPU120,Allied Moulded AMU1206TF,Allied Moulded PG120,Allied Moulded PLA120,Allied Moulded PL120,Allied Moulded AMHS075,Allied Moulded PF120,Allied Moulded AMU1206CCHF,Allied Moulded AMP1206HF,Allied Moulded AM1206H,Allied Moulded AMPOLEMNT10</t>
  </si>
  <si>
    <t>Allied Moulded AMU1206HF ULTRALINE AMU Series JIC Size Fiberglass Enclosure 12" x 10" x 6" (HxWxD) Approx. Inside Dimensions Hinged Screw Cover.</t>
  </si>
  <si>
    <t>Allied-Moulded-AMU1206HF.jpg</t>
  </si>
  <si>
    <t>Allied Moulded AMU1206L Enclosure 12" x 10" x 6"</t>
  </si>
  <si>
    <t>Allied Moulded AMU1206L</t>
  </si>
  <si>
    <t>AMU1206L</t>
  </si>
  <si>
    <t>Allied Moulded AMHS075,Allied Moulded AMU1206CCL,Allied Moulded PL120,Allied Moulded PLA120,Allied Moulded PG120,Allied Moulded AMP1206L,Allied Moulded HFPU120,Allied Moulded PF120,Allied Moulded AMU1206T,Allied Moulded AM1206L</t>
  </si>
  <si>
    <t>Allied Moulded AMU1206L ULTRALINE AMU Series JIC Size Fiberglass Enclosure 12" x 10" x 6" (HxWxD) Approx. Inside Dimensions Metal Snap Latch Hinged Cover.</t>
  </si>
  <si>
    <t>Allied-Moulded-AMU1206L.jpg</t>
  </si>
  <si>
    <t>Allied Moulded AMU1206LF Enclosure 12" x 10" x 6"</t>
  </si>
  <si>
    <t>Allied Moulded AMU1206LF</t>
  </si>
  <si>
    <t>AMU1206LF</t>
  </si>
  <si>
    <t>Allied Moulded PG120,Allied Moulded PF120,Allied Moulded AMU1206CCLF,Allied Moulded AMHS075,Allied Moulded AMU1206TF,Allied Moulded PLA120,Allied Moulded AM1206L,Allied Moulded PL120,Allied Moulded AMP1206LF,Allied Moulded AMPOLEMNT10,Allied Moulded HFPU120</t>
  </si>
  <si>
    <t>Allied Moulded AMU1206LF ULTRALINE AMU Series JIC Size Fiberglass Enclosure 12" x 10" x 6" (HxWxD) Approx. Inside Dimensions Metal Snap Latch Hinged Cover.</t>
  </si>
  <si>
    <t>Allied-Moulded-AMU1206LF.jpg</t>
  </si>
  <si>
    <t>Allied Moulded AMU1206NL Enclosure 12" x 10" x 6"</t>
  </si>
  <si>
    <t>Allied Moulded AMU1206NL</t>
  </si>
  <si>
    <t>AMU1206NL</t>
  </si>
  <si>
    <t>Allied Moulded PL120,Allied Moulded AMU1206T,Allied Moulded HFPU120,Allied Moulded PLA120,Allied Moulded AM1206L,Allied Moulded PG120,Allied Moulded AMHS075,Allied Moulded PF120,Allied Moulded AMP1206L,Allied Moulded AMU1206CCL</t>
  </si>
  <si>
    <t>Allied Moulded AMU1206NL ULTRALINE AMU Series JIC Size Fiberglass Enclosure 12" x 10" x 6" (HxWxD) Approx. Inside Dimensions Nonmetallic Snap Latch Hinged Cover.</t>
  </si>
  <si>
    <t>Allied-Moulded-AMU1206NL.jpg</t>
  </si>
  <si>
    <t>Allied Moulded AMU1206NLF Enclosure 12" x 10" x 6"</t>
  </si>
  <si>
    <t>Allied Moulded AMU1206NLF</t>
  </si>
  <si>
    <t>AMU1206NLF</t>
  </si>
  <si>
    <t>Allied Moulded PF120,Allied Moulded AMP1206LF,Allied Moulded HFPU120,Allied Moulded PLA120,Allied Moulded AMU1206TF,Allied Moulded PL120,Allied Moulded AMU1206CCLF,Allied Moulded AMPOLEMNT10,Allied Moulded PG120,Allied Moulded AMHS075,Allied Moulded AM1206L</t>
  </si>
  <si>
    <t>Allied Moulded AMU1206NLF ULTRALINE AMU Series JIC Size Fiberglass Enclosure 12" x 10" x 6" (HxWxD) Approx. Inside Dimensions Nonmetallic Snap Latch Hinged Cover.</t>
  </si>
  <si>
    <t>Allied-Moulded-AMU1206NLF.jpg</t>
  </si>
  <si>
    <t>Allied Moulded AMU1206T Enclosure 12" x 10" x 6"</t>
  </si>
  <si>
    <t>Allied Moulded AMU1206T</t>
  </si>
  <si>
    <t>AMU1206T</t>
  </si>
  <si>
    <t>Allied Moulded AMP1206L,Allied Moulded PF120,Allied Moulded PLA120,Allied Moulded HFPU120,Allied Moulded AMU1206L,Allied Moulded AMU1206CCT,Allied Moulded PG120,Allied Moulded AM1206T,Allied Moulded PL120,Allied Moulded AMHS075</t>
  </si>
  <si>
    <t>Allied Moulded AMU1206T ULTRALINE AMU Series JIC Size Fiberglass Enclosure 12" x 10" x 6" (HxWxD) Approx. Inside Dimensions Lockable Twist Latch Hinged Cover.</t>
  </si>
  <si>
    <t>Allied-Moulded-AMU1206T.jpg</t>
  </si>
  <si>
    <t>Allied Moulded AMU1206TF Enclosure 12" x 10" x 6"</t>
  </si>
  <si>
    <t>Allied Moulded AMU1206TF</t>
  </si>
  <si>
    <t>AMU1206TF</t>
  </si>
  <si>
    <t>Allied Moulded PG120,Allied Moulded AMU1206LF,Allied Moulded AM1206T,Allied Moulded AMU1206CCTF,Allied Moulded AMP1206LF,Allied Moulded HFPU120,Allied Moulded PL120,Allied Moulded AMPOLEMNT10,Allied Moulded PF120,Allied Moulded AMHS075,Allied Moulded PLA120</t>
  </si>
  <si>
    <t>Allied Moulded AMU1206TF ULTRALINE AMU Series JIC Size Fiberglass Enclosure 12" x 10" x 6" (HxWxD) Approx. Inside Dimensions Lockable Twist Latch Hinged Cover.</t>
  </si>
  <si>
    <t>Allied-Moulded-AMU1206TF.jpg</t>
  </si>
  <si>
    <t>Allied Moulded AMU1206W Enclosure 12" x 10" x 6"</t>
  </si>
  <si>
    <t>Allied Moulded AMU1206W</t>
  </si>
  <si>
    <t>AMU1206W</t>
  </si>
  <si>
    <t>Allied Moulded AMU1206LW,Allied Moulded PL120,Allied Moulded AMP1206CC,Allied Moulded AMHS075,Allied Moulded HFPU120,Allied Moulded PF120,Allied Moulded PG120,Allied Moulded PLA120,Allied Moulded AMU1206CC,Allied Moulded AM1206W</t>
  </si>
  <si>
    <t>Allied Moulded AMU1206W ULTRALINE AMU Series JIC Size Fiberglass Enclosure 12" x 10" x 6" (HxWxD) Approx. Inside Dimensions Lift-Off Screw Cover.</t>
  </si>
  <si>
    <t>Allied-Moulded-AMU1206W.jpg</t>
  </si>
  <si>
    <t>Allied Moulded AMU1206WF Enclosure 12" x 10" x 6"</t>
  </si>
  <si>
    <t>Allied Moulded AMU1206WF</t>
  </si>
  <si>
    <t>AMU1206WF</t>
  </si>
  <si>
    <t>Allied Moulded PL120,Allied Moulded AMHS075,Allied Moulded PLA120,Allied Moulded AM1206W,Allied Moulded PF120,Allied Moulded AMP1206CCF,Allied Moulded PG120,Allied Moulded AMU1206CCF,Allied Moulded HFPU120,Allied Moulded AMU1206TWF,Allied Moulded AMPOLEMNT10</t>
  </si>
  <si>
    <t>Allied Moulded AMU1206WF ULTRALINE AMU Series JIC Size Fiberglass Enclosure 12" x 10" x 6" (HxWxD) Approx. Inside Dimensions Lift-Off Screw Cover.</t>
  </si>
  <si>
    <t>Allied-Moulded-AMU1206WF.jpg</t>
  </si>
  <si>
    <t>Allied Moulded AMU1206HW Enclosure 12" x 10" x 6"</t>
  </si>
  <si>
    <t>Allied Moulded AMU1206HW</t>
  </si>
  <si>
    <t>AMU1206HW</t>
  </si>
  <si>
    <t>Allied Moulded AM1206H,Allied Moulded AMU1206LW,Allied Moulded PLA142,Allied Moulded AMP1206CCH,Allied Moulded PL120,Allied Moulded AMU1206CCH,Allied Moulded HFPU120,Allied Moulded PF120,Allied Moulded PG120,Allied Moulded AMHS075</t>
  </si>
  <si>
    <t>Allied Moulded AMU1206HW ULTRALINE AMU Series JIC Size Fiberglass Enclosure 12" x 10" x 6" (HxWxD) Approx. Inside Dimensions Hinged Screw Cover.</t>
  </si>
  <si>
    <t>Allied-Moulded-AMU1206HW.jpg</t>
  </si>
  <si>
    <t>Allied Moulded AMU1206HWF Enclosure 12" x 10" x 6"</t>
  </si>
  <si>
    <t>Allied Moulded AMU1206HWF</t>
  </si>
  <si>
    <t>AMU1206HWF</t>
  </si>
  <si>
    <t>Allied Moulded PL120,Allied Moulded AMU1206TWF,Allied Moulded PLA120,Allied Moulded AMU1206CCHF,Allied Moulded PG120,Allied Moulded AMHS075,Allied Moulded HFPU120,Allied Moulded AM1206HW,Allied Moulded PF120,Allied Moulded AMP1206CCHF,Allied Moulded AMPOLEMNT10</t>
  </si>
  <si>
    <t>Allied Moulded AMU1206HWF ULTRALINE AMU Series JIC Size Fiberglass Enclosure 12" x 10" x 6" (HxWxD) Approx. Inside Dimensions Hinged Screw Cover.</t>
  </si>
  <si>
    <t>Allied-Moulded-AMU1206HWF.jpg</t>
  </si>
  <si>
    <t>Allied Moulded AMU1206NLW Enclosure 12" x 10" x 6"</t>
  </si>
  <si>
    <t>Allied Moulded AMU1206NLW</t>
  </si>
  <si>
    <t>AMU1206NLW</t>
  </si>
  <si>
    <t>Allied Moulded PF120,Allied Moulded HFPU120,Allied Moulded AM1206LW,Allied Moulded PLA120,Allied Moulded PG120,Allied Moulded AMU1206CCL,Allied Moulded PL120,Allied Moulded AMU1206TW,Allied Moulded AMP1206CCL,Allied Moulded AMHS075</t>
  </si>
  <si>
    <t>Allied Moulded AMU1206NLW ULTRALINE AMU Series JIC Size Fiberglass Enclosure with Windows 12" x 10" x 6" (HxWxD) Approx. Inside Dimensions Nonmetallic Snap Latch Hinged Cover.</t>
  </si>
  <si>
    <t>Allied-Moulded-AMU1206NLW.jpg</t>
  </si>
  <si>
    <t>Allied Moulded AMU1206NLWF Enclosure 12" x 10" x 6"</t>
  </si>
  <si>
    <t>Allied Moulded AMU1206NLWF</t>
  </si>
  <si>
    <t>AMU1206NLWF</t>
  </si>
  <si>
    <t>Allied Moulded AM1206LW,Allied Moulded AMP1206CCLF,Allied Moulded AMHS075,Allied Moulded HFPU120,Allied Moulded PG120,Allied Moulded AMU1206TWF,Allied Moulded AMU1206CCLF,Allied Moulded PL120,Allied Moulded AMPOLEMNT10,Allied Moulded PLA120,Allied Moulded PF120</t>
  </si>
  <si>
    <t>Allied Moulded AMU1206NLWF ULTRALINE AMU Series JIC Size Fiberglass Enclosure with Windows 12" x 10" x 6" (HxWxD) Approx. Inside Dimensions Nonmetallic Snap Latch Hinged Cover.</t>
  </si>
  <si>
    <t>Allied-Moulded-AMU1206NLWF.jpg</t>
  </si>
  <si>
    <t>Allied Moulded AMU1206TW Enclosure 12" x 10" x 6"</t>
  </si>
  <si>
    <t>Allied Moulded AMU1206TW</t>
  </si>
  <si>
    <t>AMU1206TW</t>
  </si>
  <si>
    <t>Allied Moulded PLA120,Allied Moulded PF120,Allied Moulded AMU1206LW,Allied Moulded PL120,Allied Moulded AM1206TW,Allied Moulded AMP1206CCL,Allied Moulded AMHS075,Allied Moulded AMU1206CCT,Allied Moulded HFPU120,Allied Moulded PG120</t>
  </si>
  <si>
    <t>Allied Moulded AMU1206TW ULTRALINE AMU Series JIC Size Fiberglass Enclosure with Windows 12" x 10" x 6" (HxWxD) Approx. Inside Dimensions Lockable Twist Latch Hinged Cover.</t>
  </si>
  <si>
    <t>Allied-Moulded-AMU1206TW.jpg</t>
  </si>
  <si>
    <t>Allied Moulded AMU1206TWF Enclosure 12" x 10" x 6"</t>
  </si>
  <si>
    <t>Allied Moulded AMU1206TWF</t>
  </si>
  <si>
    <t>AMU1206TWF</t>
  </si>
  <si>
    <t>Allied Moulded AMU1206CCTF,Allied Moulded AMPOLEMNT10,Allied Moulded HFPU120,Allied Moulded PL120,Allied Moulded AMU1206LWF,Allied Moulded PF120,Allied Moulded PG120,Allied Moulded AMP1206CCLF,Allied Moulded AM1206TW,Allied Moulded AMHS075,Allied Moulded PLA120</t>
  </si>
  <si>
    <t>Allied Moulded AMU1206TWF ULTRALINE AMU Series JIC Size Fiberglass Enclosure with Windows 12" x 10" x 6" (HxWxD) Approx. Inside Dimensions Lockable Twist Latch Hinged Cover.</t>
  </si>
  <si>
    <t>Allied-Moulded-AMU1206TWF.jpg</t>
  </si>
  <si>
    <t>Allied Moulded AMU1206CC Enclosure 12" x 10" x 6"</t>
  </si>
  <si>
    <t>Allied Moulded AMU1206CC</t>
  </si>
  <si>
    <t>AMU1206CC</t>
  </si>
  <si>
    <t>Allied Moulded AMU1206,Allied Moulded PL120,Allied Moulded PF120,Allied Moulded PLA120,Allied Moulded AMP1206CC,Allied Moulded PG120,Allied Moulded AM1206W,Allied Moulded AMHS075,Allied Moulded HFPU120,Allied Moulded AMU1206CCT</t>
  </si>
  <si>
    <t>Allied Moulded AMU1206CC ULTRALINE AMU Series JIC Size Fiberglass Enclosure with Clear Covers 12" x 10" x 6" (HxWxD) Approx. Inside Dimensions Lift-Off Screw Cover.</t>
  </si>
  <si>
    <t>Allied-Moulded-AMU1206CC.jpg</t>
  </si>
  <si>
    <t>Allied Moulded AMU1206CCF Enclosure 12" x 10" x 6"</t>
  </si>
  <si>
    <t>Allied Moulded AMU1206CCF</t>
  </si>
  <si>
    <t>AMU1206CCF</t>
  </si>
  <si>
    <t>Allied Moulded AMU1206,Allied Moulded AMU1206CCLF,Allied Moulded PF120,Allied Moulded AM1206W,Allied Moulded PL120,Allied Moulded PLA120,Allied Moulded HFPU120,Allied Moulded AMPOLEMNT10,Allied Moulded AMHS075,Allied Moulded AMP1206CCF,Allied Moulded PG120</t>
  </si>
  <si>
    <t>Allied Moulded AMU1206CCF ULTRALINE AMU Series JIC Size Fiberglass Enclosure with Clear Covers 12" x 10" x 6" (HxWxD) Approx. Inside Dimensions Lift-Off Screw Cover.</t>
  </si>
  <si>
    <t>Allied-Moulded-AMU1206CCF.jpg</t>
  </si>
  <si>
    <t>Allied Moulded AMU1206CCH Enclosure 12" x 10" x 6"</t>
  </si>
  <si>
    <t>Allied Moulded AMU1206CCH</t>
  </si>
  <si>
    <t>AMU1206CCH</t>
  </si>
  <si>
    <t>Allied Moulded PLA120,Allied Moulded PL120,Allied Moulded AMU1206H,Allied Moulded HFPU120,Allied Moulded AMP1206CCH,Allied Moulded AMU1206CCT,Allied Moulded PG120,Allied Moulded PF120,Allied Moulded AM1206HW,Allied Moulded AMHS075</t>
  </si>
  <si>
    <t>Allied Moulded AMU1206CCH ULTRALINE AMU Series JIC Size Fiberglass Enclosure with Clear Covers 12" x 10" x 6" (HxWxD) Approx. Inside Dimensions Hinged Screw Cover.</t>
  </si>
  <si>
    <t>Allied-Moulded-AMU1206CCH.jpg</t>
  </si>
  <si>
    <t>Allied Moulded AMU1206CCHF Enclosure 12" x 10" x 6"</t>
  </si>
  <si>
    <t>Allied Moulded AMU1206CCHF</t>
  </si>
  <si>
    <t>AMU1206CCHF</t>
  </si>
  <si>
    <t>Allied Moulded AMP1206CCHF,Allied Moulded AMU1206CCLF,Allied Moulded HFPU120,Allied Moulded AMHS075,Allied Moulded PLA120,Allied Moulded PG120,Allied Moulded AM1206HW,Allied Moulded AMU1206HF,Allied Moulded PL120,Allied Moulded PF120,Allied Moulded AMPOLEMNT10</t>
  </si>
  <si>
    <t>Allied Moulded AMU1206CCHF ULTRALINE AMU Series JIC Size Fiberglass Enclosure with Clear Covers 12" x 10" x 6" (HxWxD) Approx. Inside Dimensions Hinged Screw Cover.</t>
  </si>
  <si>
    <t>Allied-Moulded-AMU1206CCHF.jpg</t>
  </si>
  <si>
    <t>Allied Moulded AMU1206CCL Enclosure 12" x 10" x 6"</t>
  </si>
  <si>
    <t>Allied Moulded AMU1206CCL</t>
  </si>
  <si>
    <t>AMU1206CCL</t>
  </si>
  <si>
    <t>Allied Moulded AMHS075,Allied Moulded AMU1206CCT,Allied Moulded PG120,Allied Moulded AMU1206L,Allied Moulded AM1206LW,Allied Moulded HFPU120,Allied Moulded AMP1206CCL,Allied Moulded PF120,Allied Moulded PL120,Allied Moulded PLA120</t>
  </si>
  <si>
    <t>Allied Moulded AMU1206CCL ULTRALINE AMU Series JIC Size Fiberglass Enclosure with Clear Covers 12" x 10" x 6" (HxWxD) Approx. Inside Dimensions Metal Snap Latch Hinged Cover.</t>
  </si>
  <si>
    <t>Allied-Moulded-AMU1206CCL.jpg</t>
  </si>
  <si>
    <t>Allied Moulded AMU1206CCLF Enclosure 12" x 10" x 6"</t>
  </si>
  <si>
    <t>Allied Moulded AMU1206CCLF</t>
  </si>
  <si>
    <t>AMU1206CCLF</t>
  </si>
  <si>
    <t>Allied Moulded PLA120,Allied Moulded PL120,Allied Moulded AMPOLEMNT10,Allied Moulded PF120,Allied Moulded PG120,Allied Moulded AMP1206CCLF,Allied Moulded AMU1206LF,Allied Moulded AM1206L,Allied Moulded AMHS075,Allied Moulded HFPU120,Allied Moulded AMU1206CCTF</t>
  </si>
  <si>
    <t>Allied Moulded AMU1206CCLF ULTRALINE AMU Series JIC Size Fiberglass Enclosure with Clear Covers 12" x 10" x 6" (HxWxD) Approx. Inside Dimensions Metal Snap Latch Hinged Cover.</t>
  </si>
  <si>
    <t>Allied-Moulded-AMU1206CCLF.jpg</t>
  </si>
  <si>
    <t>Allied Moulded AMU1206CCNL Enclosure 12" x 10" x 6"</t>
  </si>
  <si>
    <t>Allied Moulded AMU1206CCNL</t>
  </si>
  <si>
    <t>AMU1206CCNL</t>
  </si>
  <si>
    <t>Allied Moulded AM1206LW,Allied Moulded AMP1206CCL,Allied Moulded AMU1206CCT,Allied Moulded PF120,Allied Moulded PL120,Allied Moulded AMU1206L,Allied Moulded AMHS075,Allied Moulded HFPU120,Allied Moulded PG120,Allied Moulded PLA120</t>
  </si>
  <si>
    <t>Allied Moulded AMU1206CCNL ULTRALINE AMU Series JIC Size Fiberglass Enclosure with Clear Covers 12" x 10" x 6" (HxWxD) Approx. Inside Dimensions Nonmetallic Snap Latch Hinged Cover.</t>
  </si>
  <si>
    <t>Allied-Moulded-AMU1206CCNL.jpg</t>
  </si>
  <si>
    <t>Allied Moulded AMU1206CCNLF Enclosure 12" x 10" x 6"</t>
  </si>
  <si>
    <t>Allied Moulded AMU1206CCNLF</t>
  </si>
  <si>
    <t>AMU1206CCNLF</t>
  </si>
  <si>
    <t>Allied Moulded PLA120,Allied Moulded AMP1206CCLF,Allied Moulded PF120,Allied Moulded AM1206L,Allied Moulded PG120,Allied Moulded HFPU120,Allied Moulded AMPOLEMNT10,Allied Moulded PL120,Allied Moulded AMU1206LF,Allied Moulded AMU1206CCTF,Allied Moulded AMHS075</t>
  </si>
  <si>
    <t>Allied Moulded AMU1206CCNLF ULTRALINE AMU Series JIC Size Fiberglass Enclosure with Clear Covers 12" x 10" x 6" (HxWxD) Approx. Inside Dimensions Nonmetallic Snap Latch Hinged Cover.</t>
  </si>
  <si>
    <t>Allied-Moulded-AMU1206CCNLF.jpg</t>
  </si>
  <si>
    <t>Allied Moulded AMU1206CCT Enclosure 12" x 10" x 6"</t>
  </si>
  <si>
    <t>Allied Moulded AMU1206CCT</t>
  </si>
  <si>
    <t>AMU1206CCT</t>
  </si>
  <si>
    <t>Allied Moulded AMU1206CCH,Allied Moulded PF120,Allied Moulded AMP1206CCL,Allied Moulded AMU1206T,Allied Moulded AM1206T,Allied Moulded PL120,Allied Moulded PG120,Allied Moulded AMHS075,Allied Moulded HFPU120,Allied Moulded PLA120</t>
  </si>
  <si>
    <t>Allied Moulded AMU1206CCT ULTRALINE AMU Series JIC Size Fiberglass Enclosure with Clear Covers 12" x 10" x 6" (HxWxD) Approx. Inside Dimensions Lockable Twist Latch Hinged Cover.</t>
  </si>
  <si>
    <t>Allied-Moulded-AMU1206CCT.jpg</t>
  </si>
  <si>
    <t>Allied Moulded AMU1206CCTF Enclosure 12" x 10" x 6"</t>
  </si>
  <si>
    <t>Allied Moulded AMU1206CCTF</t>
  </si>
  <si>
    <t>AMU1206CCTF</t>
  </si>
  <si>
    <t>Allied Moulded AMP1206CCLF,Allied Moulded AM1206T,Allied Moulded AMPOLEMNT10,Allied Moulded PL120,Allied Moulded AMHS075,Allied Moulded AMU1206TF,Allied Moulded HFPU120,Allied Moulded PG120,Allied Moulded AMU1206CCLF,Allied Moulded PF120,Allied Moulded PLA120</t>
  </si>
  <si>
    <t>Allied Moulded AMU1206CCTF ULTRALINE AMU Series JIC Size Fiberglass Enclosure with Clear Covers 12" x 10" x 6" (HxWxD) Approx. Inside Dimensions Lockable Twist Latch Hinged Cover.</t>
  </si>
  <si>
    <t>Allied-Moulded-AMU1206CCTF.jpg</t>
  </si>
  <si>
    <t>Allied Moulded AMP1204CC Enclosure 12" x 10" x 4"</t>
  </si>
  <si>
    <t>Allied Moulded AMP1204CC</t>
  </si>
  <si>
    <t>AMP1204CC</t>
  </si>
  <si>
    <t>Allied Moulded PL120,Allied Moulded PLA120,Allied Moulded HFPP120,Allied Moulded AMP1204,Allied Moulded AMHS075,Allied Moulded AMP1204CCF</t>
  </si>
  <si>
    <t>Allied Moulded AMP1204CC POLYLINE AMP Series JIC Size Polycarbonate Enclosure with Clear Covers 12" x 10" x 4" (HxWxD) Approx. Inside Dimensions Lift-Off Screw Cover.</t>
  </si>
  <si>
    <t>Allied-Moulded-AMP1204CC.jpg</t>
  </si>
  <si>
    <t>4"</t>
  </si>
  <si>
    <t>Allied Moulded AMP1204CCF Enclosure 12" x 10" x 4"</t>
  </si>
  <si>
    <t>Allied Moulded AMP1204CCF</t>
  </si>
  <si>
    <t>AMP1204CCF</t>
  </si>
  <si>
    <t>Allied Moulded PL120,Allied Moulded AMP1204F,Allied Moulded AMPOLEMNT10,Allied Moulded AMHS075,Allied Moulded HFPP120,Allied Moulded AMP1204CC,Allied Moulded PLA120</t>
  </si>
  <si>
    <t>Allied Moulded AMP1204CCF POLYLINE AMP Series JIC Size Polycarbonate Enclosure with Clear Covers 12" x 10" x 4" (HxWxD) Approx. Inside Dimensions Lift-Off Screw Cover.</t>
  </si>
  <si>
    <t>Allied-Moulded-AMP1204CCF.jpg</t>
  </si>
  <si>
    <t>Allied Moulded AMP1206CC Enclosure 12" x 10" x 6"</t>
  </si>
  <si>
    <t>Allied Moulded AMP1206CC</t>
  </si>
  <si>
    <t>AMP1206CC</t>
  </si>
  <si>
    <t>Allied Moulded HFPP120,Allied Moulded PL120,Allied Moulded AMU1206CC,Allied Moulded AMP1206,Allied Moulded AMP1206CCNL,Allied Moulded AMHS075,Allied Moulded PLA120,Allied Moulded AM1206W</t>
  </si>
  <si>
    <t>Allied Moulded AMP1206CC POLYLINE AMP Series JIC Size Polycarbonate Enclosure with Clear Covers 12" x 10" x 6" (HxWxD) Approx. Inside Dimensions Lift-Off Screw Cover.</t>
  </si>
  <si>
    <t>Allied-Moulded-AMP1206CC.jpg</t>
  </si>
  <si>
    <t>Allied Moulded AMP1206CCF Enclosure 12" x 10" x 6"</t>
  </si>
  <si>
    <t>Allied Moulded AMP1206CCF</t>
  </si>
  <si>
    <t>AMP1206CCF</t>
  </si>
  <si>
    <t>Allied Moulded AMP1206F,Allied Moulded AM1206W,Allied Moulded PLA120,Allied Moulded AMP1206CCLF,Allied Moulded AMHS075,Allied Moulded HFPP120,Allied Moulded AMPOLEMNT10,Allied Moulded PL120,Allied Moulded AMU1206CCF</t>
  </si>
  <si>
    <t>Allied Moulded AMP1206CCF POLYLINE AMP Series JIC Size Polycarbonate Enclosure with Clear Covers 12" x 10" x 6" (HxWxD) Approx. Inside Dimensions Lift-Off Screw Cover.</t>
  </si>
  <si>
    <t>Allied-Moulded-AMP1206CCF.jpg</t>
  </si>
  <si>
    <t>Allied Moulded AMP1204CCH Enclosure 12" x 10" x 4"</t>
  </si>
  <si>
    <t>Allied Moulded AMP1204CCH</t>
  </si>
  <si>
    <t>AMP1204CCH</t>
  </si>
  <si>
    <t>Allied Moulded PL120,Allied Moulded AMP1204H,Allied Moulded AMHS075,Allied Moulded HFPP120,Allied Moulded AMP1204CCHF,Allied Moulded PLA120</t>
  </si>
  <si>
    <t>Allied Moulded AMP1204CCH POLYLINE AMP Series JIC Size Polycarbonate Enclosure with Clear Covers 12" x 10" x 4" (HxWxD) Approx. Inside Dimensions Hinged Screw Cover.</t>
  </si>
  <si>
    <t>Allied-Moulded-AMP1204CCH.jpg</t>
  </si>
  <si>
    <t>Allied Moulded AMP1204CCHF Enclosure 12" x 10" x 4"</t>
  </si>
  <si>
    <t>Allied Moulded AMP1204CCHF</t>
  </si>
  <si>
    <t>AMP1204CCHF</t>
  </si>
  <si>
    <t>Allied Moulded AMPOLEMNT10,Allied Moulded HFPP120,Allied Moulded AMP1204HF,Allied Moulded PL120,Allied Moulded AMHS075,Allied Moulded PLA120,Allied Moulded AMP1204CCH</t>
  </si>
  <si>
    <t>Allied Moulded AMP1204CCHF POLYLINE AMP Series JIC Size Polycarbonate Enclosure with Clear Covers 12" x 10" x 4" (HxWxD) Approx. Inside Dimensions Hinged Screw Cover.</t>
  </si>
  <si>
    <t>Allied-Moulded-AMP1204CCHF.jpg</t>
  </si>
  <si>
    <t>Allied Moulded AMP1206CCH Enclosure 12" x 10" x 6"</t>
  </si>
  <si>
    <t>Allied Moulded AMP1206CCH</t>
  </si>
  <si>
    <t>AMP1206CCH</t>
  </si>
  <si>
    <t>Allied Moulded AM1206HW,Allied Moulded HFPP120,Allied Moulded AMP1206CCNL,Allied Moulded PL120,Allied Moulded PLA120,Allied Moulded AMU1206CCH,Allied Moulded AMP1206H,Allied Moulded AMHS075</t>
  </si>
  <si>
    <t>Allied Moulded AMP1206CCH POLYLINE AMP Series JIC Size Polycarbonate Enclosure with Clear Covers 12" x 10" x 6" (HxWxD) Approx. Inside Dimensions Hinged Screw Cover.</t>
  </si>
  <si>
    <t>Allied-Moulded-AMP1206CCH.jpg</t>
  </si>
  <si>
    <t>Allied Moulded AMP1206CCHF Enclosure 12" x 10" x 6"</t>
  </si>
  <si>
    <t>Allied Moulded AMP1206CCHF</t>
  </si>
  <si>
    <t>AMP1206CCHF</t>
  </si>
  <si>
    <t>Allied Moulded AMP1206CCLF,Allied Moulded AMHS075,Allied Moulded AMU1206CCHF,Allied Moulded PLA120,Allied Moulded AM1206H,Allied Moulded HFPP120,Allied Moulded PL120,Allied Moulded AMP1206HF,Allied Moulded AMPOLEMNT10</t>
  </si>
  <si>
    <t>Allied Moulded AMP1206CCHF POLYLINE AMP Series JIC Size Polycarbonate Enclosure with Clear Covers 12" x 10" x 6" (HxWxD) Approx. Inside Dimensions Hinged Screw Cover.</t>
  </si>
  <si>
    <t>Allied-Moulded-AMP1206CCHF.jpg</t>
  </si>
  <si>
    <t>Allied Moulded AMP1204CCL Enclosure 12" x 10" x 4"</t>
  </si>
  <si>
    <t>Allied Moulded AMP1204CCL</t>
  </si>
  <si>
    <t>AMP1204CCL</t>
  </si>
  <si>
    <t>Allied Moulded PL120,Allied Moulded PLA120,Allied Moulded AMHS075,Allied Moulded AMP1204L,Allied Moulded AMP1204CCLF,Allied Moulded HFPP120</t>
  </si>
  <si>
    <t>Allied Moulded AMP1204CCL POLYLINE AMP Series JIC Size Polycarbonate Enclosure with Clear Covers 12" x 10" x 4" (HxWxD) Approx. Inside Dimensions Stainless Steel Lockable Snap Latch Hinged Cover.</t>
  </si>
  <si>
    <t>Allied-Moulded-AMP1204CCL.jpg</t>
  </si>
  <si>
    <t>Allied Moulded AMP1204CCLF Enclosure 12" x 10" x 4"</t>
  </si>
  <si>
    <t>Allied Moulded AMP1204CCLF</t>
  </si>
  <si>
    <t>AMP1204CCLF</t>
  </si>
  <si>
    <t>Allied Moulded PLA120,Allied Moulded AMPOLEMNT10,Allied Moulded AMP1204CCL,Allied Moulded AMHS075,Allied Moulded HFPP120,Allied Moulded AMP1204LF,Allied Moulded PL120</t>
  </si>
  <si>
    <t>Allied Moulded AMP1204CCLF POLYLINE AMP Series JIC Size Polycarbonate Enclosure with Clear Covers 12" x 10" x 4" (HxWxD) Approx. Inside Dimensions Stainless Steel Lockable Snap Latch Hinged Cover.</t>
  </si>
  <si>
    <t>Allied-Moulded-AMP1204CCLF.jpg</t>
  </si>
  <si>
    <t>Allied Moulded AMP1206CCL Enclosure 12" x 10" x 6"</t>
  </si>
  <si>
    <t>Allied Moulded AMP1206CCL</t>
  </si>
  <si>
    <t>AMP1206CCL</t>
  </si>
  <si>
    <t>Allied Moulded AM1206LW,Allied Moulded HFPP120,Allied Moulded AMHS075,Allied Moulded AMP1206CCNL,Allied Moulded AM1206L,Allied Moulded PLA120,Allied Moulded PL120,Allied Moulded AMU1206CCL</t>
  </si>
  <si>
    <t>Allied Moulded AMP1206CCL POLYLINE AMP Series JIC Size Polycarbonate Enclosure with Clear Covers 12" x 10" x 6" (HxWxD) Approx. Inside Dimensions Stainless Steel Lockable Snap Latch Hinged Cover.</t>
  </si>
  <si>
    <t>Allied-Moulded-AMP1206CCL.jpg</t>
  </si>
  <si>
    <t>Allied Moulded AMP1206CCLF Enclosure 12" x 10" x 6"</t>
  </si>
  <si>
    <t>Allied Moulded AMP1206CCLF</t>
  </si>
  <si>
    <t>AMP1206CCLF</t>
  </si>
  <si>
    <t>Allied Moulded HFPP120,Allied Moulded AM1206LW,Allied Moulded PLA120,Allied Moulded PL120,Allied Moulded AMPOLEMNT10,Allied Moulded AMHS075,Allied Moulded AMP1206CCNLF,Allied Moulded AMU1206LF,Allied Moulded AMP1206LF</t>
  </si>
  <si>
    <t>Allied Moulded AMP1206CCLF POLYLINE AMP Series JIC Size Polycarbonate Enclosure with Clear Covers 12" x 10" x 6" (HxWxD) Approx. Inside Dimensions Stainless Steel Lockable Snap Latch Hinged Cover.</t>
  </si>
  <si>
    <t>Allied-Moulded-AMP1206CCLF.jpg</t>
  </si>
  <si>
    <t>Allied Moulded AMP1204CCNLF Enclosure 12" x 10" x 4"</t>
  </si>
  <si>
    <t>Allied Moulded AMP1204CCNLF</t>
  </si>
  <si>
    <t>AMP1204CCNLF</t>
  </si>
  <si>
    <t>Allied Moulded HFPP120,Allied Moulded AMPOLEMNT10,Allied Moulded PL120,Allied Moulded AMP1204NLF,Allied Moulded AMHS075,Allied Moulded PLA120,Allied Moulded AMP1204CCNL</t>
  </si>
  <si>
    <t>Allied Moulded AMP1204CCNLF POLYLINE AMP Series JIC Size Polycarbonate Enclosure with Clear Covers 12" x 10" x 4" (HxWxD) Approx. Inside Dimensions Nonmetallic Snap Latch Hinged Cover.</t>
  </si>
  <si>
    <t>Allied-Moulded-AMP1204CCNLF.jpg</t>
  </si>
  <si>
    <t>Allied Moulded AMP1206CCNL Enclosure 12" x 10" x 4"</t>
  </si>
  <si>
    <t>Allied Moulded AMP1206CCNL</t>
  </si>
  <si>
    <t>AMP1206CCNL</t>
  </si>
  <si>
    <t>Allied Moulded PLA120,Allied Moulded HFPP120,Allied Moulded PL120,Allied Moulded AMHS075,Allied Moulded AM1206LW,Allied Moulded AMP1206L,Allied Moulded AMU1206CCL,Allied Moulded AMP1206NL</t>
  </si>
  <si>
    <t>Allied Moulded AMP1206CCNL POLYLINE AMP Series JIC Size Polycarbonate Enclosure with Clear Covers 12" x 10" x 4" (HxWxD) Approx. Inside Dimensions Nonmetallic Snap Latch Hinged Cover.</t>
  </si>
  <si>
    <t>Allied-Moulded-AMP1206CCNL.jpg</t>
  </si>
  <si>
    <t>Allied Moulded AMP1206CCNLF Enclosure 12" x 10" x 6"</t>
  </si>
  <si>
    <t>Allied Moulded AMP1206CCNLF</t>
  </si>
  <si>
    <t>AMP1206CCNLF</t>
  </si>
  <si>
    <t>Allied Moulded AMP1206NLF,Allied Moulded AMU1206CCLF,Allied Moulded PLA120,Allied Moulded AMPOLEMNT10,Allied Moulded HFPP120,Allied Moulded AMP1206CCF,Allied Moulded AMHS075,Allied Moulded AM1206LW,Allied Moulded PL120</t>
  </si>
  <si>
    <t>Allied Moulded AMP1206CCNLF POLYLINE AMP Series JIC Size Polycarbonate Enclosure with Clear Covers 12" x 10" x 6" (HxWxD) Approx. Inside Dimensions Nonmetallic Snap Latch Hinged Cover.</t>
  </si>
  <si>
    <t>Allied-Moulded-AMP1206CCNLF.jpg</t>
  </si>
  <si>
    <t>Allied Moulded AMP1204 Enclosure 12" x 10" x 4"</t>
  </si>
  <si>
    <t>Allied Moulded AMP1204</t>
  </si>
  <si>
    <t>AMP1204</t>
  </si>
  <si>
    <t>Allied Moulded HFPP120,Allied Moulded AMP1204CC,Allied Moulded PL120,Allied Moulded AMHS075,Allied Moulded AMP1204F,Allied Moulded PLA120</t>
  </si>
  <si>
    <t>Allied Moulded AMP1204 POLYLINE AMP Series JIC Size Polycarbonate 12" x 10" x 4" (HxWxD) Approx. Inside Dimensions Lift-Off Screw Cover.</t>
  </si>
  <si>
    <t>Allied-Moulded-AMP1204.jpg</t>
  </si>
  <si>
    <t>Allied Moulded AMP1204F Enclosure 12" x 10" x 4"</t>
  </si>
  <si>
    <t>Allied Moulded AMP1204F</t>
  </si>
  <si>
    <t>AMP1204F</t>
  </si>
  <si>
    <t>Allied Moulded AMP1204CCF,Allied Moulded PL120,Allied Moulded AMPOLEMNT10,Allied Moulded AMP1204,Allied Moulded PLA120,Allied Moulded HFPP120,Allied Moulded AMHS075</t>
  </si>
  <si>
    <t>Allied Moulded AMP1204F POLYLINE AMP Series JIC Size Polycarbonate 12" x 10" x 4" (HxWxD) Approx. Inside Dimensions Lift-Off Screw Cover.</t>
  </si>
  <si>
    <t>Allied-Moulded-AMP1204F.jpg</t>
  </si>
  <si>
    <t>Allied Moulded AMP1206 Enclosure 12" x 10" x 6"</t>
  </si>
  <si>
    <t>Allied Moulded AMP1206</t>
  </si>
  <si>
    <t>AMP1206</t>
  </si>
  <si>
    <t>Allied Moulded PLA120,Allied Moulded AMP1206L,Allied Moulded AM1206,Allied Moulded PL120,Allied Moulded AMP1206CC,Allied Moulded AMU1206,Allied Moulded AMHS075,Allied Moulded HFPP120</t>
  </si>
  <si>
    <t>Allied Moulded AMP1206 POLYLINE AMP Series JIC Size Polycarbonate 12" x 10" x 6" (HxWxD) Approx. Inside Dimensions Lift-Off Screw Cover.</t>
  </si>
  <si>
    <t>Allied-Moulded-AMP1206.jpg</t>
  </si>
  <si>
    <t>Allied Moulded AMP1206F Enclosure 12" x 10" x 6"</t>
  </si>
  <si>
    <t>Allied Moulded AMP1206F</t>
  </si>
  <si>
    <t>AMP1206F</t>
  </si>
  <si>
    <t>Allied Moulded AMU1206F,Allied Moulded HFPP120,Allied Moulded AMPOLEMNT10,Allied Moulded AMP1206LF,Allied Moulded PLA120,Allied Moulded AM1206,Allied Moulded PL120,Allied Moulded AMHS075,Allied Moulded AMP1206CCF</t>
  </si>
  <si>
    <t>Allied Moulded AMP1206F POLYLINE AMP Series JIC Size Polycarbonate 12" x 10" x 6" (HxWxD) Approx. Inside Dimensions Lift-Off Screw Cover.</t>
  </si>
  <si>
    <t>Allied-Moulded-AMP1206F.jpg</t>
  </si>
  <si>
    <t>Allied Moulded AMP1204H Enclosure 12" x 10" x 4"</t>
  </si>
  <si>
    <t>Allied Moulded AMP1204H</t>
  </si>
  <si>
    <t>AMP1204H</t>
  </si>
  <si>
    <t>Allied Moulded AMP1204HF,Allied Moulded HFPP120,Allied Moulded PL120,Allied Moulded AMHS075,Allied Moulded AMP1204CCH,Allied Moulded PLA120</t>
  </si>
  <si>
    <t>Allied Moulded AMP1204H POLYLINE AMP Series JIC Size Polycarbonate 12" x 10" x 4" (HxWxD) Approx. Inside Dimensions Hinged Screw Cover.</t>
  </si>
  <si>
    <t>Allied-Moulded-AMP1204H.jpg</t>
  </si>
  <si>
    <t>Allied Moulded AMP1204HF Enclosure 12" x 10" x 4"</t>
  </si>
  <si>
    <t>Allied Moulded AMP1204HF</t>
  </si>
  <si>
    <t>AMP1204HF</t>
  </si>
  <si>
    <t>Allied Moulded AMP1204CCHF,Allied Moulded AMP1204H,Allied Moulded PL120,Allied Moulded HFPP120,Allied Moulded AMHS075,Allied Moulded PLA120,Allied Moulded AMPOLEMNT10</t>
  </si>
  <si>
    <t>Allied Moulded AMP1204HF POLYLINE AMP Series JIC Size Polycarbonate 12" x 10" x 4" (HxWxD) Approx. Inside Dimensions Hinged Screw Cover.</t>
  </si>
  <si>
    <t>Allied-Moulded-AMP1204HF.jpg</t>
  </si>
  <si>
    <t>Allied Moulded AMP1206H Enclosure 12" x 10" x 6"</t>
  </si>
  <si>
    <t>Allied Moulded AMP1206H</t>
  </si>
  <si>
    <t>AMP1206H</t>
  </si>
  <si>
    <t>Allied Moulded HFPP120,Allied Moulded AMHS075,Allied Moulded PLA120,Allied Moulded PL120,Allied Moulded AMP1206CCH,Allied Moulded AMP1206L,Allied Moulded AMU1206H,Allied Moulded AM1206H</t>
  </si>
  <si>
    <t>Allied Moulded AMP1206H POLYLINE AMP Series JIC Size Polycarbonate 12" x 10" x 6" (HxWxD) Approx. Inside Dimensions Hinged Screw Cover.</t>
  </si>
  <si>
    <t>Allied-Moulded-AMP1206H.jpg</t>
  </si>
  <si>
    <t>Allied Moulded AMP1206HF Enclosure 12" x 10" x 6"</t>
  </si>
  <si>
    <t>Allied Moulded AMP1206HF</t>
  </si>
  <si>
    <t>AMP1206HF</t>
  </si>
  <si>
    <t>Allied Moulded PL120,Allied Moulded HFPP120,Allied Moulded AMP1206CCHF,Allied Moulded AM1206H,Allied Moulded AMPOLEMNT10,Allied Moulded AMU1206HF,Allied Moulded PLA120,Allied Moulded AMHS075,Allied Moulded AMP1206NLF</t>
  </si>
  <si>
    <t>Allied Moulded AMP1206HF POLYLINE AMP Series JIC Size Polycarbonate 12" x 10" x 6" (HxWxD) Approx. Inside Dimensions Hinged Screw Cover.</t>
  </si>
  <si>
    <t>Allied-Moulded-AMP1206HF.jpg</t>
  </si>
  <si>
    <t>Allied Moulded AMP1204L Enclosure 12" x 10" x 4"</t>
  </si>
  <si>
    <t>Allied Moulded AMP1204L</t>
  </si>
  <si>
    <t>AMP1204L</t>
  </si>
  <si>
    <t>Allied Moulded AMP1204LF,Allied Moulded PL120,Allied Moulded AMP1204CCL,Allied Moulded HFPP120,Allied Moulded AMHS075,Allied Moulded PLA120</t>
  </si>
  <si>
    <t>Allied Moulded AMP1204L POLYLINE AMP Series JIC Size Polycarbonate 12" x 10" x 4" (HxWxD) Approx. Inside Dimensions Stainless Steel Lockable Snap Latch Hinged Cover.</t>
  </si>
  <si>
    <t>Allied-Moulded-AMP1204L.jpg</t>
  </si>
  <si>
    <t>Allied Moulded AMP1204LF Enclosure 12" x 10" x 4"</t>
  </si>
  <si>
    <t>Allied Moulded AMP1204LF</t>
  </si>
  <si>
    <t>AMP1204LF</t>
  </si>
  <si>
    <t>Allied Moulded HFPP120,Allied Moulded AMP1204CCLF,Allied Moulded AMP1204L,Allied Moulded PLA120,Allied Moulded AMHS075,Allied Moulded AMPOLEMNT10,Allied Moulded PL120</t>
  </si>
  <si>
    <t>Allied Moulded AMP1204LF POLYLINE AMP Series JIC Size Polycarbonate 12" x 10" x 4" (HxWxD) Approx. Inside Dimensions Stainless Steel Lockable Snap Latch Hinged Cover.</t>
  </si>
  <si>
    <t>Allied-Moulded-AMP1204LF.jpg</t>
  </si>
  <si>
    <t>Allied Moulded AMP1206L Enclosure 12" x 10" x 6"</t>
  </si>
  <si>
    <t>Allied Moulded AMP1206L</t>
  </si>
  <si>
    <t>AMP1206L</t>
  </si>
  <si>
    <t>Allied Moulded AM1206L,Allied Moulded HFPP120,Allied Moulded PLA120,Allied Moulded PL120,Allied Moulded AMP1206,Allied Moulded AMP1206CCL,Allied Moulded AMU1206L,Allied Moulded AMHS075</t>
  </si>
  <si>
    <t>Allied Moulded AMP1206L POLYLINE AMP Series JIC Size Polycarbonate 12" x 10" x 6" (HxWxD) Approx. Inside Dimensions Stainless Steel Lockable Snap Latch Hinged Cover.</t>
  </si>
  <si>
    <t>Allied-Moulded-AMP1206L.jpg</t>
  </si>
  <si>
    <t>Allied Moulded AMP1206LF Enclosure 12" x 10" x 6"</t>
  </si>
  <si>
    <t>Allied Moulded AMP1206LF</t>
  </si>
  <si>
    <t>AMP1206LF</t>
  </si>
  <si>
    <t>Allied Moulded AMP1206CCLF,Allied Moulded AMPOLEMNT10,Allied Moulded HFPP120,Allied Moulded PLA120,Allied Moulded AMHS075,Allied Moulded AM1206L,Allied Moulded AMP1206NLF,Allied Moulded PL120,Allied Moulded AMU1206LF</t>
  </si>
  <si>
    <t>Allied Moulded AMP1206LF POLYLINE AMP Series JIC Size Polycarbonate 12" x 10" x 6" (HxWxD) Approx. Inside Dimensions Stainless Steel Lockable Snap Latch Hinged Cover.</t>
  </si>
  <si>
    <t>Allied-Moulded-AMP1206LF.jpg</t>
  </si>
  <si>
    <t>Allied Moulded AMP1204NL Enclosure 12" x 10" x 4"</t>
  </si>
  <si>
    <t>Allied Moulded AMP1204NL</t>
  </si>
  <si>
    <t>AMP1204NL</t>
  </si>
  <si>
    <t>Allied Moulded PLA120,Allied Moulded AMP1204CCNL,Allied Moulded HFPP120,Allied Moulded AMHS075,Allied Moulded AMP1204NLF,Allied Moulded PL120</t>
  </si>
  <si>
    <t>Allied Moulded AMP1204NL POLYLINE AMP Series JIC Size Polycarbonate 12" x 10" x 4" (HxWxD) Approx. Inside Dimensions Nonmetallic Snap Latch Hinged Cover.</t>
  </si>
  <si>
    <t>Allied-Moulded-AMP1204NL.jpg</t>
  </si>
  <si>
    <t>Allied Moulded AMP1204NLF Enclosure 12" x 10" x 4"</t>
  </si>
  <si>
    <t>Allied Moulded AMP1204NLF</t>
  </si>
  <si>
    <t>AMP1204NLF</t>
  </si>
  <si>
    <t>Allied Moulded AMHS075,Allied Moulded PLA120,Allied Moulded AMPOLEMNT10,Allied Moulded AMP1204CCNLF,Allied Moulded PL120,Allied Moulded AMP1204NL,Allied Moulded HFPP120</t>
  </si>
  <si>
    <t>Allied Moulded AMP1204NLF POLYLINE AMP Series JIC Size Polycarbonate 12" x 10" x 4" (HxWxD) Approx. Inside Dimensions Nonmetallic Snap Latch Hinged Cover.</t>
  </si>
  <si>
    <t>Allied-Moulded-AMP1204NLF.jpg</t>
  </si>
  <si>
    <t>Allied Moulded AMP1206NL Enclosure 12" x 10" x 6"</t>
  </si>
  <si>
    <t>Allied Moulded AMP1206NL</t>
  </si>
  <si>
    <t>AMP1206NL</t>
  </si>
  <si>
    <t>Allied Moulded HFPP120,Allied Moulded PLA120,Allied Moulded AMP1206CCNL,Allied Moulded AMP1206L,Allied Moulded AMHS075,Allied Moulded PL120,Allied Moulded AM1206L,Allied Moulded AMU1206L</t>
  </si>
  <si>
    <t>Allied Moulded AMP1206NL POLYLINE AMP Series JIC Size Polycarbonate 12" x 10" x 6" (HxWxD) Approx. Inside Dimensions Nonmetallic Snap Latch Hinged Cover.</t>
  </si>
  <si>
    <t>Allied-Moulded-AMP1206NL.jpg</t>
  </si>
  <si>
    <t>Allied Moulded AMP1206NLF Enclosure 12" x 10" x 6"</t>
  </si>
  <si>
    <t>Allied Moulded AMP1206NLF</t>
  </si>
  <si>
    <t>AMP1206NLF</t>
  </si>
  <si>
    <t>Allied Moulded AMP1206CCNLF,Allied Moulded PLA120,Allied Moulded AMHS075,Allied Moulded AM1206L,Allied Moulded AMP1206F,Allied Moulded AMU1206LF,Allied Moulded PL120,Allied Moulded HFPP120,Allied Moulded AMPOLEMNT10</t>
  </si>
  <si>
    <t>Allied Moulded AMP1206NLF POLYLINE AMP Series JIC Size Polycarbonate 12" x 10" x 6" (HxWxD) Approx. Inside Dimensions Nonmetallic Snap Latch Hinged Cover.</t>
  </si>
  <si>
    <t>Allied-Moulded-AMP1206NLF.jpg</t>
  </si>
  <si>
    <t>Allied Moulded AM1226H Enclosure 12" x 12" x 6"</t>
  </si>
  <si>
    <t>Allied Moulded AM1226H</t>
  </si>
  <si>
    <t>AM1226H</t>
  </si>
  <si>
    <t>Allied Moulded AM1224H,Allied Moulded AM1226HW,Allied Moulded AM1226RH,Allied Moulded PL122,Allied Moulded AMPOLEMNT12,Allied Moulded PLA122,Allied Moulded AM1226T,Allied Moulded AMHS075</t>
  </si>
  <si>
    <t>Allied Moulded AM1226H AM Series JIC Size Fiberglass Enclosure 12" x 12" x 6" (HxWxD) Approx. Inside Dimensions Hinged Screw Cover.</t>
  </si>
  <si>
    <t>Allied-Moulded-AM1226H.jpg</t>
  </si>
  <si>
    <t>AM Series</t>
  </si>
  <si>
    <t>Allied Moulded AM1226L Enclosure 12" x 12" x 6"</t>
  </si>
  <si>
    <t>Allied Moulded AM1226L</t>
  </si>
  <si>
    <t>AM1226L</t>
  </si>
  <si>
    <t>Allied Moulded AMPOLEMNT12,Allied Moulded PLA122,Allied Moulded AM1206T,Allied Moulded AM1206RL,Allied Moulded AMHS075,Allied Moulded AM1084L,Allied Moulded PL122,Allied Moulded AM1206LW</t>
  </si>
  <si>
    <t>Allied Moulded AM1226L AM Series JIC Size Fiberglass Enclosure 12" x 12" x 6" (HxWxD) Approx. Inside Dimensions Stainless Steel Lockable Snap Latch Hinged Cover.</t>
  </si>
  <si>
    <t>Allied-Moulded-AM1226L.jpg</t>
  </si>
  <si>
    <t>Allied Moulded AM1226T Enclosure 12" x 12" x 6"</t>
  </si>
  <si>
    <t>Allied Moulded AM1226T</t>
  </si>
  <si>
    <t>AM1226T</t>
  </si>
  <si>
    <t>Allied Moulded PLA122,Allied Moulded AM1226TW,Allied Moulded AM1226RL,Allied Moulded PL122,Allied Moulded AMPOLEMNT12,Allied Moulded AM1224T,Allied Moulded AMHS075,Allied Moulded AM1226RT</t>
  </si>
  <si>
    <t>Allied Moulded AM1226T AM Series JIC Size Fiberglass Enclosure 12" x 12" x 6" (HxWxD) Approx. Inside Dimensions Lockable Twist Latch Hinged Cover.</t>
  </si>
  <si>
    <t>Allied-Moulded-AM1226T.jpg</t>
  </si>
  <si>
    <t>Allied Moulded AM1226HW Enclosure 12" x 12" x 6"</t>
  </si>
  <si>
    <t>Allied Moulded AM1226HW</t>
  </si>
  <si>
    <t>AM1226HW</t>
  </si>
  <si>
    <t>Allied Moulded PLA122,Allied Moulded AM1226RHW,Allied Moulded AMPOLEMNT12,Allied Moulded AM1226H,Allied Moulded PL122,Allied Moulded AM1224HW,Allied Moulded AM1226TW,Allied Moulded AMHS075</t>
  </si>
  <si>
    <t>Allied Moulded AM1226HW AM Series JIC Size Fiberglass Enclosure with Windows 12" x 12" x 6" (HxWxD) Approx. Inside Dimensions Hinged Screw Cover.</t>
  </si>
  <si>
    <t>Allied-Moulded-AM1226HW.jpg</t>
  </si>
  <si>
    <t>Allied Moulded AM1226LW Enclosure 12" x 12" x 6"</t>
  </si>
  <si>
    <t>Allied Moulded AM1226LW</t>
  </si>
  <si>
    <t>AM1226LW</t>
  </si>
  <si>
    <t>Allied Moulded AMHS075,Allied Moulded PLA122,Allied Moulded AM1226L,Allied Moulded AM1224LW,Allied Moulded AM1226TW,Allied Moulded PL122,Allied Moulded AMPOLEMNT12,Allied Moulded AM1226RLW</t>
  </si>
  <si>
    <t>Allied Moulded AM1226LW AM Series JIC Size Fiberglass Enclosure with Windows 12" x 12" x 6" (HxWxD) Approx. Inside Dimensions Stainless Steel Lockable Snap Latch Hinged Cover.</t>
  </si>
  <si>
    <t>Allied-Moulded-AM1226LW.jpg</t>
  </si>
  <si>
    <t>Allied Moulded AM1226TW Enclosure 12" x 12" x 6"</t>
  </si>
  <si>
    <t>Allied Moulded AM1226TW</t>
  </si>
  <si>
    <t>AM1226TW</t>
  </si>
  <si>
    <t>Allied Moulded AM1226T,Allied Moulded AM1226RTW,Allied Moulded AMHS075,Allied Moulded PLA122,Allied Moulded AM1224TW,Allied Moulded PL122,Allied Moulded AMPOLEMNT12,Allied Moulded AM1226LW</t>
  </si>
  <si>
    <t>Allied Moulded AM1226TW AM Series JIC Size Fiberglass Enclosure with Windows 12" x 12" x 6" (HxWxD) Approx. Inside Dimensions Lockable Twist Latch Hinged Cover.</t>
  </si>
  <si>
    <t>Allied-Moulded-AM1226TW.jpg</t>
  </si>
  <si>
    <t>Allied Moulded AM1226R Enclosure 12.00" x 12.00" x 7.75"</t>
  </si>
  <si>
    <t>Allied Moulded AM1226R</t>
  </si>
  <si>
    <t>AM1226R</t>
  </si>
  <si>
    <t>Allied Moulded AM1226RW,Allied Moulded AM1226,Allied Moulded AMHS075,Allied Moulded PL122,Allied Moulded AM1224R,Allied Moulded AM1226RT,Allied Moulded AMPOLEMNT12,Allied Moulded HFP122,Allied Moulded PLA122</t>
  </si>
  <si>
    <t>Allied Moulded AM1226R AM-R Series JIC Size Fiberglass Enclosure 12.00" x 12.00" x 7.75" (HxWxD) Approx. Inside Dimensions Raised Lift-Off Screw Cover.</t>
  </si>
  <si>
    <t>Allied-Moulded-AM1226R.jpg</t>
  </si>
  <si>
    <t>Allied Moulded AM1226RH Enclosure 12.00" x 12.00" x 7.75"</t>
  </si>
  <si>
    <t>Allied Moulded AM1226RH</t>
  </si>
  <si>
    <t>AM1226RH</t>
  </si>
  <si>
    <t>Allied Moulded AM1226RHW,Allied Moulded PLA122,Allied Moulded AM1226RT,Allied Moulded AMHS075,Allied Moulded PL122,Allied Moulded AM1224RH,Allied Moulded AMPOLEMNT12,Allied Moulded AM1226H,Allied Moulded HFP122</t>
  </si>
  <si>
    <t>Allied Moulded AM1226RH AM-R Series JIC Size Fiberglass Enclosure 12.00" x 12.00" x 7.75" (HxWxD) Approx. Inside Dimensions Raised Hinged Screw Cover.</t>
  </si>
  <si>
    <t>Allied-Moulded-AM1226RH.jpg</t>
  </si>
  <si>
    <t>Allied Moulded AM1226RL Enclosure 12.00" x 12.00" x 7.75"</t>
  </si>
  <si>
    <t>Allied Moulded AM1226RL</t>
  </si>
  <si>
    <t>AM1226RL</t>
  </si>
  <si>
    <t>Allied Moulded AM1224RL,Allied Moulded AM1226RLW,Allied Moulded AMPOLEMNT12,Allied Moulded PL122,Allied Moulded PLA122,Allied Moulded AM1226RT,Allied Moulded HFP122,Allied Moulded AM1226L,Allied Moulded AMHS075</t>
  </si>
  <si>
    <t>Allied Moulded AM1226RL AM-R Series JIC Size Fiberglass Enclosure 12.00" x 12.00" x 7.75" (HxWxD) Approx. Inside Dimensions Raised Stainless Steel Lockable Snap Latch Hinged Cover.</t>
  </si>
  <si>
    <t>Allied-Moulded-AM1226RL.jpg</t>
  </si>
  <si>
    <t>Allied Moulded AM1226RT Enclosure 12.00" x 12.00" x 7.75"</t>
  </si>
  <si>
    <t>Allied Moulded AM1226RT</t>
  </si>
  <si>
    <t>AM1226RT</t>
  </si>
  <si>
    <t>Allied Moulded PLA122,Allied Moulded AMPOLEMNT12,Allied Moulded HFP122,Allied Moulded AM1224RT,Allied Moulded AM1226RL,Allied Moulded AMHS075,Allied Moulded PL122,Allied Moulded AM1226T,Allied Moulded AM1226RTW</t>
  </si>
  <si>
    <t>Allied Moulded AM1226RT AM-R Series JIC Size Fiberglass Enclosure 12.00" x 12.00" x 7.75" (HxWxD) Approx. Inside Dimensions Raised Stainless Steel Lockable Twist Latch Hinged Cover.</t>
  </si>
  <si>
    <t>Allied-Moulded-AM1226RT.jpg</t>
  </si>
  <si>
    <t>Allied Moulded AM1226RW Enclosure 12.00" x 12.00" x 7.75"</t>
  </si>
  <si>
    <t>Allied Moulded AM1226RW</t>
  </si>
  <si>
    <t>AM1226RW</t>
  </si>
  <si>
    <t>Allied Moulded AM1224RW,Allied Moulded AMHS075,Allied Moulded AM1226RLW,Allied Moulded HFP122,Allied Moulded AM1226LW,Allied Moulded PL122,Allied Moulded AMPOLEMNT12,Allied Moulded AM1226R,Allied Moulded PLA122</t>
  </si>
  <si>
    <t>Allied Moulded AM1226RW AM-R Series JIC Size Fiberglass Enclosure with Windows 12.00" x 12.00" x 7.75" (HxWxD) Approx. Inside Dimensions Raised Lift-Off Screw Cover.</t>
  </si>
  <si>
    <t>Allied-Moulded-AM1226RW.jpg</t>
  </si>
  <si>
    <t>Allied Moulded AM1226RHW Enclosure 12.00" x 12.00" x 7.75"</t>
  </si>
  <si>
    <t>Allied Moulded AM1226RHW</t>
  </si>
  <si>
    <t>AM1226RHW</t>
  </si>
  <si>
    <t>Allied Moulded AMHS075,Allied Moulded PLA122,Allied Moulded AM1226HW,Allied Moulded PL122,Allied Moulded AM1226RH,Allied Moulded AM1224RHW,Allied Moulded AMPOLEMNT12,Allied Moulded AM1226RTW,Allied Moulded HFP122</t>
  </si>
  <si>
    <t>Allied Moulded AM1226RHW AM-R Series JIC Size Fiberglass Enclosure with Windows 12.00" x 12.00" x 7.75" (HxWxD) Approx. Inside Dimensions Raised Hinged Screw Cover.</t>
  </si>
  <si>
    <t>Allied-Moulded-AM1226RHW.jpg</t>
  </si>
  <si>
    <t>Allied Moulded AM1226RLW Enclosure 12.00" x 12.00" x 7.75"</t>
  </si>
  <si>
    <t>Allied Moulded AM1226RLW</t>
  </si>
  <si>
    <t>AM1226RLW</t>
  </si>
  <si>
    <t>Allied Moulded HFP122,Allied Moulded PL122,Allied Moulded AM1224RLW,Allied Moulded PLA122,Allied Moulded AM1226RL,Allied Moulded AMHS075,Allied Moulded AMPOLEMNT12,Allied Moulded AM1226LW,Allied Moulded AM1226RTW</t>
  </si>
  <si>
    <t>Allied Moulded AM1226RLW AM-R Series JIC Size Fiberglass Enclosure with Windows 12.00" x 12.00" x 7.75" (HxWxD) Approx. Inside Dimensions Raised Stainless Steel Lockable Snap Latch Hinged Cover.</t>
  </si>
  <si>
    <t>Allied-Moulded-AM1226RLW.jpg</t>
  </si>
  <si>
    <t>Allied Moulded AM1226RTW Enclosure 12.00" x 12.00" x 7.75"</t>
  </si>
  <si>
    <t>Allied Moulded AM1226RTW</t>
  </si>
  <si>
    <t>AM1226RTW</t>
  </si>
  <si>
    <t>Allied Moulded PL122,Allied Moulded AM1226TW,Allied Moulded PLA122,Allied Moulded AMPOLEMNT12,Allied Moulded AM1226RT,Allied Moulded AM1226RLW,Allied Moulded AMHS075,Allied Moulded AM1224RTW,Allied Moulded HFP122</t>
  </si>
  <si>
    <t>Allied Moulded AM1226RTW AM-R Series JIC Size Fiberglass Enclosure with Windows 12.00" x 12.00" x 7.75" (HxWxD) Approx. Inside Dimensions Raised Lockable Twist Latch Hinged Cover.</t>
  </si>
  <si>
    <t>Allied-Moulded-AM1226RTW.jpg</t>
  </si>
  <si>
    <t>Allied Moulded AM1226 Enclosure 12" x 12" x 6"</t>
  </si>
  <si>
    <t>Allied Moulded AM1226</t>
  </si>
  <si>
    <t>AM1226</t>
  </si>
  <si>
    <t>Allied Moulded AM1226W,Allied Moulded AMHS075,Allied Moulded AMPOLEMNT12,Allied Moulded AM1224,Allied Moulded AM1226R,Allied Moulded PL122,Allied Moulded PLA122,Allied Moulded AM1226T</t>
  </si>
  <si>
    <t>Allied Moulded AM1226 AM Series JIC Size Fiberglass Enclosure 12" x 12" x 6" (HxWxD) Approx. Inside Dimensions Lift-Off Screw Cover.</t>
  </si>
  <si>
    <t>Allied-Moulded-AM1226.jpg</t>
  </si>
  <si>
    <t>Allied Moulded AM1224H Enclosure 12" x 12" x 4"</t>
  </si>
  <si>
    <t>Allied Moulded AM1224H</t>
  </si>
  <si>
    <t>AM1224H</t>
  </si>
  <si>
    <t>Allied Moulded AM1224HW,Allied Moulded PLA122,Allied Moulded AMPOLEMNT12,Allied Moulded AM1226H,Allied Moulded AM1224RH,Allied Moulded PL122,Allied Moulded AMHS075</t>
  </si>
  <si>
    <t>Allied Moulded AM1224H AM Series JIC Size Fiberglass Enclosure 12" x 12" x 4" (HxWxD) Approx. Inside Dimensions Hinged Screw Cover.</t>
  </si>
  <si>
    <t>Allied-Moulded-AM1224H.jpg</t>
  </si>
  <si>
    <t>Allied Moulded AM1224L Enclosure 12" x 12" x 4"</t>
  </si>
  <si>
    <t>Allied Moulded AM1224L</t>
  </si>
  <si>
    <t>AM1224L</t>
  </si>
  <si>
    <t>Allied Moulded PLA122,Allied Moulded AMHS075,Allied Moulded AM1224RL,Allied Moulded AM1224LW,Allied Moulded AMPOLEMNT12,Allied Moulded AM1226L,Allied Moulded PL122</t>
  </si>
  <si>
    <t>Allied Moulded AM1224L AM Series JIC Size Fiberglass Enclosure 12" x 12" x 4" (HxWxD) Approx. Inside Dimensions Stainless Steel Lockable Snap Latch Hinged Cover.</t>
  </si>
  <si>
    <t>Allied-Moulded-AM1224L.jpg</t>
  </si>
  <si>
    <t>Allied Moulded AM1224T Enclosure 12" x 12" x 4"</t>
  </si>
  <si>
    <t>Allied Moulded AM1224T</t>
  </si>
  <si>
    <t>AM1224T</t>
  </si>
  <si>
    <t>Allied Moulded AM1226RT,Allied Moulded AM1224L,Allied Moulded AMHS075,Allied Moulded AM1224TW,Allied Moulded PL122,Allied Moulded PLA122,Allied Moulded AMPOLEMNT12</t>
  </si>
  <si>
    <t>Allied Moulded AM1224T AM Series JIC Size Fiberglass Enclosure 12" x 12" x 4" (HxWxD) Approx. Inside Dimensions Lockable Twist Latch Hinged Cover.</t>
  </si>
  <si>
    <t>Allied-Moulded-AM1224T.jpg</t>
  </si>
  <si>
    <t>Allied Moulded AM1226W Enclosure 12" x 12" x 6"</t>
  </si>
  <si>
    <t>Allied Moulded AM1226W</t>
  </si>
  <si>
    <t>AM1226W</t>
  </si>
  <si>
    <t>Allied Moulded AM1226RW,Allied Moulded AM1226RLW,Allied Moulded AM1226,Allied Moulded AMHS075,Allied Moulded AMPOLEMNT12,Allied Moulded AM1224W,Allied Moulded PLA122,Allied Moulded PL122</t>
  </si>
  <si>
    <t>Allied Moulded AM1226W AM Series JIC Size Fiberglass Enclosure with Windows 12" x 12" x 6" (HxWxD) Approx. Inside Dimensions Lift-Off Screw Cover.</t>
  </si>
  <si>
    <t>Allied-Moulded-AM1226W.jpg</t>
  </si>
  <si>
    <t>Allied Moulded AM1224HW Enclosure 12" x 12" x 4"</t>
  </si>
  <si>
    <t>Allied Moulded AM1224HW</t>
  </si>
  <si>
    <t>AM1224HW</t>
  </si>
  <si>
    <t>Allied Moulded AMHS075,Allied Moulded PLA122,Allied Moulded AMPOLEMNT12,Allied Moulded PL122,Allied Moulded AM1224RHW,Allied Moulded AM1226HW,Allied Moulded AM1224H</t>
  </si>
  <si>
    <t>Allied Moulded AM1224HW AM Series JIC Size Fiberglass Enclosure with Windows 12" x 12" x 4" (HxWxD) Approx. Inside Dimensions Hinged Screw Cover.</t>
  </si>
  <si>
    <t>Allied-Moulded-AM1224HW.jpg</t>
  </si>
  <si>
    <t>Allied Moulded AM1224LW Enclosure 12" x 12" x 4"</t>
  </si>
  <si>
    <t>Allied Moulded AM1224LW</t>
  </si>
  <si>
    <t>AM1224LW</t>
  </si>
  <si>
    <t>Allied Moulded AM1224L,Allied Moulded AM1226LW,Allied Moulded PL122,Allied Moulded AMPOLEMNT12,Allied Moulded AM1224RLW,Allied Moulded AMHS075,Allied Moulded PLA122</t>
  </si>
  <si>
    <t>Allied Moulded AM1224LW AM Series JIC Size Fiberglass Enclosure with Windows 12" x 12" x 4" (HxWxD) Approx. Inside Dimensions Stainless Steel Lockable Snap Latch Hinged Cover.</t>
  </si>
  <si>
    <t>Allied-Moulded-AM1224LW.jpg</t>
  </si>
  <si>
    <t>Allied Moulded AM1224TW Enclosure 12" x 12" x 4"</t>
  </si>
  <si>
    <t>Allied Moulded AM1224TW</t>
  </si>
  <si>
    <t>AM1224TW</t>
  </si>
  <si>
    <t>Allied Moulded AM1224T,Allied Moulded PLA122,Allied Moulded AMPOLEMNT12,Allied Moulded PL122,Allied Moulded AM1226TW,Allied Moulded AMHS075,Allied Moulded AM1224LW</t>
  </si>
  <si>
    <t>Allied Moulded AM1224TW AM Series JIC Size Fiberglass Enclosure with Windows 12" x 12" x 4" (HxWxD) Approx. Inside Dimensions Lockable Twist Latch Hinged Cover.</t>
  </si>
  <si>
    <t>Allied-Moulded-AM1224TW.jpg</t>
  </si>
  <si>
    <t>Allied Moulded AM1224R Enclosure 12.00" x 12.00" x 5.75"</t>
  </si>
  <si>
    <t>Allied Moulded AM1224R</t>
  </si>
  <si>
    <t>AM1224R</t>
  </si>
  <si>
    <t>Allied Moulded HFP122,Allied Moulded AMHS075,Allied Moulded AM1224RW,Allied Moulded PL122,Allied Moulded AMPOLEMNT12,Allied Moulded AM1226R,Allied Moulded PLA122,Allied Moulded AM1224</t>
  </si>
  <si>
    <t>Allied Moulded AM1224R AM-R Series JIC Size Fiberglass Enclosure 12.00" x 12.00" x 5.75" (HxWxD) Approx. Inside Dimensions Raised Lift-Off Screw Cover.</t>
  </si>
  <si>
    <t>Allied-Moulded-AM1224R.jpg</t>
  </si>
  <si>
    <t>Allied Moulded AM1224RH Enclosure 12.00" x 12.00" x 5.75"</t>
  </si>
  <si>
    <t>Allied Moulded AM1224RH</t>
  </si>
  <si>
    <t>AM1224RH</t>
  </si>
  <si>
    <t>Allied Moulded AMPOLEMNT12,Allied Moulded HFP122,Allied Moulded PL122,Allied Moulded AM1226RH,Allied Moulded AM1224RHW,Allied Moulded AM1224H,Allied Moulded AMHS075,Allied Moulded PLA122</t>
  </si>
  <si>
    <t>Allied Moulded AM1224RH AM-R Series JIC Size Fiberglass Enclosure 12.00" x 12.00" x 5.75" (HxWxD) Approx. Inside Dimensions Raised Hinged Screw Cover.</t>
  </si>
  <si>
    <t>Allied-Moulded-AM1224RH.jpg</t>
  </si>
  <si>
    <t>Allied Moulded AM1224RL Enclosure 12.00" x 12.00" x 5.75"</t>
  </si>
  <si>
    <t>Allied Moulded AM1224RL</t>
  </si>
  <si>
    <t>AM1224RL</t>
  </si>
  <si>
    <t>Allied Moulded PL122,Allied Moulded PLA122,Allied Moulded HFP122,Allied Moulded AMPOLEMNT12,Allied Moulded AMHS075,Allied Moulded AM1226RL,Allied Moulded AM1224RLW,Allied Moulded AM1224L</t>
  </si>
  <si>
    <t>Allied Moulded AM1224RL AM-R Series JIC Size Fiberglass Enclosure 12.00" x 12.00" x 5.75" (HxWxD) Approx. Inside Dimensions Raised Stainless Steel Lockable Snap Latch Hinged Cover.</t>
  </si>
  <si>
    <t>Allied-Moulded-AM1224RL.jpg</t>
  </si>
  <si>
    <t>Allied Moulded AM1224RT Enclosure 12.00" x 12.00" x 5.75"</t>
  </si>
  <si>
    <t>Allied Moulded AM1224RT</t>
  </si>
  <si>
    <t>AM1224RT</t>
  </si>
  <si>
    <t>Allied Moulded AM1224RTW,Allied Moulded AM1224T,Allied Moulded PLA122,Allied Moulded AMHS075,Allied Moulded AMPOLEMNT12,Allied Moulded PL122,Allied Moulded HFP122,Allied Moulded AM1226RT</t>
  </si>
  <si>
    <t>Allied Moulded AM1224RT AM-R Series JIC Size Fiberglass Enclosure 12.00" x 12.00" x 5.75" (HxWxD) Approx. Inside Dimensions Raised Stainless Steel Lockable Twist Latch Hinged Cover.</t>
  </si>
  <si>
    <t>Allied-Moulded-AM1224RT.jpg</t>
  </si>
  <si>
    <t>Allied Moulded AM1224RW Enclosure 12.00" x 12.00" x 5.75"</t>
  </si>
  <si>
    <t>Allied Moulded AM1224RW</t>
  </si>
  <si>
    <t>AM1224RW</t>
  </si>
  <si>
    <t>Allied Moulded PLA122,Allied Moulded HFP122,Allied Moulded AM1226RW,Allied Moulded AMPOLEMNT12,Allied Moulded AM1224R,Allied Moulded AMHS075,Allied Moulded PL122,Allied Moulded AM1224W</t>
  </si>
  <si>
    <t>Allied Moulded AM1224RW AM-R Series JIC Size Fiberglass Enclosure with Windows 12.00" x 12.00" x 5.75" (HxWxD) Approx. Inside Dimensions Raised Lift-Off Screw Cover.</t>
  </si>
  <si>
    <t>Allied-Moulded-AM1224RW.jpg</t>
  </si>
  <si>
    <t>Allied Moulded AM1224RHW Enclosure 12.00" x 12.00" x 5.75"</t>
  </si>
  <si>
    <t>Allied Moulded AM1224RHW</t>
  </si>
  <si>
    <t>AM1224RHW</t>
  </si>
  <si>
    <t>Allied Moulded PLA122,Allied Moulded AM1224HW,Allied Moulded PL122,Allied Moulded AM1224RH,Allied Moulded HFP122,Allied Moulded AMHS075,Allied Moulded AMPOLEMNT12,Allied Moulded AM1226RHW</t>
  </si>
  <si>
    <t>Allied Moulded AM1224RHW AM-R Series JIC Size Fiberglass Enclosure with Windows 12.00" x 12.00" x 5.75" (HxWxD) Approx. Inside Dimensions Raised Hinged Screw Cover.</t>
  </si>
  <si>
    <t>Allied-Moulded-AM1224RHW.jpg</t>
  </si>
  <si>
    <t>Allied Moulded AM1224RLW Enclosure 12.00" x 12.00" x 5.75"</t>
  </si>
  <si>
    <t>Allied Moulded AM1224RLW</t>
  </si>
  <si>
    <t>AM1224RLW</t>
  </si>
  <si>
    <t>Allied Moulded AM1226RLW,Allied Moulded AMHS075,Allied Moulded PL122,Allied Moulded AMPOLEMNT12,Allied Moulded AM1224LW,Allied Moulded AM1224RL,Allied Moulded HFP122,Allied Moulded PLA122</t>
  </si>
  <si>
    <t>Allied Moulded AM1224RLW AM-R Series JIC Size Fiberglass Enclosure with Windows 12.00" x 12.00" x 5.75" (HxWxD) Approx. Inside Dimensions Raised Stainless Steel Lockable Snap Latch Hinged Cover.</t>
  </si>
  <si>
    <t>Allied-Moulded-AM1224RLW.jpg</t>
  </si>
  <si>
    <t>Allied Moulded AM1224RTW Enclosure 12.00" x 12.00" x 5.75"</t>
  </si>
  <si>
    <t>Allied Moulded AM1224RTW</t>
  </si>
  <si>
    <t>AM1224RTW</t>
  </si>
  <si>
    <t>Allied Moulded AM1226RTW,Allied Moulded AMHS075,Allied Moulded AMPOLEMNT12,Allied Moulded AM1224TW,Allied Moulded PLA122,Allied Moulded HFP122,Allied Moulded AM1224RT,Allied Moulded PL122</t>
  </si>
  <si>
    <t>Allied Moulded AM1224RTW AM-R Series JIC Size Fiberglass Enclosure with Windows 12.00" x 12.00" x 5.75" (HxWxD) Approx. Inside Dimensions Raised Lockable Twist Latch Hinged Cover.</t>
  </si>
  <si>
    <t>Allied-Moulded-AM1224RTW.jpg</t>
  </si>
  <si>
    <t>Allied Moulded AM1224 Enclosure 12" x 12" x 4"</t>
  </si>
  <si>
    <t>Allied Moulded AM1224</t>
  </si>
  <si>
    <t>AM1224</t>
  </si>
  <si>
    <t>Allied Moulded AMHS075,Allied Moulded PLA122,Allied Moulded AMPOLEMNT12,Allied Moulded PL122,Allied Moulded AM1224W,Allied Moulded AM1224R,Allied Moulded AM1226</t>
  </si>
  <si>
    <t>Allied Moulded AM1224 AM Series JIC Size Fiberglass Enclosure 12" x 12" x 4" (HxWxD) Approx. Inside Dimensions Lift-Off Screw Cover.</t>
  </si>
  <si>
    <t>Allied-Moulded-AM1224.jpg</t>
  </si>
  <si>
    <t>Allied Moulded AM1224W Enclosure 12" x 12" x 4"</t>
  </si>
  <si>
    <t>Allied Moulded AM1224W</t>
  </si>
  <si>
    <t>AM1224W</t>
  </si>
  <si>
    <t>Allied Moulded AM1226W,Allied Moulded AM1224TW,Allied Moulded AM1224,Allied Moulded PLA122,Allied Moulded AMHS075,Allied Moulded PL122,Allied Moulded AMPOLEMNT12</t>
  </si>
  <si>
    <t>Allied Moulded AM1224W AM Series JIC Size Fiberglass Enclosure with Windows 12" x 12" x 4" (HxWxD) Approx. Inside Dimensions Lift-Off Screw Cover.</t>
  </si>
  <si>
    <t>Allied-Moulded-AM1224W.jpg</t>
  </si>
  <si>
    <t>Allied Moulded AM1426RL Enclosure 14.00" x 12.00" x 7.75"</t>
  </si>
  <si>
    <t>Allied Moulded AM1426RL</t>
  </si>
  <si>
    <t>AM1426RL</t>
  </si>
  <si>
    <t>Allied Moulded HFP142,Allied Moulded PL142,Allied Moulded AMP1426L,Allied Moulded PLA142,Allied Moulded PG142,Allied Moulded AMU1426L,Allied Moulded PF142,Allied Moulded AM1426RLW,Allied Moulded AMPOLEMNT12,Allied Moulded AMHS075</t>
  </si>
  <si>
    <t>Allied Moulded AM1426RL AM-R Series JIC Size Fiberglass Enclosure 14.00" x 12.00" x 7.75" (HxWxD) Approx. Inside Dimensions Raised Stainless Steel Lockable Snap Latch Hinged Cover.</t>
  </si>
  <si>
    <t>Allied-Moulded-AM1426RL.jpg</t>
  </si>
  <si>
    <t>14"</t>
  </si>
  <si>
    <t>Allied Moulded AM1426RT Enclosure 14.00" x 12.00" x 7.75"</t>
  </si>
  <si>
    <t>Allied Moulded AM1426RT</t>
  </si>
  <si>
    <t>AM1426RT</t>
  </si>
  <si>
    <t>Allied Moulded AM1426RTW,Allied Moulded HFP142,Allied Moulded PLA142,Allied Moulded PG142,Allied Moulded PF142,Allied Moulded AMP1426L,Allied Moulded PL142,Allied Moulded AMU1426T,Allied Moulded AMPOLEMNT12,Allied Moulded AMHS075</t>
  </si>
  <si>
    <t>Allied Moulded AM1426RT AM-R Series JIC Size Fiberglass Enclosure 14.00" x 12.00" x 7.75" (HxWxD) Approx. Inside Dimensions Raised Stainless Steel Lockable Twist Latch Hinged Cover.</t>
  </si>
  <si>
    <t>Allied-Moulded-AM1426RT.jpg</t>
  </si>
  <si>
    <t>Allied Moulded AM1426RW Enclosure 14.00" x 12.00" x 7.75"</t>
  </si>
  <si>
    <t>Allied Moulded AM1426RW</t>
  </si>
  <si>
    <t>AM1426RW</t>
  </si>
  <si>
    <t>Allied Moulded AM1426R,Allied Moulded AMU1426W,Allied Moulded PL142,Allied Moulded PF142,Allied Moulded PG142,Allied Moulded AMP1426CC,Allied Moulded AMPOLEMNT12,Allied Moulded AMHS075,Allied Moulded PLA142,Allied Moulded HFP142</t>
  </si>
  <si>
    <t>Allied Moulded AM1426RW AM-R Series JIC Size Fiberglass Enclosure with Windows 14.00" x 12.00" x 7.75" (HxWxD) Approx. Inside Dimensions Raised Lift-Off Screw Cover.</t>
  </si>
  <si>
    <t>Allied-Moulded-AM1426RW.jpg</t>
  </si>
  <si>
    <t>Allied Moulded AM1426RHW Enclosure 14.00" x 12.00" x 7.75"</t>
  </si>
  <si>
    <t>Allied Moulded AM1426RHW</t>
  </si>
  <si>
    <t>AM1426RHW</t>
  </si>
  <si>
    <t>Allied Moulded HFP142,Allied Moulded AMHS075,Allied Moulded PL142,Allied Moulded AMU1426HW,Allied Moulded PG142,Allied Moulded PF142,Allied Moulded PLA142,Allied Moulded AM1426RH,Allied Moulded AMP1426CCH,Allied Moulded AMPOLEMNT12</t>
  </si>
  <si>
    <t>Allied Moulded AM1426RHW AM-R Series JIC Size Fiberglass Enclosure with Windows 14.00" x 12.00" x 7.75" (HxWxD) Approx. Inside Dimensions Raised Hinged Screw Cover.</t>
  </si>
  <si>
    <t>Allied-Moulded-AM1426RHW.jpg</t>
  </si>
  <si>
    <t>Allied Moulded AM1426RLW Enclosure 14.00" x 12.00" x 7.75"</t>
  </si>
  <si>
    <t>Allied Moulded AM1426RLW</t>
  </si>
  <si>
    <t>AM1426RLW</t>
  </si>
  <si>
    <t>Allied Moulded PF142,Allied Moulded AMP1426CCL,Allied Moulded AMU1426LW,Allied Moulded HFP142,Allied Moulded AMPOLEMNT12,Allied Moulded PLA142,Allied Moulded AMHS075,Allied Moulded AM1426RL,Allied Moulded PG142,Allied Moulded PL142</t>
  </si>
  <si>
    <t>Allied Moulded AM1426RLW AM-R Series JIC Size Fiberglass Enclosure with Windows 14.00" x 12.00" x 7.75" (HxWxD) Approx. Inside Dimensions Raised Stainless Steel Lockable Snap Latch Hinged Cover.</t>
  </si>
  <si>
    <t>Allied-Moulded-AM1426RLW.jpg</t>
  </si>
  <si>
    <t>Allied Moulded AM1426RTW Enclosure 14.00" x 12.00" x 7.75"</t>
  </si>
  <si>
    <t>Allied Moulded AM1426RTW</t>
  </si>
  <si>
    <t>AM1426RTW</t>
  </si>
  <si>
    <t>Allied Moulded AMPOLEMNT12,Allied Moulded HFP142,Allied Moulded PG142,Allied Moulded AMHS075,Allied Moulded PLA142,Allied Moulded PL142,Allied Moulded AMP1426CCL,Allied Moulded PF142,Allied Moulded AM1426RT,Allied Moulded AMU1426TW</t>
  </si>
  <si>
    <t>Allied Moulded AM1426RTW AM-R Series JIC Size Fiberglass Enclosure with Windows 14.00" x 12.00" x 7.75" (HxWxD) Approx. Inside Dimensions Raised Lockable Twist Latch Hinged Cover.</t>
  </si>
  <si>
    <t>Allied-Moulded-AM1426RTW.jpg</t>
  </si>
  <si>
    <t>Allied Moulded AM1426 ULTRAGUARD Fiberglass reinforced polyester Type 4x Small Junction Box</t>
  </si>
  <si>
    <t>Allied Moulded AM1426</t>
  </si>
  <si>
    <t>AM1426</t>
  </si>
  <si>
    <t>Allied Moulded PL142,Allied Moulded AMP1426,Allied Moulded AMPOLEMNT12,Allied Moulded AMHS075,Allied Moulded AMU1426,Allied Moulded AM1426RW,Allied Moulded PG142,Allied Moulded PLA142,Allied Moulded PF142</t>
  </si>
  <si>
    <t>Allied Moulded AM1426 ULTRAGUARD Fiberglass reinforced polyester Type 4x Junction Box Enclosure 14" x 12" x 6" (HXWXD) Inside Dimension. Opaque cover with lift off 4 screw cover. 316 Stainless Steel external hardware and plated carbon steel internal hardware.</t>
  </si>
  <si>
    <t>Allied Moulded AM1426 ULTRAGUARD Fiberglass reinforced polyester Type 4x Junction Box Enclosure 14" x 12" x 6" (HXWXD). Opaque cover with lift off 4 screw cover. 316 Stainless Steel external hardware and plated carbon steel internal hardware.</t>
  </si>
  <si>
    <t>Allied Moulded AM1426 Non Metallic Polyester Enclosure</t>
  </si>
  <si>
    <t>Allied-Moulded-AM1426.jpg</t>
  </si>
  <si>
    <t>Allied Moulded AM1426H ULTRAGUARD Fiberglass reinforced polyester Type 4x Small Junction Box</t>
  </si>
  <si>
    <t>Allied Moulded AM1426H</t>
  </si>
  <si>
    <t>AM1426H</t>
  </si>
  <si>
    <t>Allied Moulded AMPOLEMNT12,Allied Moulded AMP1426H,Allied Moulded PL142,Allied Moulded PLA142,Allied Moulded PF142,Allied Moulded AMU1426H,Allied Moulded AM1426RHW,Allied Moulded AMHS075,Allied Moulded PG142</t>
  </si>
  <si>
    <t>Allied Moulded AM1426H ULTRAGUARD Fiberglass reinforced polyester Type 4x Junction Box Enclosure 14" x 12" x 6" (HXWXD) Inside Dimension. Opaque cover with hinged 2 screw cover. 316 Stainless Steel hinge, external hardware and plated carbon steel internal hardware.</t>
  </si>
  <si>
    <t>Allied Moulded AM1426H ULTRAGUARD Fiberglass reinforced polyester Type 4x Junction Box Enclosure 14" x 12" x 6" (HXWXD). Opaque cover with hinged 2 screw cover. 316 Stainless Steel hinge, external hardware and plated carbon steel internal hardware.</t>
  </si>
  <si>
    <t>Allied Moulded AM1426H Non Metallic Polyester Enclosure</t>
  </si>
  <si>
    <t>Allied-Moulded-AM1426H.jpg</t>
  </si>
  <si>
    <t>Allied Moulded AM1426L ULTRAGUARD Fiberglass reinforced polyester Type 4x Small Junction Box</t>
  </si>
  <si>
    <t>Allied Moulded AM1426L</t>
  </si>
  <si>
    <t>AM1426L</t>
  </si>
  <si>
    <t>Allied Moulded AMHS075,Allied Moulded AMU1426L,Allied Moulded PG142,Allied Moulded PF142,Allied Moulded PL142,Allied Moulded AMP1426L,Allied Moulded AMPOLEMNT12,Allied Moulded PLA142,Allied Moulded AM1426RLW</t>
  </si>
  <si>
    <t>Allied Moulded AM1426L ULTRAGUARD Fiberglass reinforced polyester Type 4x Junction Box Enclosure 14" x 12" x 6" (HXWXD) Inside Dimension. Opaque cover hinged with lockable clamp latch. 316 Stainless Steel hinge, latch, external hardware and plated carbon steel internal hardware.</t>
  </si>
  <si>
    <t>Allied Moulded AM1426L ULTRAGUARD Fiberglass reinforced polyester Type 4x Junction Box Enclosure 14" x 12" x 6" (HXWXD). Opaque cover hinged with lockable clamp latch. 316 Stainless Steel hinge, latch, external hardware and plated carbon steel internal hardware.</t>
  </si>
  <si>
    <t>Allied Moulded AM1426L Non Metallic Polyester Enclosure</t>
  </si>
  <si>
    <t>Allied-Moulded-AM1426L.jpg</t>
  </si>
  <si>
    <t>Allied Moulded AM1426T ULTRAGUARD Fiberglass reinforced polyester Type 4x Small Junction Box</t>
  </si>
  <si>
    <t>Allied Moulded AM1426T</t>
  </si>
  <si>
    <t>AM1426T</t>
  </si>
  <si>
    <t>Allied Moulded PL142,Allied Moulded PLA142,Allied Moulded AMU1426T,Allied Moulded PG142,Allied Moulded AM1426RTW,Allied Moulded AMHS075,Allied Moulded PF142,Allied Moulded AMPOLEMNT12</t>
  </si>
  <si>
    <t>Allied Moulded AM1426T ULTRAGUARD Fiberglass reinforced polyester Type 4x Junction Box Enclosure 14" x 12" x 6" (HXWXD) Inside Dimension. Opaque cover hinged with lockable twist latch. 316 Stainless Steel hinge, latch, external hardware and plated carbon steel internal hardware.</t>
  </si>
  <si>
    <t>Allied Moulded AM1426T ULTRAGUARD Fiberglass reinforced polyester Type 4x Junction Box Enclosure 14" x 12" x 6" (HXWXD). Opaque cover hinged with lockable twist latch. 316 Stainless Steel hinge, latch, external hardware and plated carbon steel internal hardware.</t>
  </si>
  <si>
    <t>Allied Moulded AM1426T Non Metallic Polyester Enclosure</t>
  </si>
  <si>
    <t>Allied-Moulded-AM1426T.jpg</t>
  </si>
  <si>
    <t>Allied Moulded AM1426W ULTRAGUARD Fiberglass reinforced polyester Type 4x Small Window Junction Box</t>
  </si>
  <si>
    <t>Allied Moulded AM1426W</t>
  </si>
  <si>
    <t>AM1426W</t>
  </si>
  <si>
    <t>Allied Moulded AM1426R,Allied Moulded PG142,Allied Moulded PF142,Allied Moulded PLA142,Allied Moulded AMHS075,Allied Moulded AMP1426CC,Allied Moulded PL142,Allied Moulded AMPOLEMNT12,Allied Moulded AMU1426W</t>
  </si>
  <si>
    <t>Allied Moulded AM1426W ULTRAGUARD Fiberglass reinforced polyester Type 4x Window Junction Box Enclosure 14" x 12" x 6" (HXWXD) Inside Dimension. Bonded clear polycarbonate cover with lift off 4 screw cover. 316 Stainless Steel external hardware and plated carbon steel internal hardware.</t>
  </si>
  <si>
    <t>Allied Moulded AM1426W ULTRAGUARD Fiberglass reinforced polyester Type 4x Window Junction Box Enclosure 14" x 12" x 6" (HXWXD). Bonded clear polycarbonate cover with lift off 4 screw cover. 316 Stainless Steel external hardware and plated carbon steel internal hardware.</t>
  </si>
  <si>
    <t>Allied Moulded AM1426W Non Metallic Polyester Window Enclosure</t>
  </si>
  <si>
    <t>Allied-Moulded-AM1426W.jpg</t>
  </si>
  <si>
    <t>Allied Moulded AM1426HW ULTRAGUARD Fiberglass reinforced polyester Type 4x Small Window Junction Box</t>
  </si>
  <si>
    <t>Allied Moulded AM1426HW</t>
  </si>
  <si>
    <t>AM1426HW</t>
  </si>
  <si>
    <t>Allied Moulded AMP1426CCH,Allied Moulded PG142,Allied Moulded AMHS075,Allied Moulded PF142,Allied Moulded PL142,Allied Moulded AMU1426HW,Allied Moulded AMPOLEMNT12,Allied Moulded PLA142,Allied Moulded AM1426RH</t>
  </si>
  <si>
    <t>Allied Moulded AM1426HW ULTRAGUARD Fiberglass reinforced polyester Type 4x Window Junction Box Enclosure 14" x 12" x 6" (HXWXD) Inside Dimension. Bonded clear polycarbonate cover with hinged 2 screw cover. 316 Stainless Steel hinge, external hardware and plated carbon steel internal hardware.</t>
  </si>
  <si>
    <t>Allied Moulded AM1426HW ULTRAGUARD Fiberglass reinforced polyester Type 4x Window Junction Box Enclosure 14" x 12" x 6" (HXWXD). Bonded clear polycarbonate cover with hinged 2 screw cover. 316 Stainless Steel hinge, external hardware and plated carbon steel internal hardware.</t>
  </si>
  <si>
    <t>Allied Moulded AM1426HW Non Metallic Polyester Window Enclosure</t>
  </si>
  <si>
    <t>Allied-Moulded-AM1426HW.jpg</t>
  </si>
  <si>
    <t>Allied Moulded AM1426LW ULTRAGUARD Fiberglass reinforced polyester Type 4x Small Window Junction Box</t>
  </si>
  <si>
    <t>Allied Moulded AM1426LW</t>
  </si>
  <si>
    <t>AM1426LW</t>
  </si>
  <si>
    <t>Allied Moulded PF142,Allied Moulded PG142,Allied Moulded AMPOLEMNT12,Allied Moulded AMHS075,Allied Moulded AMU1426LW,Allied Moulded AM1426RL,Allied Moulded PL142,Allied Moulded PLA142,Allied Moulded AMP1426CCL</t>
  </si>
  <si>
    <t>Allied Moulded AM1426LW ULTRAGUARD Fiberglass reinforced polyester Type 4x Window Junction Box Enclosure 14" x 12" x 6" (HXWXD) Inside Dimension. Bonded clear polycarbonate cover hinged with lockable clamp latch. 316 Stainless Steel hinge, latch, external hardware and plated carbon steel internal hardware.</t>
  </si>
  <si>
    <t>Allied Moulded AM1426LW ULTRAGUARD Fiberglass reinforced polyester Type 4x Window Junction Box Enclosure 14" x 12" x 6" (HXWXD). Bonded clear polycarbonate cover hinged with lockable clamp latch. 316 Stainless Steel hinge, latch, external hardware and plated carbon steel internal hardware.</t>
  </si>
  <si>
    <t>Allied Moulded AM1426LW Non Metallic Polyester Window Enclosure</t>
  </si>
  <si>
    <t>Allied-Moulded-AM1426LW.jpg</t>
  </si>
  <si>
    <t>Allied Moulded AM1426TW ULTRAGUARD Fiberglass reinforced polyester Type 4x Small Window Junction Box</t>
  </si>
  <si>
    <t>Allied Moulded AM1426TW</t>
  </si>
  <si>
    <t>AM1426TW</t>
  </si>
  <si>
    <t>Allied Moulded PG142,Allied Moulded AMP1426CCL,Allied Moulded PL142,Allied Moulded AMHS075,Allied Moulded AMPOLEMNT12,Allied Moulded PF142,Allied Moulded PLA142,Allied Moulded AMU1426TW,Allied Moulded AM1426RTW</t>
  </si>
  <si>
    <t>Allied Moulded AM1426TW ULTRAGUARD Fiberglass reinforced polyester Type 4x Window Junction Box Enclosure 14" x 12" x 6" (HXWXD) Inside Dimension. Bonded clear polycarbonate cover hinged with lockable twist latch. 316 Stainless Steel hinge, latch, external hardware and plated carbon steel internal hardware.</t>
  </si>
  <si>
    <t>Allied Moulded AM1426TW ULTRAGUARD Fiberglass reinforced polyester Type 4x Window Junction Box Enclosure 14" x 12" x 6" (HXWXD). Bonded clear polycarbonate cover hinged with lockable twist latch. 316 Stainless Steel hinge, latch, external hardware and plated carbon steel internal hardware.</t>
  </si>
  <si>
    <t>Allied Moulded AM1426TW Non Metallic Polyester Window Enclosure</t>
  </si>
  <si>
    <t>Allied-Moulded-AM1426TW.jpg</t>
  </si>
  <si>
    <t>Allied Moulded AM1426R Enclosure 14.00" x 12.00" x 7.75"</t>
  </si>
  <si>
    <t>Allied Moulded AM1426R</t>
  </si>
  <si>
    <t>AM1426R</t>
  </si>
  <si>
    <t>Allied Moulded AMP1426,Allied Moulded AM1426RW,Allied Moulded HFP142,Allied Moulded PF142,Allied Moulded PG142,Allied Moulded PLA142,Allied Moulded PL142,Allied Moulded AMHS075,Allied Moulded AMU1426,Allied Moulded AMPOLEMNT12</t>
  </si>
  <si>
    <t>Allied Moulded AM1426R AM-R Series JIC Size Fiberglass Enclosure 14.00" x 12.00" x 7.75" (HxWxD) Approx. Inside Dimensions Raised Lift-Off Screw Cover.</t>
  </si>
  <si>
    <t>Allied-Moulded-AM1426R.jpg</t>
  </si>
  <si>
    <t>Allied Moulded AM1426RH Enclosure 14.00" x 12.00" x 7.75"</t>
  </si>
  <si>
    <t>Allied Moulded AM1426RH</t>
  </si>
  <si>
    <t>AM1426RH</t>
  </si>
  <si>
    <t>Allied Moulded HFP142,Allied Moulded AMP1426H,Allied Moulded AMHS075,Allied Moulded AMPOLEMNT12,Allied Moulded AM1426RHW,Allied Moulded AMU1426H,Allied Moulded PLA142,Allied Moulded PG142,Allied Moulded PL142,Allied Moulded PF142</t>
  </si>
  <si>
    <t>Allied Moulded AM1426RH AM-R Series JIC Size Fiberglass Enclosure 14.00" x 12.00" x 7.75" (HxWxD) Approx. Inside Dimensions Raised Hinged Screw Cover.</t>
  </si>
  <si>
    <t>Allied-Moulded-AM1426RH.jpg</t>
  </si>
  <si>
    <t>Allied Moulded AMP1648CCNL Enclosure 14" x 12" x 6"</t>
  </si>
  <si>
    <t>Allied Moulded AMP1648CCNL</t>
  </si>
  <si>
    <t>AMP1648CCNL</t>
  </si>
  <si>
    <t>Allied Moulded AMU1648CCNL,Allied Moulded HFPP164,Allied Moulded PA164,Allied Moulded AMP1648NL,Allied Moulded AM1648LW,Allied Moulded PLPVC164,Allied Moulded P164,Allied Moulded AMHS075</t>
  </si>
  <si>
    <t>Allied Moulded AMP1648CCNL POLYLINE AMP Series JIC Size Polycarbonate Enclosure with Clear Covers 14" x 12" x 6" (HxWxD) Approx. Inside Dimensions Nonmetallic Snap Latch Hinged Cover.</t>
  </si>
  <si>
    <t>Allied-Moulded-AMP1648CCNL.jpg</t>
  </si>
  <si>
    <t>Allied Moulded AMU1426 Enclosure 14" x 12" x 6"</t>
  </si>
  <si>
    <t>Allied Moulded AMU1426</t>
  </si>
  <si>
    <t>AMU1426</t>
  </si>
  <si>
    <t>Allied Moulded AM1426,Allied Moulded AMP1426,Allied Moulded AMU1426L,Allied Moulded PLA142,Allied Moulded PG142,Allied Moulded AMHS075,Allied Moulded AMU1426CC,Allied Moulded PF142,Allied Moulded HFPU142,Allied Moulded PL142</t>
  </si>
  <si>
    <t>Allied Moulded AMU1426 ULTRALINE AMU Series JIC Size Fiberglass Enclosure 14" x 12" x 6" (HxWxD) Approx. Inside Dimensions Lift-Off Screw Cover.</t>
  </si>
  <si>
    <t>Allied-Moulded-AMU1426.jpg</t>
  </si>
  <si>
    <t>Allied Moulded AMU1426F Enclosure 14" x 12" x 6"</t>
  </si>
  <si>
    <t>Allied Moulded AMU1426F</t>
  </si>
  <si>
    <t>AMU1426F</t>
  </si>
  <si>
    <t>Allied Moulded AMHS075,Allied Moulded AMP1426F,Allied Moulded PF142,Allied Moulded PG142,Allied Moulded AM1426,Allied Moulded PLA142,Allied Moulded PL142,Allied Moulded HFPU142,Allied Moulded AMPOLEMNT12,Allied Moulded AMU1426CCF</t>
  </si>
  <si>
    <t>Allied Moulded AMU1426F ULTRALINE AMU Series JIC Size Fiberglass Enclosure 14" x 12" x 6" (HxWxD) Approx. Inside Dimensions Lift-Off Screw Cover.</t>
  </si>
  <si>
    <t>Allied-Moulded-AMU1426F.jpg</t>
  </si>
  <si>
    <t>Allied Moulded AMU1426H Enclosure 14" x 12" x 6"</t>
  </si>
  <si>
    <t>Allied Moulded AMU1426H</t>
  </si>
  <si>
    <t>AMU1426H</t>
  </si>
  <si>
    <t>Allied Moulded AMP1426H,Allied Moulded AM1426H,Allied Moulded PG142,Allied Moulded PL142,Allied Moulded AMU1426CCH,Allied Moulded PF142,Allied Moulded AMU1426L,Allied Moulded HFPU142,Allied Moulded PLA142,Allied Moulded AMHS075</t>
  </si>
  <si>
    <t>Allied Moulded AMU1426H ULTRALINE AMU Series JIC Size Fiberglass Enclosure 14" x 12" x 6" (HxWxD) Approx. Inside Dimensions Hinged Screw Cover.</t>
  </si>
  <si>
    <t>Allied-Moulded-AMU1426H.jpg</t>
  </si>
  <si>
    <t>Allied Moulded AMU1426HF Enclosure 14" x 12" x 6"</t>
  </si>
  <si>
    <t>Allied Moulded AMU1426HF</t>
  </si>
  <si>
    <t>AMU1426HF</t>
  </si>
  <si>
    <t>Allied Moulded AMU1426CCHF,Allied Moulded AMHS075,Allied Moulded PL142,Allied Moulded AM1426H,Allied Moulded AMU1426TF,Allied Moulded HFPU142,Allied Moulded PLA142,Allied Moulded PF142,Allied Moulded AMP1426HF,Allied Moulded PG142,Allied Moulded AMPOLEMNT12</t>
  </si>
  <si>
    <t>Allied Moulded AMU1426HF ULTRALINE AMU Series JIC Size Fiberglass Enclosure 14" x 12" x 6" (HxWxD) Approx. Inside Dimensions Hinged Screw Cover.</t>
  </si>
  <si>
    <t>Allied-Moulded-AMU1426HF.jpg</t>
  </si>
  <si>
    <t>Allied Moulded AMU1426L Enclosure 14" x 12" x 6"</t>
  </si>
  <si>
    <t>Allied Moulded AMU1426L</t>
  </si>
  <si>
    <t>AMU1426L</t>
  </si>
  <si>
    <t>Allied Moulded PLA142,Allied Moulded PL142,Allied Moulded PG142,Allied Moulded AM1426L,Allied Moulded HFPU142,Allied Moulded AMU1426CCL,Allied Moulded AMP1426L,Allied Moulded AMHS075,Allied Moulded AMU1426T,Allied Moulded PF142</t>
  </si>
  <si>
    <t>Allied Moulded AMU1426L ULTRALINE AMU Series JIC Size Fiberglass Enclosure 14" x 12" x 6" (HxWxD) Approx. Inside Dimensions Metal Snap Latch Hinged Cover.</t>
  </si>
  <si>
    <t>Allied-Moulded-AMU1426L.jpg</t>
  </si>
  <si>
    <t>Allied Moulded AMU1426LF Enclosure 14" x 12" x 6"</t>
  </si>
  <si>
    <t>Allied Moulded AMU1426LF</t>
  </si>
  <si>
    <t>AMU1426LF</t>
  </si>
  <si>
    <t>Allied Moulded AMP1426LF,Allied Moulded PG142,Allied Moulded PL142,Allied Moulded HFPU142,Allied Moulded PLA142,Allied Moulded PF142,Allied Moulded AM1426L,Allied Moulded AMHS075,Allied Moulded AMU1426TF,Allied Moulded AMU1426CCLF,Allied Moulded AMPOLEMNT12</t>
  </si>
  <si>
    <t>Allied Moulded AMU1426LF ULTRALINE AMU Series JIC Size Fiberglass Enclosure 14" x 12" x 6" (HxWxD) Approx. Inside Dimensions Metal Snap Latch Hinged Cover.</t>
  </si>
  <si>
    <t>Allied-Moulded-AMU1426LF.jpg</t>
  </si>
  <si>
    <t>Allied Moulded AMU1426NL Enclosure 14" x 12" x 6"</t>
  </si>
  <si>
    <t>Allied Moulded AMU1426NL</t>
  </si>
  <si>
    <t>AMU1426NL</t>
  </si>
  <si>
    <t>Allied Moulded PG142,Allied Moulded AMU1426T,Allied Moulded PLA142,Allied Moulded AMP1426L,Allied Moulded PF142,Allied Moulded AMU1426CCL,Allied Moulded AMHS075,Allied Moulded PL142,Allied Moulded AM1426L,Allied Moulded HFPU142</t>
  </si>
  <si>
    <t>Allied Moulded AMU1426NL ULTRALINE AMU Series JIC Size Fiberglass Enclosure 14" x 12" x 6" (HxWxD) Approx. Inside Dimensions Nonmetallic Snap Latch Hinged Cover.</t>
  </si>
  <si>
    <t>Allied-Moulded-AMU1426NL.jpg</t>
  </si>
  <si>
    <t>Allied Moulded AMU1426NLF Enclosure 14" x 12" x 6"</t>
  </si>
  <si>
    <t>Allied Moulded AMU1426NLF</t>
  </si>
  <si>
    <t>AMU1426NLF</t>
  </si>
  <si>
    <t>Allied Moulded HFPU142,Allied Moulded AM1426L,Allied Moulded AMHS075,Allied Moulded PLA142,Allied Moulded AMU1426TF,Allied Moulded PF142,Allied Moulded PL142,Allied Moulded AMU1426CCLF,Allied Moulded PG142,Allied Moulded AMP1426LF,Allied Moulded AMPOLEMNT12</t>
  </si>
  <si>
    <t>Allied Moulded AMU1426NLF ULTRALINE AMU Series JIC Size Fiberglass Enclosure 14" x 12" x 6" (HxWxD) Approx. Inside Dimensions Nonmetallic Snap Latch Hinged Cover.</t>
  </si>
  <si>
    <t>Allied-Moulded-AMU1426NLF.jpg</t>
  </si>
  <si>
    <t>Allied Moulded AMU1426T Enclosure 14" x 12" x 6"</t>
  </si>
  <si>
    <t>Allied Moulded AMU1426T</t>
  </si>
  <si>
    <t>AMU1426T</t>
  </si>
  <si>
    <t>Allied Moulded AMHS075,Allied Moulded PF142,Allied Moulded AMP1426L,Allied Moulded AMU1426CCT,Allied Moulded AM1426T,Allied Moulded HFPU142,Allied Moulded PG142,Allied Moulded PL142,Allied Moulded PLA142,Allied Moulded AMU1426L</t>
  </si>
  <si>
    <t>Allied Moulded AMU1426T ULTRALINE AMU Series JIC Size Fiberglass Enclosure 14" x 12" x 6" (HxWxD) Approx. Inside Dimensions Lockable Twist Latch Hinged Cover.</t>
  </si>
  <si>
    <t>Allied-Moulded-AMU1426T.jpg</t>
  </si>
  <si>
    <t>Allied Moulded AMU1426TF Enclosure 14" x 12" x 6"</t>
  </si>
  <si>
    <t>Allied Moulded AMU1426TF</t>
  </si>
  <si>
    <t>AMU1426TF</t>
  </si>
  <si>
    <t>Allied Moulded AMU1426CCTF,Allied Moulded HFPU142,Allied Moulded AMU1426LF,Allied Moulded PF142,Allied Moulded AMP1426LF,Allied Moulded AM1426T,Allied Moulded AMHS075,Allied Moulded PLA142,Allied Moulded PL142,Allied Moulded AMPOLEMNT12,Allied Moulded PG142</t>
  </si>
  <si>
    <t>Allied Moulded AMU1426TF ULTRALINE AMU Series JIC Size Fiberglass Enclosure 14" x 12" x 6" (HxWxD) Approx. Inside Dimensions Lockable Twist Latch Hinged Cover.</t>
  </si>
  <si>
    <t>Allied-Moulded-AMU1426TF.jpg</t>
  </si>
  <si>
    <t>Allied Moulded AMU1426W Enclosure 14" x 12" x 6"</t>
  </si>
  <si>
    <t>Allied Moulded AMU1426W</t>
  </si>
  <si>
    <t>AMU1426W</t>
  </si>
  <si>
    <t>Allied Moulded PLA142,Allied Moulded PF142,Allied Moulded HFPU142,Allied Moulded PL142,Allied Moulded AMU1426CC,Allied Moulded AM1426W,Allied Moulded PG142,Allied Moulded AMU1426LW,Allied Moulded AMP1426CC,Allied Moulded AMHS075</t>
  </si>
  <si>
    <t>Allied Moulded AMU1426W ULTRALINE AMU Series JIC Size Fiberglass Enclosure 14" x 12" x 6" (HxWxD) Approx. Inside Dimensions Lift-Off Screw Cover.</t>
  </si>
  <si>
    <t>Allied-Moulded-AMU1426W.jpg</t>
  </si>
  <si>
    <t>Allied Moulded AMU1426WF Enclosure 14" x 12" x 6"</t>
  </si>
  <si>
    <t>Allied Moulded AMU1426WF</t>
  </si>
  <si>
    <t>AMU1426WF</t>
  </si>
  <si>
    <t>Allied Moulded AMHS075,Allied Moulded AMPOLEMNT12,Allied Moulded HFPU142,Allied Moulded AMP1426CCF,Allied Moulded AMU1426TWF,Allied Moulded PG142,Allied Moulded AMU1426CCF,Allied Moulded AM1426W,Allied Moulded PLA142,Allied Moulded PL142,Allied Moulded PF142</t>
  </si>
  <si>
    <t>Allied Moulded AMU1426WF ULTRALINE AMU Series JIC Size Fiberglass Enclosure 14" x 12" x 6" (HxWxD) Approx. Inside Dimensions Lift-Off Screw Cover.</t>
  </si>
  <si>
    <t>Allied-Moulded-AMU1426WF.jpg</t>
  </si>
  <si>
    <t>Allied Moulded AMU1426HW Enclosure 14" x 12" x 6"</t>
  </si>
  <si>
    <t>Allied Moulded AMU1426HW</t>
  </si>
  <si>
    <t>AMU1426HW</t>
  </si>
  <si>
    <t>Allied Moulded PL142,Allied Moulded AMHS075,Allied Moulded AMU1426CCH,Allied Moulded PG142,Allied Moulded AM1426H,Allied Moulded AMU1426LW,Allied Moulded HFPU142,Allied Moulded PF142,Allied Moulded PLA142,Allied Moulded AMP1426CCH</t>
  </si>
  <si>
    <t>Allied Moulded AMU1426HW ULTRALINE AMU Series JIC Size Fiberglass Enclosure 14" x 12" x 6" (HxWxD) Approx. Inside Dimensions Hinged Screw Cover.</t>
  </si>
  <si>
    <t>Allied-Moulded-AMU1426HW.jpg</t>
  </si>
  <si>
    <t>Allied Moulded AMU1426HWF Enclosure 14" x 12" x 6"</t>
  </si>
  <si>
    <t>Allied Moulded AMU1426HWF</t>
  </si>
  <si>
    <t>AMU1426HWF</t>
  </si>
  <si>
    <t>Allied Moulded AMU1426TWF,Allied Moulded PF142,Allied Moulded PL142,Allied Moulded AMU1426CCHF,Allied Moulded HFPU142,Allied Moulded AMPOLEMNT12,Allied Moulded AMP1426CCHF,Allied Moulded PG142,Allied Moulded PLA142,Allied Moulded AMHS075,Allied Moulded AM1426HW</t>
  </si>
  <si>
    <t>Allied Moulded AMU1426HWF ULTRALINE AMU Series JIC Size Fiberglass Enclosure 14" x 12" x 6" (HxWxD) Approx. Inside Dimensions Hinged Screw Cover.</t>
  </si>
  <si>
    <t>Allied-Moulded-AMU1426HWF.jpg</t>
  </si>
  <si>
    <t>Allied Moulded AMU1426LW Enclosure 14" x 12" x 6"</t>
  </si>
  <si>
    <t>Allied Moulded AMU1426LW</t>
  </si>
  <si>
    <t>AMU1426LW</t>
  </si>
  <si>
    <t>Allied Moulded AM1426LW,Allied Moulded AMU1426CCL,Allied Moulded AMP1426CCL,Allied Moulded PF142,Allied Moulded HFPU142,Allied Moulded PL142,Allied Moulded PLA142,Allied Moulded AMHS075,Allied Moulded AMU1426TW,Allied Moulded PG142</t>
  </si>
  <si>
    <t>Allied Moulded AMU1426LW ULTRALINE AMU Series JIC Size Fiberglass Enclosure 14" x 12" x 6" (HxWxD) Approx. Inside Dimensions Metal Snap Latch Hinged Cover.</t>
  </si>
  <si>
    <t>Allied-Moulded-AMU1426LW.jpg</t>
  </si>
  <si>
    <t>Allied Moulded AMU1426LWF Enclosure 14" x 12" x 6"</t>
  </si>
  <si>
    <t>Allied Moulded AMU1426LWF</t>
  </si>
  <si>
    <t>AMU1426LWF</t>
  </si>
  <si>
    <t>Allied Moulded AMU1426CCLF,Allied Moulded AMPOLEMNT12,Allied Moulded HFPU142,Allied Moulded PL142,Allied Moulded AM1426LW,Allied Moulded AMU1426TWF,Allied Moulded AMHS075,Allied Moulded PG142,Allied Moulded PLA142,Allied Moulded AMP1426CCLF,Allied Moulded PF142</t>
  </si>
  <si>
    <t>Allied Moulded AMU1426LWF ULTRALINE AMU Series JIC Size Fiberglass Enclosure 14" x 12" x 6" (HxWxD) Approx. Inside Dimensions Metal Snap Latch Hinged Cover.</t>
  </si>
  <si>
    <t>Allied-Moulded-AMU1426LWF.jpg</t>
  </si>
  <si>
    <t>Allied Moulded AMU1426NLW Enclosure 14" x 12" x 6"</t>
  </si>
  <si>
    <t>Allied Moulded AMU1426NLW</t>
  </si>
  <si>
    <t>AMU1426NLW</t>
  </si>
  <si>
    <t>Allied Moulded PL142,Allied Moulded AMU1426TW,Allied Moulded AMU1426CCL,Allied Moulded AM1426LW,Allied Moulded PG142,Allied Moulded AMP1426CCL,Allied Moulded AMHS075,Allied Moulded PLA142,Allied Moulded PF142,Allied Moulded HFPU142</t>
  </si>
  <si>
    <t>Allied Moulded AMU1426NLW ULTRALINE AMU Series JIC Size Fiberglass Enclosure with Windows 14" x 12" x 6" (HxWxD) Approx. Inside Dimensions Nonmetallic Snap Latch Hinged Cover.</t>
  </si>
  <si>
    <t>Allied-Moulded-AMU1426NLW.jpg</t>
  </si>
  <si>
    <t>Allied Moulded AMU1426NLWF Enclosure 14" x 12" x 6"</t>
  </si>
  <si>
    <t>Allied Moulded AMU1426NLWF</t>
  </si>
  <si>
    <t>AMU1426NLWF</t>
  </si>
  <si>
    <t>Allied Moulded AM1426LW,Allied Moulded PG142,Allied Moulded PLA142,Allied Moulded AMU1426TWF,Allied Moulded AMHS075,Allied Moulded PL142,Allied Moulded HFPU142,Allied Moulded PF142,Allied Moulded AMU1426CCLF,Allied Moulded AMPOLEMNT12,Allied Moulded AMP1426CCLF</t>
  </si>
  <si>
    <t>Allied Moulded AMU1426NLWF ULTRALINE AMU Series JIC Size Fiberglass Enclosure with Windows 14" x 12" x 6" (HxWxD) Approx. Inside Dimensions Nonmetallic Snap Latch Hinged Cover.</t>
  </si>
  <si>
    <t>Allied-Moulded-AMU1426NLWF.jpg</t>
  </si>
  <si>
    <t>Allied Moulded AMU1426TW Enclosure 14" x 12" x 6"</t>
  </si>
  <si>
    <t>Allied Moulded AMU1426TW</t>
  </si>
  <si>
    <t>AMU1426TW</t>
  </si>
  <si>
    <t>Allied Moulded AMU1426LW,Allied Moulded HFPU142,Allied Moulded PLA142,Allied Moulded PL142,Allied Moulded AMU1426CCT,Allied Moulded AMHS075,Allied Moulded PF142,Allied Moulded AM1426TW,Allied Moulded AMP1426CCL,Allied Moulded PG142</t>
  </si>
  <si>
    <t>Allied Moulded AMU1426TW ULTRALINE AMU Series JIC Size Fiberglass Enclosure with Windows 14" x 12" x 6" (HxWxD) Approx. Inside Dimensions Lockable Twist Latch Hinged Cover.</t>
  </si>
  <si>
    <t>Allied-Moulded-AMU1426TW.jpg</t>
  </si>
  <si>
    <t>Allied Moulded AMU1426TWF Enclosure 14" x 12" x 6"</t>
  </si>
  <si>
    <t>Allied Moulded AMU1426TWF</t>
  </si>
  <si>
    <t>AMU1426TWF</t>
  </si>
  <si>
    <t>Allied Moulded AM1426TW,Allied Moulded AMPOLEMNT12,Allied Moulded AMU1426LWF,Allied Moulded PG142,Allied Moulded AMP1426CCLF,Allied Moulded PL142,Allied Moulded PF142,Allied Moulded HFPU142,Allied Moulded PLA142,Allied Moulded AMU1426CCTF,Allied Moulded AMHS075</t>
  </si>
  <si>
    <t>Allied Moulded AMU1426TWF ULTRALINE AMU Series JIC Size Fiberglass Enclosure with Windows 14" x 12" x 6" (HxWxD) Approx. Inside Dimensions Lockable Twist Latch Hinged Cover.</t>
  </si>
  <si>
    <t>Allied-Moulded-AMU1426TWF.jpg</t>
  </si>
  <si>
    <t>Allied Moulded AMU1426CC Enclosure 14" x 12" x 6"</t>
  </si>
  <si>
    <t>Allied Moulded AMU1426CC</t>
  </si>
  <si>
    <t>AMU1426CC</t>
  </si>
  <si>
    <t>Allied Moulded PF142,Allied Moulded PLA142,Allied Moulded AMU1426CCT,Allied Moulded HFPU142,Allied Moulded AM1426W,Allied Moulded PL142,Allied Moulded PG142,Allied Moulded AMU1426,Allied Moulded AMP1426CC,Allied Moulded AMHS075</t>
  </si>
  <si>
    <t>Allied Moulded AMU1426CC ULTRALINE AMU Series JIC Size Fiberglass Enclosure with Clear Covers 14" x 12" x 6" (HxWxD) Approx. Inside Dimensions Lift-Off Screw Cover.</t>
  </si>
  <si>
    <t>Allied-Moulded-AMU1426CC.jpg</t>
  </si>
  <si>
    <t>Allied Moulded AMU1426CCF Enclosure 14" x 12" x 6"</t>
  </si>
  <si>
    <t>Allied Moulded AMU1426CCF</t>
  </si>
  <si>
    <t>AMU1426CCF</t>
  </si>
  <si>
    <t>Allied Moulded AMHS075,Allied Moulded PL142,Allied Moulded PLA142,Allied Moulded AM1426W,Allied Moulded HFPU142,Allied Moulded AMU1426CCLF,Allied Moulded AMPOLEMNT12,Allied Moulded PG142,Allied Moulded AMP1426CCF,Allied Moulded PF142,Allied Moulded AMU1426</t>
  </si>
  <si>
    <t>Allied Moulded AMU1426CCF ULTRALINE AMU Series JIC Size Fiberglass Enclosure with Clear Covers 14" x 12" x 6" (HxWxD) Approx. Inside Dimensions Lift-Off Screw Cover.</t>
  </si>
  <si>
    <t>Allied-Moulded-AMU1426CCF.jpg</t>
  </si>
  <si>
    <t>Allied Moulded AMU1426CCH Enclosure 14" x 12" x 6"</t>
  </si>
  <si>
    <t>Allied Moulded AMU1426CCH</t>
  </si>
  <si>
    <t>AMU1426CCH</t>
  </si>
  <si>
    <t>Allied Moulded AMP1426CCH,Allied Moulded AMU1426CCT,Allied Moulded PG142,Allied Moulded AM1426HW,Allied Moulded PL142,Allied Moulded AMHS075,Allied Moulded PLA142,Allied Moulded HFPU142,Allied Moulded PF142,Allied Moulded AMU1426H</t>
  </si>
  <si>
    <t>Allied Moulded AMU1426CCH ULTRALINE AMU Series JIC Size Fiberglass Enclosure with Clear Covers 14" x 12" x 6" (HxWxD) Approx. Inside Dimensions Hinged Screw Cover.</t>
  </si>
  <si>
    <t>Allied-Moulded-AMU1426CCH.jpg</t>
  </si>
  <si>
    <t>Allied Moulded AMU1426CCHF Enclosure 14" x 12" x 6"</t>
  </si>
  <si>
    <t>Allied Moulded AMU1426CCHF</t>
  </si>
  <si>
    <t>AMU1426CCHF</t>
  </si>
  <si>
    <t>Allied Moulded AMP1426CCHF,Allied Moulded AMPOLEMNT12,Allied Moulded PL142,Allied Moulded AMHS075,Allied Moulded AMU1426HF,Allied Moulded PG142,Allied Moulded AMU1426CCLF,Allied Moulded AM1426HW,Allied Moulded PLA142,Allied Moulded HFPU142,Allied Moulded PF142</t>
  </si>
  <si>
    <t>Allied Moulded AMU1426CCHF ULTRALINE AMU Series JIC Size Fiberglass Enclosure with Clear Covers 14" x 12" x 6" (HxWxD) Approx. Inside Dimensions Hinged Screw Cover.</t>
  </si>
  <si>
    <t>Allied-Moulded-AMU1426CCHF.jpg</t>
  </si>
  <si>
    <t>Allied Moulded AMU1426CCL Enclosure 14" x 12" x 6"</t>
  </si>
  <si>
    <t>Allied Moulded AMU1426CCL</t>
  </si>
  <si>
    <t>AMU1426CCL</t>
  </si>
  <si>
    <t>Allied Moulded PL142,Allied Moulded PLA142,Allied Moulded AMP1426CCL,Allied Moulded HFPU142,Allied Moulded AMU1426L,Allied Moulded AMHS075,Allied Moulded AMU1426CCT,Allied Moulded PF142,Allied Moulded AM1426LW,Allied Moulded PG142</t>
  </si>
  <si>
    <t>Allied Moulded AMU1426CCL ULTRALINE AMU Series JIC Size Fiberglass Enclosure with Clear Covers 14" x 12" x 6" (HxWxD) Approx. Inside Dimensions Metal Snap Latch Hinged Cover.</t>
  </si>
  <si>
    <t>Allied-Moulded-AMU1426CCL.jpg</t>
  </si>
  <si>
    <t>Allied Moulded AMU1426CCLF Enclosure 14" x 12" x 6"</t>
  </si>
  <si>
    <t>Allied Moulded AMU1426CCLF</t>
  </si>
  <si>
    <t>AMU1426CCLF</t>
  </si>
  <si>
    <t>Allied Moulded AMHS075,Allied Moulded PLA142,Allied Moulded AMP1426CCLF,Allied Moulded PF142,Allied Moulded AMU1426CCTF,Allied Moulded PG142,Allied Moulded AM1426L,Allied Moulded PL142,Allied Moulded HFPU142,Allied Moulded AMU1426LF,Allied Moulded AMPOLEMNT12</t>
  </si>
  <si>
    <t>Allied Moulded AMU1426CCLF ULTRALINE AMU Series JIC Size Fiberglass Enclosure with Clear Covers 14" x 12" x 6" (HxWxD) Approx. Inside Dimensions Metal Snap Latch Hinged Cover.</t>
  </si>
  <si>
    <t>Allied-Moulded-AMU1426CCLF.jpg</t>
  </si>
  <si>
    <t>Allied Moulded AMU1426CCNL Enclosure 14" x 12" x 6"</t>
  </si>
  <si>
    <t>Allied Moulded AMU1426CCNL</t>
  </si>
  <si>
    <t>AMU1426CCNL</t>
  </si>
  <si>
    <t>Allied Moulded AMU1426CCT,Allied Moulded PLA142,Allied Moulded AMHS075,Allied Moulded AM1426LW,Allied Moulded PL142,Allied Moulded PG142,Allied Moulded HFPU142,Allied Moulded AMU1426L,Allied Moulded AMP1426CCL,Allied Moulded PF142</t>
  </si>
  <si>
    <t>Allied Moulded AMU1426CCNL ULTRALINE AMU Series JIC Size Fiberglass Enclosure with Clear Covers 14" x 12" x 6" (HxWxD) Approx. Inside Dimensions Nonmetallic Snap Latch Hinged Cover.</t>
  </si>
  <si>
    <t>Allied-Moulded-AMU1426CCNL.jpg</t>
  </si>
  <si>
    <t>Allied Moulded AMU1426CCNLF Enclosure 14" x 12" x 6"</t>
  </si>
  <si>
    <t>Allied Moulded AMU1426CCNLF</t>
  </si>
  <si>
    <t>AMU1426CCNLF</t>
  </si>
  <si>
    <t>Allied Moulded PF142,Allied Moulded AMHS075,Allied Moulded AMP1426CCLF,Allied Moulded AM1426L,Allied Moulded AMPOLEMNT12,Allied Moulded AMU1426LF,Allied Moulded HFPU142,Allied Moulded PG142,Allied Moulded PL142,Allied Moulded PLA142,Allied Moulded AMU1426CCTF</t>
  </si>
  <si>
    <t>Allied Moulded AMU1426CCNLF ULTRALINE AMU Series JIC Size Fiberglass Enclosure with Clear Covers 14" x 12" x 6" (HxWxD) Approx. Inside Dimensions Nonmetallic Snap Latch Hinged Cover.</t>
  </si>
  <si>
    <t>Allied-Moulded-AMU1426CCNLF.jpg</t>
  </si>
  <si>
    <t>Allied Moulded AMU1426CCT Enclosure 14" x 12" x 6"</t>
  </si>
  <si>
    <t>Allied Moulded AMU1426CCT</t>
  </si>
  <si>
    <t>AMU1426CCT</t>
  </si>
  <si>
    <t>Allied Moulded AMP1426CCL,Allied Moulded HFPU142,Allied Moulded AM1426T,Allied Moulded AMU1426CCH,Allied Moulded PL142,Allied Moulded AMHS075,Allied Moulded PF142,Allied Moulded PG142,Allied Moulded PLA142,Allied Moulded AMU1426T</t>
  </si>
  <si>
    <t>Allied Moulded AMU1426CCT ULTRALINE AMU Series JIC Size Fiberglass Enclosure with Clear Covers 14" x 12" x 6" (HxWxD) Approx. Inside Dimensions Lockable Twist Latch Hinged Cover.</t>
  </si>
  <si>
    <t>Allied-Moulded-AMU1426CCT.jpg</t>
  </si>
  <si>
    <t>Allied Moulded AMU1426CCTF Enclosure 14" x 12" x 6"</t>
  </si>
  <si>
    <t>Allied Moulded AMU1426CCTF</t>
  </si>
  <si>
    <t>AMU1426CCTF</t>
  </si>
  <si>
    <t>Allied Moulded PF142,Allied Moulded HFPU142,Allied Moulded AMU1426CCLF,Allied Moulded AMP1426CCLF,Allied Moulded AM1426T,Allied Moulded PL142,Allied Moulded AMHS075,Allied Moulded PLA142,Allied Moulded PG142,Allied Moulded AMPOLEMNT12,Allied Moulded AMU1426TF</t>
  </si>
  <si>
    <t>Allied Moulded AMU1426CCTF ULTRALINE AMU Series JIC Size Fiberglass Enclosure with Clear Covers 14" x 12" x 6" (HxWxD) Approx. Inside Dimensions Lockable Twist Latch Hinged Cover.</t>
  </si>
  <si>
    <t>Allied-Moulded-AMU1426CCTF.jpg</t>
  </si>
  <si>
    <t>Allied Moulded AMP1426CCLF Enclosure 14" x 12" x 6"</t>
  </si>
  <si>
    <t>Allied Moulded AMP1426CCLF</t>
  </si>
  <si>
    <t>AMP1426CCLF</t>
  </si>
  <si>
    <t>Allied Moulded AMPOLEMNT12,Allied Moulded HFPP142,Allied Moulded PLA142,Allied Moulded AMU1426LF,Allied Moulded PLPVC142,Allied Moulded AM1426LW,Allied Moulded AMP1426LF,Allied Moulded PL142,Allied Moulded AMP1426CCNLF,Allied Moulded AMHS075</t>
  </si>
  <si>
    <t>Allied Moulded AMP1426CCLF POLYLINE AMP Series JIC Size Polycarbonate Enclosure with Clear Covers 14" x 12" x 6" (HxWxD) Approx. Inside Dimensions Stainless Steel Lockable Snap Latch Hinged Cover.</t>
  </si>
  <si>
    <t>Allied-Moulded-AMP1426CCLF.jpg</t>
  </si>
  <si>
    <t>Allied Moulded AMP1426HF Enclosure 14" x 12" x 6"</t>
  </si>
  <si>
    <t>Allied Moulded AMP1426HF</t>
  </si>
  <si>
    <t>AMP1426HF</t>
  </si>
  <si>
    <t>Allied Moulded PL142,Allied Moulded AMHS075,Allied Moulded PLA142,Allied Moulded AMU1426HF,Allied Moulded AMPOLEMNT12,Allied Moulded HFPP142,Allied Moulded AMP1426NLF,Allied Moulded PLPVC142,Allied Moulded AMP1426CCHF,Allied Moulded AM1426H</t>
  </si>
  <si>
    <t>Allied Moulded AMP1426HF POLYLINE AMP Series JIC Size Polycarbonate 14" x 12" x 6" (HxWxD) Approx. Inside Dimensions Hinged Screw Cover.</t>
  </si>
  <si>
    <t>Allied-Moulded-AMP1426HF.jpg</t>
  </si>
  <si>
    <t>Allied Moulded AMP1426LF Enclosure 14" x 12" x 6"</t>
  </si>
  <si>
    <t>Allied Moulded AMP1426LF</t>
  </si>
  <si>
    <t>AMP1426LF</t>
  </si>
  <si>
    <t>Allied Moulded PL142,Allied Moulded AMHS075,Allied Moulded PLA142,Allied Moulded HFPP142,Allied Moulded AM1426L,Allied Moulded AMP1426NLF,Allied Moulded AMU1426LF,Allied Moulded PLPVC142,Allied Moulded AMPOLEMNT12,Allied Moulded AMP1426CCLF</t>
  </si>
  <si>
    <t>Allied Moulded AMP1426LF POLYLINE AMP Series JIC Size Polycarbonate 14" x 12" x 6" (HxWxD) Approx. Inside Dimensions Stainless Steel Lockable Snap Latch Hinged Cover.</t>
  </si>
  <si>
    <t>Allied-Moulded-AMP1426LF.jpg</t>
  </si>
  <si>
    <t>Allied Moulded AMP1426NLF Enclosure 14" x 12" x 6"</t>
  </si>
  <si>
    <t>Allied Moulded AMP1426NLF</t>
  </si>
  <si>
    <t>AMP1426NLF</t>
  </si>
  <si>
    <t>Allied Moulded PL142,Allied Moulded AMU1426LF,Allied Moulded PLPVC142,Allied Moulded AMP1426CCNLF,Allied Moulded HFPP142,Allied Moulded PLA142,Allied Moulded AM1426L,Allied Moulded AMP1426F,Allied Moulded AMHS075,Allied Moulded AMPOLEMNT12</t>
  </si>
  <si>
    <t>Allied Moulded AMP1426NLF POLYLINE AMP Series JIC Size Polycarbonate 14" x 12" x 6" (HxWxD) Approx. Inside Dimensions Nonmetallic Snap Latch Hinged Cover.</t>
  </si>
  <si>
    <t>Allied-Moulded-AMP1426NLF.jpg</t>
  </si>
  <si>
    <t>Allied Moulded AMP1426CC Enclosure 14" x 12" x 6"</t>
  </si>
  <si>
    <t>Allied Moulded AMP1426CC</t>
  </si>
  <si>
    <t>AMP1426CC</t>
  </si>
  <si>
    <t>Allied Moulded PLPVC142,Allied Moulded AMP1426CCNL,Allied Moulded AMU1426CC,Allied Moulded AM1426W,Allied Moulded PL142,Allied Moulded AMP1426,Allied Moulded PLA142,Allied Moulded AMHS075,Allied Moulded HFPP142</t>
  </si>
  <si>
    <t>Allied Moulded AMP1426CC POLYLINE AMP Series JIC Size Polycarbonate Enclosure with Clear Covers 14" x 12" x 6" (HxWxD) Approx. Inside Dimensions Lift-Off Screw Cover.</t>
  </si>
  <si>
    <t>Allied-Moulded-AMP1426CC.jpg</t>
  </si>
  <si>
    <t>Allied Moulded AMP1426CCF Enclosure 14" x 12" x 6"</t>
  </si>
  <si>
    <t>Allied Moulded AMP1426CCF</t>
  </si>
  <si>
    <t>AMP1426CCF</t>
  </si>
  <si>
    <t>Allied Moulded PLPVC142,Allied Moulded HFPP142,Allied Moulded AMHS075,Allied Moulded PL142,Allied Moulded AMPOLEMNT12,Allied Moulded AM1426W,Allied Moulded AMP1426F,Allied Moulded AMU1426CCF,Allied Moulded AMP1426CCLF,Allied Moulded PLA142</t>
  </si>
  <si>
    <t>Allied Moulded AMP1426CCF POLYLINE AMP Series JIC Size Polycarbonate Enclosure with Clear Covers 14" x 12" x 6" (HxWxD) Approx. Inside Dimensions Lift-Off Screw Cover.</t>
  </si>
  <si>
    <t>Allied-Moulded-AMP1426CCF.jpg</t>
  </si>
  <si>
    <t>Allied Moulded AMP1426CCH Enclosure 14" x 12" x 6"</t>
  </si>
  <si>
    <t>Allied Moulded AMP1426CCH</t>
  </si>
  <si>
    <t>AMP1426CCH</t>
  </si>
  <si>
    <t>Allied Moulded AMP1426H,Allied Moulded AMP1426CCNL,Allied Moulded AM1426HW,Allied Moulded AMU1426CCH,Allied Moulded PLPVC142,Allied Moulded PL142,Allied Moulded AMHS075,Allied Moulded HFPP142,Allied Moulded PLA142</t>
  </si>
  <si>
    <t>Allied Moulded AMP1426CCH POLYLINE AMP Series JIC Size Polycarbonate Enclosure with Clear Covers 14" x 12" x 6" (HxWxD) Approx. Inside Dimensions Hinged Screw Cover.</t>
  </si>
  <si>
    <t>Allied-Moulded-AMP1426CCH.jpg</t>
  </si>
  <si>
    <t>Allied Moulded AMP1426CCHF Enclosure 14" x 12" x 6"</t>
  </si>
  <si>
    <t>Allied Moulded AMP1426CCHF</t>
  </si>
  <si>
    <t>AMP1426CCHF</t>
  </si>
  <si>
    <t>Allied Moulded AMP1426HF,Allied Moulded AMHS075,Allied Moulded AMPOLEMNT12,Allied Moulded HFPP142,Allied Moulded AMP1426CCLF,Allied Moulded PL142,Allied Moulded AMU1426CCHF,Allied Moulded PLA142,Allied Moulded PLPVC142,Allied Moulded AM1426H</t>
  </si>
  <si>
    <t>Allied Moulded AMP1426CCHF POLYLINE AMP Series JIC Size Polycarbonate Enclosure with Clear Covers 14" x 12" x 6" (HxWxD) Approx. Inside Dimensions Hinged Screw Cover.</t>
  </si>
  <si>
    <t>Allied-Moulded-AMP1426CCHF.jpg</t>
  </si>
  <si>
    <t>Allied Moulded AMP1426CCL Enclosure 14" x 12" x 6"</t>
  </si>
  <si>
    <t>Allied Moulded AMP1426CCL</t>
  </si>
  <si>
    <t>AMP1426CCL</t>
  </si>
  <si>
    <t>Allied Moulded AM1426L,Allied Moulded AMHS075,Allied Moulded PL142,Allied Moulded PLA142,Allied Moulded AMP1426CCNL,Allied Moulded HFPP142,Allied Moulded PLPVC142,Allied Moulded AM1426LW,Allied Moulded AMU1426CCL</t>
  </si>
  <si>
    <t>Allied Moulded AMP1426CCL POLYLINE AMP Series JIC Size Polycarbonate Enclosure with Clear Covers 14" x 12" x 6" (HxWxD) Approx. Inside Dimensions Stainless Steel Lockable Snap Latch Hinged Cover.</t>
  </si>
  <si>
    <t>Allied-Moulded-AMP1426CCL.jpg</t>
  </si>
  <si>
    <t>Allied Moulded AMP1426CCNLF Enclosure 14" x 12" x 6"</t>
  </si>
  <si>
    <t>Allied Moulded AMP1426CCNLF</t>
  </si>
  <si>
    <t>AMP1426CCNLF</t>
  </si>
  <si>
    <t>Allied Moulded AMP1426NLF,Allied Moulded PL142,Allied Moulded AMPOLEMNT12,Allied Moulded PLPVC142,Allied Moulded AMHS075,Allied Moulded HFPP142,Allied Moulded PLA142,Allied Moulded AMP1426CCF,Allied Moulded AM1426LW,Allied Moulded AMU1426CCLF</t>
  </si>
  <si>
    <t>Allied Moulded AMP1426CCNLF POLYLINE AMP Series JIC Size Polycarbonate Enclosure with Clear Covers 14" x 12" x 6" (HxWxD) Approx. Inside Dimensions Nonmetallic Snap Latch Hinged Cover.</t>
  </si>
  <si>
    <t>Allied-Moulded-AMP1426CCNLF.jpg</t>
  </si>
  <si>
    <t>Allied Moulded AMP1426 Enclosure 14" x 12" x 6"</t>
  </si>
  <si>
    <t>Allied Moulded AMP1426</t>
  </si>
  <si>
    <t>AMP1426</t>
  </si>
  <si>
    <t>Allied Moulded AMHS075,Allied Moulded HFPP142,Allied Moulded PLPVC142,Allied Moulded PLA142,Allied Moulded AMP1426CC,Allied Moulded AM1426,Allied Moulded AMU1426,Allied Moulded AMP1426L,Allied Moulded PL142</t>
  </si>
  <si>
    <t>Allied Moulded AMP1426 POLYLINE AMP Series JIC Size Polycarbonate 14" x 12" x 6" (HxWxD) Approx. Inside Dimensions Lift-Off Screw Cover.</t>
  </si>
  <si>
    <t>Allied-Moulded-AMP1426.jpg</t>
  </si>
  <si>
    <t>Allied Moulded AMP1426F Enclosure 14" x 12" x 6"</t>
  </si>
  <si>
    <t>Allied Moulded AMP1426F</t>
  </si>
  <si>
    <t>AMP1426F</t>
  </si>
  <si>
    <t>Allied Moulded PL142,Allied Moulded PLPVC142,Allied Moulded AMPOLEMNT12,Allied Moulded AM1426,Allied Moulded AMHS075,Allied Moulded AMU1426F,Allied Moulded HFPP142,Allied Moulded PLA142,Allied Moulded AMP1426CCF,Allied Moulded AMP1426LF</t>
  </si>
  <si>
    <t>Allied Moulded AMP1426F POLYLINE AMP Series JIC Size Polycarbonate 14" x 12" x 6" (HxWxD) Approx. Inside Dimensions Lift-Off Screw Cover.</t>
  </si>
  <si>
    <t>Allied-Moulded-AMP1426F.jpg</t>
  </si>
  <si>
    <t>Allied Moulded AMP1426H Enclosure 14" x 12" x 6"</t>
  </si>
  <si>
    <t>Allied Moulded AMP1426H</t>
  </si>
  <si>
    <t>AMP1426H</t>
  </si>
  <si>
    <t>Allied Moulded HFPP142,Allied Moulded PLPVC142,Allied Moulded AM1426H,Allied Moulded AMP1426L,Allied Moulded AMHS075,Allied Moulded PLA142,Allied Moulded PL142,Allied Moulded AMP1426CCH,Allied Moulded AMU1426H</t>
  </si>
  <si>
    <t>Allied Moulded AMP1426H POLYLINE AMP Series JIC Size Polycarbonate 14" x 12" x 6" (HxWxD) Approx. Inside Dimensions Hinged Screw Cover.</t>
  </si>
  <si>
    <t>Allied-Moulded-AMP1426H.jpg</t>
  </si>
  <si>
    <t>Allied Moulded AMP1426L Enclosure 14" x 12" x 6"</t>
  </si>
  <si>
    <t>Allied Moulded AMP1426L</t>
  </si>
  <si>
    <t>AMP1426L</t>
  </si>
  <si>
    <t>Allied Moulded PL142,Allied Moulded AMU1426L,Allied Moulded AMP1426,Allied Moulded PLPVC142,Allied Moulded AMP1426CCL,Allied Moulded HFPP142,Allied Moulded AMHS075,Allied Moulded AM1426L,Allied Moulded PLA142</t>
  </si>
  <si>
    <t>Allied Moulded AMP1426L POLYLINE AMP Series JIC Size Polycarbonate 14" x 12" x 6" (HxWxD) Approx. Inside Dimensions Stainless Steel Lockable Snap Latch Hinged Cover.</t>
  </si>
  <si>
    <t>Allied-Moulded-AMP1426L.jpg</t>
  </si>
  <si>
    <t>Allied Moulded AMP1426NL Enclosure 14" x 12" x 6"</t>
  </si>
  <si>
    <t>Allied Moulded AMP1426NL</t>
  </si>
  <si>
    <t>AMP1426NL</t>
  </si>
  <si>
    <t>Allied Moulded AM1426L,Allied Moulded PLPVC142,Allied Moulded PLA142,Allied Moulded AMU1426L,Allied Moulded AMP1426L,Allied Moulded AMHS075,Allied Moulded AMP1426CCNL,Allied Moulded PL142,Allied Moulded HFPP142</t>
  </si>
  <si>
    <t>Allied Moulded AMP1426NL POLYLINE AMP Series JIC Size Polycarbonate 14" x 12" x 6" (HxWxD) Approx. Inside Dimensions Nonmetallic Snap Latch Hinged Cover.</t>
  </si>
  <si>
    <t>Allied-Moulded-AMP1426NL.jpg</t>
  </si>
  <si>
    <t>Allied Moulded AM1648LW ULTRAGUARD Fiberglass reinforced polyester Type 4x Small Window Junction Box</t>
  </si>
  <si>
    <t>Allied Moulded AM1648LW</t>
  </si>
  <si>
    <t>AM1648LW</t>
  </si>
  <si>
    <t>Allied Moulded AMHS075,Allied Moulded PF164,Allied Moulded P164,Allied Moulded PA164,Allied Moulded AMU1648LW,Allied Moulded AM1648RL,Allied Moulded AMPOLEMNT14,Allied Moulded PG164</t>
  </si>
  <si>
    <t>Allied Moulded AM1648LW ULTRAGUARD Fiberglass reinforced polyester Type 4x Window Junction Box Enclosure 16" x 14" x 8" (HXWXD) Inside Dimension. Bonded clear polycarbonate cover hinged with lockable clamp latch. 316 Stainless Steel hinge, latch, external hardware and plated carbon steel internal hardware.</t>
  </si>
  <si>
    <t>Allied Moulded AM1648LW ULTRAGUARD Fiberglass reinforced polyester Type 4x Window Junction Box Enclosure 16" x 14" x 8" (HXWXD). Bonded clear polycarbonate cover hinged with lockable clamp latch. 316 Stainless Steel hinge, latch, external hardware and plated carbon steel internal hardware.</t>
  </si>
  <si>
    <t>Allied Moulded AM1648LW Non Metallic Polyester Window Enclosure</t>
  </si>
  <si>
    <t>Allied-Moulded-AM1648LW.jpg</t>
  </si>
  <si>
    <t>Allied Moulded AM1648RH Enclosure 16.00" x 14.00" x 9.75"</t>
  </si>
  <si>
    <t>Allied Moulded AM1648RH</t>
  </si>
  <si>
    <t>AM1648RH</t>
  </si>
  <si>
    <t>Allied Moulded PA164,Allied Moulded PF164,Allied Moulded AMU1648H,Allied Moulded AMPOLEMNT14,Allied Moulded HFP164,Allied Moulded AMHS075,Allied Moulded AM1648RHW,Allied Moulded P164,Allied Moulded PG164</t>
  </si>
  <si>
    <t>Allied Moulded AM1648RH AM-R Series JIC Size Fiberglass Enclosure 16.00" x 14.00" x 9.75" (HxWxD) Approx. Inside Dimensions Raised Hinged Screw Cover.</t>
  </si>
  <si>
    <t>Allied-Moulded-AM1648RH.jpg</t>
  </si>
  <si>
    <t>Allied Moulded AM1648RL Enclosure 16.00" x 14.00" x 9.75"</t>
  </si>
  <si>
    <t>Allied Moulded AM1648RL</t>
  </si>
  <si>
    <t>AM1648RL</t>
  </si>
  <si>
    <t>Allied Moulded PF164,Allied Moulded HFP164,Allied Moulded AMU1648L,Allied Moulded AMPOLEMNT14,Allied Moulded AMHS075,Allied Moulded P164,Allied Moulded PG164,Allied Moulded AM1648RLW,Allied Moulded PA164</t>
  </si>
  <si>
    <t>Allied Moulded AM1648RL AM-R Series JIC Size Fiberglass Enclosure 16.00" x 14.00" x 9.75" (HxWxD) Approx. Inside Dimensions Raised Stainless Steel Lockable Snap Latch Hinged Cover.</t>
  </si>
  <si>
    <t>Allied-Moulded-AM1648RL.jpg</t>
  </si>
  <si>
    <t>Allied Moulded AM1648RT Enclosure 16.00" x 14.00" x 9.75"</t>
  </si>
  <si>
    <t>Allied Moulded AM1648RT</t>
  </si>
  <si>
    <t>AM1648RT</t>
  </si>
  <si>
    <t>Allied Moulded AMHS075,Allied Moulded PG164,Allied Moulded P164,Allied Moulded AMU1648T,Allied Moulded HFP164,Allied Moulded AMPOLEMNT14,Allied Moulded PA164,Allied Moulded AM1648RTW,Allied Moulded PF164</t>
  </si>
  <si>
    <t>Allied Moulded AM1648RT AM-R Series JIC Size Fiberglass Enclosure 16.00" x 14.00" x 9.75" (HxWxD) Approx. Inside Dimensions Raised Stainless Steel Lockable Twist Latch Hinged Cover.</t>
  </si>
  <si>
    <t>Allied-Moulded-AM1648RT.jpg</t>
  </si>
  <si>
    <t>Allied Moulded AM1648RW Enclosure 16.00" x 14.00" x 9.75"</t>
  </si>
  <si>
    <t>Allied Moulded AM1648RW</t>
  </si>
  <si>
    <t>AM1648RW</t>
  </si>
  <si>
    <t>Allied Moulded PF164,Allied Moulded P164,Allied Moulded PG164,Allied Moulded AMPOLEMNT14,Allied Moulded PA164,Allied Moulded AM1648R,Allied Moulded AMHS075,Allied Moulded HFP164,Allied Moulded AMU1648W</t>
  </si>
  <si>
    <t>Allied Moulded AM1648RW AM-R Series JIC Size Fiberglass Enclosure with Windows 16.00" x 14.00" x 9.75" (HxWxD) Approx. Inside Dimensions Raised Lift-Off Screw Cover.</t>
  </si>
  <si>
    <t>Allied-Moulded-AM1648RW.jpg</t>
  </si>
  <si>
    <t>Allied Moulded AM1648RHW Enclosure 16.00" x 14.00" x 9.75"</t>
  </si>
  <si>
    <t>Allied Moulded AM1648RHW</t>
  </si>
  <si>
    <t>AM1648RHW</t>
  </si>
  <si>
    <t>Allied Moulded AMPOLEMNT14,Allied Moulded PF164,Allied Moulded HFP164,Allied Moulded AMHS075,Allied Moulded PA164,Allied Moulded AMU1648HW,Allied Moulded P164,Allied Moulded PG164,Allied Moulded AM1648RH</t>
  </si>
  <si>
    <t>Allied Moulded AM1648RHW AM-R Series JIC Size Fiberglass Enclosure with Windows 16.00" x 14.00" x 9.75" (HxWxD) Approx. Inside Dimensions Raised Hinged Screw Cover.</t>
  </si>
  <si>
    <t>Allied-Moulded-AM1648RHW.jpg</t>
  </si>
  <si>
    <t>Allied Moulded AM1648RLW Enclosure 16.00" x 14.00" x 9.75"</t>
  </si>
  <si>
    <t>Allied Moulded AM1648RLW</t>
  </si>
  <si>
    <t>AM1648RLW</t>
  </si>
  <si>
    <t>Allied Moulded P164,Allied Moulded HFP164,Allied Moulded PA164,Allied Moulded AMHS075,Allied Moulded AMU1648LW,Allied Moulded AMPOLEMNT14,Allied Moulded PF164,Allied Moulded PG164</t>
  </si>
  <si>
    <t>Allied Moulded AM1648RLW AM-R Series JIC Size Fiberglass Enclosure with Windows 16.00" x 14.00" x 9.75" (HxWxD) Approx. Inside Dimensions Raised Stainless Steel Lockable Snap Latch Hinged Cover.</t>
  </si>
  <si>
    <t>Allied-Moulded-AM1648RLW.jpg</t>
  </si>
  <si>
    <t>Allied Moulded AM1648RTW Enclosure 16.00" x 14.00" x 9.75"</t>
  </si>
  <si>
    <t>Allied Moulded AM1648RTW</t>
  </si>
  <si>
    <t>AM1648RTW</t>
  </si>
  <si>
    <t>Allied Moulded P164,Allied Moulded HFP164,Allied Moulded AM1648RT,Allied Moulded AMPOLEMNT14,Allied Moulded AMU1648TW,Allied Moulded AMHS075,Allied Moulded PF164,Allied Moulded PG164,Allied Moulded PA164</t>
  </si>
  <si>
    <t>Allied Moulded AM1648RTW AM-R Series JIC Size Fiberglass Enclosure with Windows 16.00" x 14.00" x 9.75" (HxWxD) Approx. Inside Dimensions Raised Lockable Twist Latch Hinged Cover.</t>
  </si>
  <si>
    <t>Allied-Moulded-AM1648RTW.jpg</t>
  </si>
  <si>
    <t>Allied Moulded AM1648 ULTRAGUARD Fiberglass reinforced polyester Type 4x Small Junction Box</t>
  </si>
  <si>
    <t>Allied Moulded AM1648</t>
  </si>
  <si>
    <t>AM1648</t>
  </si>
  <si>
    <t>Allied Moulded PG164,Allied Moulded P164,Allied Moulded AMHS075,Allied Moulded PA164,Allied Moulded AMU1648,Allied Moulded AM1648RW,Allied Moulded PF164,Allied Moulded AMPOLEMNT14</t>
  </si>
  <si>
    <t>Allied Moulded AM1648 ULTRAGUARD Fiberglass reinforced polyester Type 4x Junction Box Enclosure 16" x 14" x 8" (HXWXD) Inside Dimension. Opaque cover with lift off 4 screw cover. 316 Stainless Steel external hardware and plated carbon steel internal hardware.</t>
  </si>
  <si>
    <t>Allied Moulded AM1648 ULTRAGUARD Fiberglass reinforced polyester Type 4x Junction Box Enclosure 16" x 14" x 8" (HXWXD). Opaque cover with lift off 4 screw cover. 316 Stainless Steel external hardware and plated carbon steel internal hardware.</t>
  </si>
  <si>
    <t>Allied Moulded AM1648 Non Metallic Polyester Enclosure</t>
  </si>
  <si>
    <t>Allied-Moulded-AM1648.jpg</t>
  </si>
  <si>
    <t>Allied Moulded AM1648H ULTRAGUARD Fiberglass reinforced polyester Type 4x Small Junction Box</t>
  </si>
  <si>
    <t>Allied Moulded AM1648H</t>
  </si>
  <si>
    <t>AM1648H</t>
  </si>
  <si>
    <t>Allied Moulded AMPOLEMNT14,Allied Moulded PA164,Allied Moulded AMHS075,Allied Moulded PF164,Allied Moulded P164,Allied Moulded AM1648RHW,Allied Moulded AMU1648H,Allied Moulded PG164</t>
  </si>
  <si>
    <t>Allied Moulded AM1648H ULTRAGUARD Fiberglass reinforced polyester Type 4x Junction Box Enclosure 16" x 14" x 8" (HXWXD) Inside Dimension. Opaque cover with hinged 2 screw cover. 316 Stainless Steel hinge, external hardware and plated carbon steel internal hardware.</t>
  </si>
  <si>
    <t>Allied Moulded AM1648H ULTRAGUARD Fiberglass reinforced polyester Type 4x Junction Box Enclosure 16" x 14" x 8" (HXWXD). Opaque cover with hinged 2 screw cover. 316 Stainless Steel hinge, external hardware and plated carbon steel internal hardware.</t>
  </si>
  <si>
    <t>Allied Moulded AM1648H Non Metallic Polyester Enclosure</t>
  </si>
  <si>
    <t>Allied-Moulded-AM1648H.jpg</t>
  </si>
  <si>
    <t>Allied Moulded AM1648L ULTRAGUARD Fiberglass reinforced polyester Type 4x Small Junction Box</t>
  </si>
  <si>
    <t>Allied Moulded AM1648L</t>
  </si>
  <si>
    <t>AM1648L</t>
  </si>
  <si>
    <t>Allied Moulded AMU1648L,Allied Moulded AM1648RLW,Allied Moulded PA164,Allied Moulded P164,Allied Moulded PF164,Allied Moulded PG164,Allied Moulded AMHS075,Allied Moulded AMPOLEMNT14</t>
  </si>
  <si>
    <t>Allied Moulded AM1648L ULTRAGUARD Fiberglass reinforced polyester Type 4x Junction Box Enclosure 16" x 14" x 8" (HXWXD) Inside Dimension. Opaque cover hinged with lockable clamp latch. 316 Stainless Steel hinge, latch, external hardware and plated carbon steel internal hardware.</t>
  </si>
  <si>
    <t>Allied Moulded AM1648L ULTRAGUARD Fiberglass reinforced polyester Type 4x Junction Box Enclosure 16" x 14" x 8" (HXWXD). Opaque cover hinged with lockable clamp latch. 316 Stainless Steel hinge, latch, external hardware and plated carbon steel internal hardware.</t>
  </si>
  <si>
    <t>Allied Moulded AM1648L Non Metallic Polyester Enclosure</t>
  </si>
  <si>
    <t>Allied-Moulded-AM1648L.jpg</t>
  </si>
  <si>
    <t>Allied Moulded AM1648T ULTRAGUARD Fiberglass reinforced polyester Type 4x Small Junction Box</t>
  </si>
  <si>
    <t>Allied Moulded AM1648T</t>
  </si>
  <si>
    <t>AM1648T</t>
  </si>
  <si>
    <t>Allied Moulded AM1648RTW,Allied Moulded AMU1648T,Allied Moulded PA164,Allied Moulded AMPOLEMNT14,Allied Moulded P164,Allied Moulded AMHS075,Allied Moulded PG164,Allied Moulded PF164</t>
  </si>
  <si>
    <t>Allied Moulded AM1648T ULTRAGUARD Fiberglass reinforced polyester Type 4x Junction Box Enclosure 16" x 14" x 8" (HXWXD) Inside Dimension. Opaque cover hinged with lockable twist latch. 316 Stainless Steel hinge, latch, external hardware and plated carbon steel internal hardware.</t>
  </si>
  <si>
    <t>Allied Moulded AM1648T ULTRAGUARD Fiberglass reinforced polyester Type 4x Junction Box Enclosure 16" x 14" x 8" (HXWXD). Opaque cover hinged with lockable twist latch. 316 Stainless Steel hinge, latch, external hardware and plated carbon steel internal hardware.</t>
  </si>
  <si>
    <t>Allied Moulded AM1648T Non Metallic Polyester Enclosure</t>
  </si>
  <si>
    <t>Allied-Moulded-AM1648T.jpg</t>
  </si>
  <si>
    <t>Allied Moulded AM1648W ULTRAGUARD Fiberglass reinforced polyester Type 4x Small Window Junction Box</t>
  </si>
  <si>
    <t>Allied Moulded AM1648W</t>
  </si>
  <si>
    <t>AM1648W</t>
  </si>
  <si>
    <t>Allied Moulded PA164,Allied Moulded PF164,Allied Moulded AMU1648W,Allied Moulded AMPOLEMNT14,Allied Moulded AMHS075,Allied Moulded P164,Allied Moulded AM1648R,Allied Moulded PG164</t>
  </si>
  <si>
    <t>Allied Moulded AM1648W ULTRAGUARD Fiberglass reinforced polyester Type 4x Window Junction Box Enclosure 16" x 14" x 8" (HXWXD) Inside Dimension. Bonded clear polycarbonate cover with lift off 4 screw cover. 316 Stainless Steel external hardware and plated carbon steel internal hardware.</t>
  </si>
  <si>
    <t>Allied Moulded AM1648W ULTRAGUARD Fiberglass reinforced polyester Type 4x Window Junction Box Enclosure 16" x 14" x 8" (HXWXD). Bonded clear polycarbonate cover with lift off 4 screw cover. 316 Stainless Steel external hardware and plated carbon steel internal hardware.</t>
  </si>
  <si>
    <t>Allied Moulded AM1648W Non Metallic Polyester Window Enclosure</t>
  </si>
  <si>
    <t>Allied-Moulded-AM1648W.jpg</t>
  </si>
  <si>
    <t>Allied Moulded AM1648HW ULTRAGUARD Fiberglass reinforced polyester Type 4x Small Window Junction Box</t>
  </si>
  <si>
    <t>Allied Moulded AM1648HW</t>
  </si>
  <si>
    <t>AM1648HW</t>
  </si>
  <si>
    <t>Allied Moulded AMPOLEMNT14,Allied Moulded AM1648RH,Allied Moulded AMU1648HW,Allied Moulded P164,Allied Moulded AMHS075,Allied Moulded PA164,Allied Moulded PG164,Allied Moulded PF164</t>
  </si>
  <si>
    <t>Allied Moulded AM1648HW ULTRAGUARD Fiberglass reinforced polyester Type 4x Window Junction Box Enclosure 16" x 14" x 8" (HXWXD) Inside Dimension. Bonded clear polycarbonate cover with hinged 2 screw cover. 316 Stainless Steel hinge, external hardware and plated carbon steel internal hardware.</t>
  </si>
  <si>
    <t>Allied Moulded AM1648HW ULTRAGUARD Fiberglass reinforced polyester Type 4x Window Junction Box Enclosure 16" x 14" x 8" (HXWXD). Bonded clear polycarbonate cover with hinged 2 screw cover. 316 Stainless Steel hinge, external hardware and plated carbon steel internal hardware.</t>
  </si>
  <si>
    <t>Allied Moulded AM1648HW Non Metallic Polyester Window Enclosure</t>
  </si>
  <si>
    <t>Allied-Moulded-AM1648HW.jpg</t>
  </si>
  <si>
    <t>Allied Moulded AM1648TW ULTRAGUARD Fiberglass reinforced polyester Type 4x Small Window Junction Box</t>
  </si>
  <si>
    <t>Allied Moulded AM1648TW</t>
  </si>
  <si>
    <t>AM1648TW</t>
  </si>
  <si>
    <t>Allied Moulded AMPOLEMNT14,Allied Moulded PF164,Allied Moulded PA164,Allied Moulded PG164,Allied Moulded P164,Allied Moulded AMHS075,Allied Moulded AM1648RTW,Allied Moulded AMU1648TW</t>
  </si>
  <si>
    <t>Allied Moulded AM1648TW ULTRAGUARD Fiberglass reinforced polyester Type 4x Window Junction Box Enclosure 16" x 14" x 8" (HXWXD) Inside Dimension. Bonded clear polycarbonate cover hinged with lockable twist latch. 316 Stainless Steel hinge, latch, external hardware and plated carbon steel internal hardware.</t>
  </si>
  <si>
    <t>Allied Moulded AM1648TW ULTRAGUARD Fiberglass reinforced polyester Type 4x Window Junction Box Enclosure 16" x 14" x 8" (HXWXD). Bonded clear polycarbonate cover hinged with lockable twist latch. 316 Stainless Steel hinge, latch, external hardware and plated carbon steel internal hardware.</t>
  </si>
  <si>
    <t>Allied Moulded AM1648TW Non Metallic Polyester Window Enclosure</t>
  </si>
  <si>
    <t>Allied-Moulded-AM1648TW.jpg</t>
  </si>
  <si>
    <t>Allied Moulded AM1648R Enclosure 16.00" x 14.00" x 9.75"</t>
  </si>
  <si>
    <t>Allied Moulded AM1648R</t>
  </si>
  <si>
    <t>AM1648R</t>
  </si>
  <si>
    <t>Allied Moulded PG164,Allied Moulded P164,Allied Moulded AM1648RLW,Allied Moulded PA164,Allied Moulded PF164,Allied Moulded AMU1648L,Allied Moulded AMHS075,Allied Moulded AMPOLEMNT14,Allied Moulded HFP164</t>
  </si>
  <si>
    <t>Allied Moulded AM1648R AM-R Series JIC Size Fiberglass Enclosure 16.00" x 14.00" x 9.75" (HxWxD) Approx. Inside Dimensions Raised Lift-Off Screw Cover.</t>
  </si>
  <si>
    <t>Allied-Moulded-AM1648R.jpg</t>
  </si>
  <si>
    <t>Allied Moulded AMU1648LF Enclosure 16" x 14" x 8"</t>
  </si>
  <si>
    <t>Allied Moulded AMU1648LF</t>
  </si>
  <si>
    <t>AMU1648LF</t>
  </si>
  <si>
    <t>Allied Moulded AMHS075,Allied Moulded PA164,Allied Moulded AMU1648CCLF,Allied Moulded AMPOLEMNT14,Allied Moulded P164,Allied Moulded PF164,Allied Moulded AM1648L,Allied Moulded AMU1648TF,Allied Moulded PG164</t>
  </si>
  <si>
    <t>Allied Moulded AMU1648LF ULTRALINE AMU Series JIC Size Fiberglass Enclosure 16" x 14" x 8" (HxWxD) Approx. Inside Dimensions Metal Snap Latch Hinged Cover.</t>
  </si>
  <si>
    <t>Allied-Moulded-AMU1648LF.jpg</t>
  </si>
  <si>
    <t>Allied Moulded AMU1648TF Enclosure 16" x 14" x 8"</t>
  </si>
  <si>
    <t>Allied Moulded AMU1648TF</t>
  </si>
  <si>
    <t>AMU1648TF</t>
  </si>
  <si>
    <t>Allied Moulded AMPOLEMNT14,Allied Moulded PG164,Allied Moulded AMU1648CCTF,Allied Moulded PA164,Allied Moulded AMU1648LF,Allied Moulded PF164,Allied Moulded AM1648T,Allied Moulded AMHS075,Allied Moulded P164</t>
  </si>
  <si>
    <t>Allied Moulded AMU1648TF ULTRALINE AMU Series JIC Size Fiberglass Enclosure 16" x 14" x 8" (HxWxD) Approx. Inside Dimensions Lockable Twist Latch Hinged Cover.</t>
  </si>
  <si>
    <t>Allied-Moulded-AMU1648TF.jpg</t>
  </si>
  <si>
    <t>Allied Moulded AMU1648LWF Enclosure 16" x 14" x 8"</t>
  </si>
  <si>
    <t>Allied Moulded AMU1648LWF</t>
  </si>
  <si>
    <t>AMU1648LWF</t>
  </si>
  <si>
    <t>Allied Moulded PA164,Allied Moulded P164,Allied Moulded AM1648LW,Allied Moulded AMU1648CCLF,Allied Moulded PG164,Allied Moulded PF164,Allied Moulded AMPOLEMNT14,Allied Moulded AMU1648TWF,Allied Moulded AMHS075</t>
  </si>
  <si>
    <t>Allied Moulded AMU1648LWF ULTRALINE AMU Series JIC Size Fiberglass Enclosure 16" x 14" x 8" (HxWxD) Approx. Inside Dimensions Metal Snap Latch Hinged Cover.</t>
  </si>
  <si>
    <t>Allied-Moulded-AMU1648LWF.jpg</t>
  </si>
  <si>
    <t>Allied Moulded AMU1648TW Enclosure 16" x 14" x 8"</t>
  </si>
  <si>
    <t>Allied Moulded AMU1648TW</t>
  </si>
  <si>
    <t>AMU1648TW</t>
  </si>
  <si>
    <t>Allied Moulded AMU1648LW,Allied Moulded AMHS075,Allied Moulded PF164,Allied Moulded P164,Allied Moulded PG164,Allied Moulded PA164,Allied Moulded AMU1648CCT,Allied Moulded AM1648TW</t>
  </si>
  <si>
    <t>Allied Moulded AMU1648TW ULTRALINE AMU Series JIC Size Fiberglass Enclosure with Windows 16" x 14" x 8" (HxWxD) Approx. Inside Dimensions Lockable Twist Latch Hinged Cover.</t>
  </si>
  <si>
    <t>Allied-Moulded-AMU1648TW.jpg</t>
  </si>
  <si>
    <t>Allied Moulded AMU1648TWF Enclosure 16" x 14" x 8"</t>
  </si>
  <si>
    <t>Allied Moulded AMU1648TWF</t>
  </si>
  <si>
    <t>AMU1648TWF</t>
  </si>
  <si>
    <t>Allied Moulded PF164,Allied Moulded AM1648TW,Allied Moulded AMPOLEMNT14,Allied Moulded PA164,Allied Moulded P164,Allied Moulded PG164,Allied Moulded AMHS075,Allied Moulded AMU1648LWF</t>
  </si>
  <si>
    <t>Allied Moulded AMU1648TWF ULTRALINE AMU Series JIC Size Fiberglass Enclosure with Windows 16" x 14" x 8" (HxWxD) Approx. Inside Dimensions Lockable Twist Latch Hinged Cover.</t>
  </si>
  <si>
    <t>Allied-Moulded-AMU1648TWF.jpg</t>
  </si>
  <si>
    <t>Allied Moulded AMU1648CCTF Enclosure 16" x 14" x 8"</t>
  </si>
  <si>
    <t>Allied Moulded AMU1648CCTF</t>
  </si>
  <si>
    <t>AMU1648CCTF</t>
  </si>
  <si>
    <t>Allied Moulded P164,Allied Moulded AMU1648TF,Allied Moulded PF164,Allied Moulded PA164,Allied Moulded AMU1648CCLF,Allied Moulded AM1648T,Allied Moulded PG164,Allied Moulded AMHS075,Allied Moulded AMPOLEMNT14</t>
  </si>
  <si>
    <t>Allied Moulded AMU1648CCTF ULTRALINE AMU Series JIC Size Fiberglass Enclosure with Clear Covers 16" x 14" x 8" (HxWxD) Approx. Inside Dimensions Lockable Twist Latch Hinged Cover.</t>
  </si>
  <si>
    <t>Allied-Moulded-AMU1648CCTF.jpg</t>
  </si>
  <si>
    <t>Allied Moulded AMP1860CCNL Enclosure 16" x 14" x 8"</t>
  </si>
  <si>
    <t>Allied Moulded AMP1860CCNL</t>
  </si>
  <si>
    <t>AMP1860CCNL</t>
  </si>
  <si>
    <t>Allied Moulded PLPVC186,Allied Moulded AMHS075,Allied Moulded P186,Allied Moulded AM1868LW,Allied Moulded AMU1860NLW,Allied Moulded PA186,Allied Moulded AMP1860NL</t>
  </si>
  <si>
    <t>Allied Moulded AMP1860CCNL POLYLINE AMP Series JIC Size Polycarbonate Enclosure with Clear Covers 16" x 14" x 8" (HxWxD) Approx. Inside Dimensions Nonmetallic Snap Latch Hinged Cover.</t>
  </si>
  <si>
    <t>Allied-Moulded-AMP1860CCNL.jpg</t>
  </si>
  <si>
    <t>Allied Moulded AMU1648 Enclosure 16" x 14" x 8"</t>
  </si>
  <si>
    <t>Allied Moulded AMU1648</t>
  </si>
  <si>
    <t>AMU1648</t>
  </si>
  <si>
    <t>Allied Moulded AMHS075,Allied Moulded AMU1648L,Allied Moulded PA164,Allied Moulded P164,Allied Moulded PG164,Allied Moulded AMU1648CC,Allied Moulded PF164</t>
  </si>
  <si>
    <t>Allied Moulded AMU1648 ULTRALINE AMU Series JIC Size Fiberglass Enclosure 16" x 14" x 8" (HxWxD) Approx. Inside Dimensions Lift-Off Screw Cover.</t>
  </si>
  <si>
    <t>Allied-Moulded-AMU1648.jpg</t>
  </si>
  <si>
    <t>Allied Moulded AMU1648F Enclosure 16" x 14" x 8"</t>
  </si>
  <si>
    <t>Allied Moulded AMU1648F</t>
  </si>
  <si>
    <t>AMU1648F</t>
  </si>
  <si>
    <t>Allied Moulded P164,Allied Moulded PA164,Allied Moulded AMHS075,Allied Moulded PG164,Allied Moulded AM1648,Allied Moulded AMPOLEMNT14,Allied Moulded PF164,Allied Moulded AMU1648CCF</t>
  </si>
  <si>
    <t>Allied Moulded AMU1648F ULTRALINE AMU Series JIC Size Fiberglass Enclosure 16" x 14" x 8" (HxWxD) Approx. Inside Dimensions Lift-Off Screw Cover.</t>
  </si>
  <si>
    <t>Allied-Moulded-AMU1648F.jpg</t>
  </si>
  <si>
    <t>Allied Moulded AMU1648H Enclosure 16" x 14" x 8"</t>
  </si>
  <si>
    <t>Allied Moulded AMU1648H</t>
  </si>
  <si>
    <t>AMU1648H</t>
  </si>
  <si>
    <t>Allied Moulded AMU1648CCH,Allied Moulded PA164,Allied Moulded P164,Allied Moulded AMU1648L,Allied Moulded PG164,Allied Moulded PF164,Allied Moulded AMHS075,Allied Moulded AM1648H</t>
  </si>
  <si>
    <t>Allied Moulded AMU1648H ULTRALINE AMU Series JIC Size Fiberglass Enclosure 16" x 14" x 8" (HxWxD) Approx. Inside Dimensions Hinged Screw Cover.</t>
  </si>
  <si>
    <t>Allied-Moulded-AMU1648H.jpg</t>
  </si>
  <si>
    <t>Allied Moulded AMU1648HF Enclosure 16" x 14" x 8"</t>
  </si>
  <si>
    <t>Allied Moulded AMU1648HF</t>
  </si>
  <si>
    <t>AMU1648HF</t>
  </si>
  <si>
    <t>Allied Moulded PF164,Allied Moulded AM1648H,Allied Moulded AMU1648TF,Allied Moulded AMU1648CCHF,Allied Moulded AMPOLEMNT14,Allied Moulded PG164,Allied Moulded AMHS075,Allied Moulded P164,Allied Moulded PA164</t>
  </si>
  <si>
    <t>Allied Moulded AMU1648HF ULTRALINE AMU Series JIC Size Fiberglass Enclosure 16" x 14" x 8" (HxWxD) Approx. Inside Dimensions Hinged Screw Cover.</t>
  </si>
  <si>
    <t>Allied-Moulded-AMU1648HF.jpg</t>
  </si>
  <si>
    <t>Allied Moulded AMU1648L Enclosure 16" x 14" x 8"</t>
  </si>
  <si>
    <t>Allied Moulded AMU1648L</t>
  </si>
  <si>
    <t>AMU1648L</t>
  </si>
  <si>
    <t>Allied Moulded PA164,Allied Moulded PF164,Allied Moulded AM1648L,Allied Moulded PG164,Allied Moulded AMU1648T,Allied Moulded AMHS075,Allied Moulded P164,Allied Moulded AMU1648CCL</t>
  </si>
  <si>
    <t>Allied Moulded AMU1648L ULTRALINE AMU Series JIC Size Fiberglass Enclosure 16" x 14" x 8" (HxWxD) Approx. Inside Dimensions Metal Snap Latch Hinged Cover.</t>
  </si>
  <si>
    <t>Allied-Moulded-AMU1648L.jpg</t>
  </si>
  <si>
    <t>Allied Moulded AMU1648NL Enclosure 16" x 14" x 8"</t>
  </si>
  <si>
    <t>Allied Moulded AMU1648NL</t>
  </si>
  <si>
    <t>AMU1648NL</t>
  </si>
  <si>
    <t>Allied Moulded AMU1648T,Allied Moulded AMHS075,Allied Moulded AMU1648CCL,Allied Moulded PG164,Allied Moulded P164,Allied Moulded AM1648L,Allied Moulded PF164,Allied Moulded PA164</t>
  </si>
  <si>
    <t>Allied Moulded AMU1648NL ULTRALINE AMU Series JIC Size Fiberglass Enclosure 16" x 14" x 8" (HxWxD) Approx. Inside Dimensions Nonmetallic Snap Latch Hinged Cover.</t>
  </si>
  <si>
    <t>Allied-Moulded-AMU1648NL.jpg</t>
  </si>
  <si>
    <t>Allied Moulded AMU1648NLF Enclosure 16" x 14" x 8"</t>
  </si>
  <si>
    <t>Allied Moulded AMU1648NLF</t>
  </si>
  <si>
    <t>AMU1648NLF</t>
  </si>
  <si>
    <t>Allied Moulded PA164,Allied Moulded P164,Allied Moulded PG164,Allied Moulded PF164,Allied Moulded AMPOLEMNT14,Allied Moulded AMHS075,Allied Moulded AM1648L,Allied Moulded AMU1648TF,Allied Moulded AMU1648CCLF</t>
  </si>
  <si>
    <t>Allied Moulded AMU1648NLF ULTRALINE AMU Series JIC Size Fiberglass Enclosure 16" x 14" x 8" (HxWxD) Approx. Inside Dimensions Nonmetallic Snap Latch Hinged Cover.</t>
  </si>
  <si>
    <t>Allied-Moulded-AMU1648NLF.jpg</t>
  </si>
  <si>
    <t>Allied Moulded AMU1648T Enclosure 16" x 14" x 8"</t>
  </si>
  <si>
    <t>Allied Moulded AMU1648T</t>
  </si>
  <si>
    <t>AMU1648T</t>
  </si>
  <si>
    <t>Allied Moulded PG164,Allied Moulded P164,Allied Moulded PF164,Allied Moulded AM1648T,Allied Moulded AMU1648CCT,Allied Moulded AMU1648L,Allied Moulded AMHS075,Allied Moulded PA164</t>
  </si>
  <si>
    <t>Allied Moulded AMU1648T ULTRALINE AMU Series JIC Size Fiberglass Enclosure 16" x 14" x 8" (HxWxD) Approx. Inside Dimensions Lockable Twist Latch Hinged Cover.</t>
  </si>
  <si>
    <t>Allied-Moulded-AMU1648T.jpg</t>
  </si>
  <si>
    <t>Allied Moulded AMU1648W Enclosure 16" x 14" x 8"</t>
  </si>
  <si>
    <t>Allied Moulded AMU1648W</t>
  </si>
  <si>
    <t>AMU1648W</t>
  </si>
  <si>
    <t>Allied Moulded AMU1648LW,Allied Moulded PF164,Allied Moulded P164,Allied Moulded PA164,Allied Moulded AM1648W,Allied Moulded AMU1648CC,Allied Moulded PG164,Allied Moulded AMHS075</t>
  </si>
  <si>
    <t>Allied Moulded AMU1648W ULTRALINE AMU Series JIC Size Fiberglass Enclosure 16" x 14" x 8" (HxWxD) Approx. Inside Dimensions Lift-Off Screw Cover.</t>
  </si>
  <si>
    <t>Allied-Moulded-AMU1648W.jpg</t>
  </si>
  <si>
    <t>Allied Moulded AMU1648WF Enclosure 16" x 14" x 8"</t>
  </si>
  <si>
    <t>Allied Moulded AMU1648WF</t>
  </si>
  <si>
    <t>AMU1648WF</t>
  </si>
  <si>
    <t>Allied Moulded PA164,Allied Moulded AMHS075,Allied Moulded AMU1648CCF,Allied Moulded AMPOLEMNT14,Allied Moulded P164,Allied Moulded AMU1648TWF,Allied Moulded PF164,Allied Moulded AM1648W,Allied Moulded PG164</t>
  </si>
  <si>
    <t>Allied Moulded AMU1648WF ULTRALINE AMU Series JIC Size Fiberglass Enclosure 16" x 14" x 8" (HxWxD) Approx. Inside Dimensions Lift-Off Screw Cover.</t>
  </si>
  <si>
    <t>Allied-Moulded-AMU1648WF.jpg</t>
  </si>
  <si>
    <t>Allied Moulded AMU1648HW Enclosure 16" x 14" x 8"</t>
  </si>
  <si>
    <t>Allied Moulded AMU1648HW</t>
  </si>
  <si>
    <t>AMU1648HW</t>
  </si>
  <si>
    <t>Allied Moulded PA164,Allied Moulded AMU1648LW,Allied Moulded AMHS075,Allied Moulded AMU1648CCH,Allied Moulded PG164,Allied Moulded AM1648H,Allied Moulded P164,Allied Moulded PF164</t>
  </si>
  <si>
    <t>Allied Moulded AMU1648HW ULTRALINE AMU Series JIC Size Fiberglass Enclosure 16" x 14" x 8" (HxWxD) Approx. Inside Dimensions Hinged Screw Cover.</t>
  </si>
  <si>
    <t>Allied-Moulded-AMU1648HW.jpg</t>
  </si>
  <si>
    <t>Allied Moulded AMU1648HWF Enclosure 16" x 14" x 8"</t>
  </si>
  <si>
    <t>Allied Moulded AMU1648HWF</t>
  </si>
  <si>
    <t>AMU1648HWF</t>
  </si>
  <si>
    <t>Allied Moulded AMU1648CCHF,Allied Moulded AMPOLEMNT14,Allied Moulded AMU1648TWF,Allied Moulded AM1648HW,Allied Moulded PG164,Allied Moulded P164,Allied Moulded AMHS075,Allied Moulded PA164,Allied Moulded PF164</t>
  </si>
  <si>
    <t>Allied Moulded AMU1648HWF ULTRALINE AMU Series JIC Size Fiberglass Enclosure 16" x 14" x 8" (HxWxD) Approx. Inside Dimensions Hinged Screw Cover.</t>
  </si>
  <si>
    <t>Allied-Moulded-AMU1648HWF.jpg</t>
  </si>
  <si>
    <t>Allied Moulded AMU1648LW Enclosure 16" x 14" x 8"</t>
  </si>
  <si>
    <t>Allied Moulded AMU1648LW</t>
  </si>
  <si>
    <t>AMU1648LW</t>
  </si>
  <si>
    <t>Allied Moulded PG164,Allied Moulded PF164,Allied Moulded AMHS075,Allied Moulded AMU1648CCL,Allied Moulded AMU1648TW,Allied Moulded PA164,Allied Moulded P164,Allied Moulded AM1648LW</t>
  </si>
  <si>
    <t>Allied Moulded AMU1648LW ULTRALINE AMU Series JIC Size Fiberglass Enclosure 16" x 14" x 8" (HxWxD) Approx. Inside Dimensions Metal Snap Latch Hinged Cover.</t>
  </si>
  <si>
    <t>Allied-Moulded-AMU1648LW.jpg</t>
  </si>
  <si>
    <t>Allied Moulded AMU1648NLW Enclosure 16" x 14" x 8"</t>
  </si>
  <si>
    <t>Allied Moulded AMU1648NLW</t>
  </si>
  <si>
    <t>AMU1648NLW</t>
  </si>
  <si>
    <t>Allied Moulded AMU1648TW,Allied Moulded AMHS075,Allied Moulded AMU1648CCL,Allied Moulded PF164,Allied Moulded AM1648LW,Allied Moulded P164,Allied Moulded PA164,Allied Moulded PG164</t>
  </si>
  <si>
    <t>Allied Moulded AMU1648NLW ULTRALINE AMU Series JIC Size Fiberglass Enclosure with Windows 16" x 14" x 8" (HxWxD) Approx. Inside Dimensions Nonmetallic Snap Latch Hinged Cover.</t>
  </si>
  <si>
    <t>Allied-Moulded-AMU1648NLW.jpg</t>
  </si>
  <si>
    <t>Allied Moulded AMU1648NLWF Enclosure 16" x 14" x 8"</t>
  </si>
  <si>
    <t>Allied Moulded AMU1648NLWF</t>
  </si>
  <si>
    <t>AMU1648NLWF</t>
  </si>
  <si>
    <t>Allied Moulded AM1648LW,Allied Moulded PG164,Allied Moulded AMPOLEMNT14,Allied Moulded AMU1648CCLF,Allied Moulded AMU1648TWF,Allied Moulded PA164,Allied Moulded P164,Allied Moulded PF164,Allied Moulded AMHS075</t>
  </si>
  <si>
    <t>Allied Moulded AMU1648NLWF ULTRALINE AMU Series JIC Size Fiberglass Enclosure with Windows 16" x 14" x 8" (HxWxD) Approx. Inside Dimensions Nonmetallic Snap Latch Hinged Cover.</t>
  </si>
  <si>
    <t>Allied-Moulded-AMU1648NLWF.jpg</t>
  </si>
  <si>
    <t>Allied Moulded AMU1648CC Enclosure 16" x 14" x 8"</t>
  </si>
  <si>
    <t>Allied Moulded AMU1648CC</t>
  </si>
  <si>
    <t>AMU1648CC</t>
  </si>
  <si>
    <t>Allied Moulded P164,Allied Moulded PA164,Allied Moulded AMHS075,Allied Moulded PF164,Allied Moulded PG164</t>
  </si>
  <si>
    <t>Allied Moulded AMU1648CC ULTRALINE AMU Series JIC Size Fiberglass Enclosure with Clear Covers 16" x 14" x 8" (HxWxD) Approx. Inside Dimensions Lift-Off Screw Cover.</t>
  </si>
  <si>
    <t>Allied-Moulded-AMU1648CC.jpg</t>
  </si>
  <si>
    <t>Allied Moulded AMU1648CCF Enclosure 16" x 14" x 8"</t>
  </si>
  <si>
    <t>Allied Moulded AMU1648CCF</t>
  </si>
  <si>
    <t>AMU1648CCF</t>
  </si>
  <si>
    <t>Allied Moulded PA164,Allied Moulded AMPOLEMNT14,Allied Moulded AMHS075,Allied Moulded PG164,Allied Moulded PF164,Allied Moulded P164</t>
  </si>
  <si>
    <t>Allied Moulded AMU1648CCF ULTRALINE AMU Series JIC Size Fiberglass Enclosure with Clear Covers 16" x 14" x 8" (HxWxD) Approx. Inside Dimensions Lift-Off Screw Cover.</t>
  </si>
  <si>
    <t>Allied-Moulded-AMU1648CCF.jpg</t>
  </si>
  <si>
    <t>Allied Moulded AMU1648CCH Enclosure 16" x 14" x 8"</t>
  </si>
  <si>
    <t>Allied Moulded AMU1648CCH</t>
  </si>
  <si>
    <t>AMU1648CCH</t>
  </si>
  <si>
    <t>Allied Moulded PG164,Allied Moulded AMHS075,Allied Moulded P164,Allied Moulded PF164,Allied Moulded PA164</t>
  </si>
  <si>
    <t>Allied Moulded AMU1648CCH ULTRALINE AMU Series JIC Size Fiberglass Enclosure with Clear Covers 16" x 14" x 8" (HxWxD) Approx. Inside Dimensions Hinged Screw Cover.</t>
  </si>
  <si>
    <t>Allied-Moulded-AMU1648CCH.jpg</t>
  </si>
  <si>
    <t>Allied Moulded AMU1648CCHF Enclosure 16" x 14" x 8"</t>
  </si>
  <si>
    <t>Allied Moulded AMU1648CCHF</t>
  </si>
  <si>
    <t>AMU1648CCHF</t>
  </si>
  <si>
    <t>Allied Moulded AMPOLEMNT14,Allied Moulded PA164,Allied Moulded PF164,Allied Moulded PG164,Allied Moulded AMHS075,Allied Moulded P164</t>
  </si>
  <si>
    <t>Allied Moulded AMU1648CCHF ULTRALINE AMU Series JIC Size Fiberglass Enclosure with Clear Covers 16" x 14" x 8" (HxWxD) Approx. Inside Dimensions Hinged Screw Cover.</t>
  </si>
  <si>
    <t>Allied-Moulded-AMU1648CCHF.jpg</t>
  </si>
  <si>
    <t>Allied Moulded AMU1648CCL Enclosure 16" x 14" x 8"</t>
  </si>
  <si>
    <t>Allied Moulded AMU1648CCL</t>
  </si>
  <si>
    <t>AMU1648CCL</t>
  </si>
  <si>
    <t>Allied Moulded AMHS075,Allied Moulded AM1648LW,Allied Moulded AMU1648L,Allied Moulded AMU1648CCT,Allied Moulded PG164,Allied Moulded P164,Allied Moulded PA164,Allied Moulded PF164</t>
  </si>
  <si>
    <t>Allied Moulded AMU1648CCL ULTRALINE AMU Series JIC Size Fiberglass Enclosure with Clear Covers 16" x 14" x 8" (HxWxD) Approx. Inside Dimensions Metal Snap Latch Hinged Cover.</t>
  </si>
  <si>
    <t>Allied-Moulded-AMU1648CCL.jpg</t>
  </si>
  <si>
    <t>Allied Moulded AMU1648CCLF Enclosure 16" x 14" x 8"</t>
  </si>
  <si>
    <t>Allied Moulded AMU1648CCLF</t>
  </si>
  <si>
    <t>AMU1648CCLF</t>
  </si>
  <si>
    <t>Allied Moulded PF164,Allied Moulded AMPOLEMNT14,Allied Moulded AMHS075,Allied Moulded AMU1648CCTF,Allied Moulded PG164,Allied Moulded AMU1648LF,Allied Moulded PA164,Allied Moulded P164</t>
  </si>
  <si>
    <t>Allied Moulded AMU1648CCLF ULTRALINE AMU Series JIC Size Fiberglass Enclosure with Clear Covers 16" x 14" x 8" (HxWxD) Approx. Inside Dimensions Metal Snap Latch Hinged Cover.</t>
  </si>
  <si>
    <t>Allied-Moulded-AMU1648CCLF.jpg</t>
  </si>
  <si>
    <t>Allied Moulded AMU1648CCNL Enclosure 16" x 14" x 8"</t>
  </si>
  <si>
    <t>Allied Moulded AMU1648CCNL</t>
  </si>
  <si>
    <t>AMU1648CCNL</t>
  </si>
  <si>
    <t>Allied Moulded AMU1648CCT,Allied Moulded AM1648LW,Allied Moulded AMU1648L,Allied Moulded PG164,Allied Moulded PF164,Allied Moulded PA164,Allied Moulded AMHS075,Allied Moulded P164</t>
  </si>
  <si>
    <t>Allied Moulded AMU1648CCNL ULTRALINE AMU Series JIC Size Fiberglass Enclosure with Clear Covers 16" x 14" x 8" (HxWxD) Approx. Inside Dimensions Nonmetallic Snap Latch Hinged Cover.</t>
  </si>
  <si>
    <t>Allied-Moulded-AMU1648CCNL.jpg</t>
  </si>
  <si>
    <t>Allied Moulded AMU1648CCNLF Enclosure 16" x 14" x 8"</t>
  </si>
  <si>
    <t>Allied Moulded AMU1648CCNLF</t>
  </si>
  <si>
    <t>AMU1648CCNLF</t>
  </si>
  <si>
    <t>Allied Moulded AMU1648CCTF,Allied Moulded PF164,Allied Moulded P164,Allied Moulded PA164,Allied Moulded PG164,Allied Moulded AMPOLEMNT14,Allied Moulded AMHS075,Allied Moulded AMU1648LF</t>
  </si>
  <si>
    <t>Allied Moulded AMU1648CCNLF ULTRALINE AMU Series JIC Size Fiberglass Enclosure with Clear Covers 16" x 14" x 8" (HxWxD) Approx. Inside Dimensions Nonmetallic Snap Latch Hinged Cover.</t>
  </si>
  <si>
    <t>Allied-Moulded-AMU1648CCNLF.jpg</t>
  </si>
  <si>
    <t>Allied Moulded AMU1648CCT Enclosure 16" x 14" x 8"</t>
  </si>
  <si>
    <t>Allied Moulded AMU1648CCT</t>
  </si>
  <si>
    <t>AMU1648CCT</t>
  </si>
  <si>
    <t>Allied Moulded AMHS075,Allied Moulded P164,Allied Moulded PF164,Allied Moulded AM1648T,Allied Moulded AMU1648T,Allied Moulded PA164,Allied Moulded PG164,Allied Moulded AMU1648CCH</t>
  </si>
  <si>
    <t>Allied Moulded AMU1648CCT ULTRALINE AMU Series JIC Size Fiberglass Enclosure with Clear Covers 16" x 14" x 8" (HxWxD) Approx. Inside Dimensions Lockable Twist Latch Hinged Cover.</t>
  </si>
  <si>
    <t>Allied-Moulded-AMU1648CCT.jpg</t>
  </si>
  <si>
    <t>Allied Moulded AMP1648CC Enclosure 16" x 14" x 8"</t>
  </si>
  <si>
    <t>Allied Moulded AMP1648CC</t>
  </si>
  <si>
    <t>AMP1648CC</t>
  </si>
  <si>
    <t>Allied Moulded P164,Allied Moulded AMHS075,Allied Moulded PA164,Allied Moulded AMU1648CC,Allied Moulded PLPVC164,Allied Moulded HFPP164,Allied Moulded AMP1648F,Allied Moulded AM1648W</t>
  </si>
  <si>
    <t>Allied Moulded AMP1648CC POLYLINE AMP Series JIC Size Polycarbonate Enclosure with Clear Covers 16" x 14" x 8" (HxWxD) Approx. Inside Dimensions Lift-Off Screw Cover.</t>
  </si>
  <si>
    <t>Allied-Moulded-AMP1648CC.jpg</t>
  </si>
  <si>
    <t>Allied Moulded AMP1648CCF Enclosure 16" x 14" x 8"</t>
  </si>
  <si>
    <t>Allied Moulded AMP1648CCF</t>
  </si>
  <si>
    <t>AMP1648CCF</t>
  </si>
  <si>
    <t>Allied Moulded AMU1648CCF,Allied Moulded P164,Allied Moulded PA164,Allied Moulded AMHS075,Allied Moulded HFPP164,Allied Moulded PLPVC164,Allied Moulded AMP1648F,Allied Moulded AM1648W,Allied Moulded AMPOLEMNT14</t>
  </si>
  <si>
    <t>Allied Moulded AMP1648CCF POLYLINE AMP Series JIC Size Polycarbonate Enclosure with Clear Covers 16" x 14" x 8" (HxWxD) Approx. Inside Dimensions Lift-Off Screw Cover.</t>
  </si>
  <si>
    <t>Allied-Moulded-AMP1648CCF.jpg</t>
  </si>
  <si>
    <t>Allied Moulded AMP1648CCH Enclosure 16" x 14" x 8"</t>
  </si>
  <si>
    <t>Allied Moulded AMP1648CCH</t>
  </si>
  <si>
    <t>AMP1648CCH</t>
  </si>
  <si>
    <t>Allied Moulded AMHS075,Allied Moulded P164,Allied Moulded AM1648HW,Allied Moulded PA164,Allied Moulded HFPP164,Allied Moulded AMP1648H,Allied Moulded AMU1648CCH,Allied Moulded PLPVC164</t>
  </si>
  <si>
    <t>Allied Moulded AMP1648CCH POLYLINE AMP Series JIC Size Polycarbonate Enclosure with Clear Covers 16" x 14" x 8" (HxWxD) Approx. Inside Dimensions Hinged Screw Cover.</t>
  </si>
  <si>
    <t>Allied-Moulded-AMP1648CCH.jpg</t>
  </si>
  <si>
    <t>Allied Moulded AMP1648CCHF Enclosure 16" x 14" x 8"</t>
  </si>
  <si>
    <t>Allied Moulded AMP1648CCHF</t>
  </si>
  <si>
    <t>AMP1648CCHF</t>
  </si>
  <si>
    <t>Allied Moulded HFPP164,Allied Moulded P164,Allied Moulded AMU1648CCHF,Allied Moulded AM1648HW,Allied Moulded AMHS075,Allied Moulded AMP1648HF,Allied Moulded AMPOLEMNT14,Allied Moulded PA164,Allied Moulded PLPVC164</t>
  </si>
  <si>
    <t>Allied Moulded AMP1648CCHF POLYLINE AMP Series JIC Size Polycarbonate Enclosure with Clear Covers 16" x 14" x 8" (HxWxD) Approx. Inside Dimensions Hinged Screw Cover.</t>
  </si>
  <si>
    <t>Allied-Moulded-AMP1648CCHF.jpg</t>
  </si>
  <si>
    <t>Allied Moulded AMP1648CCL Enclosure 16" x 14" x 8"</t>
  </si>
  <si>
    <t>Allied Moulded AMP1648CCL</t>
  </si>
  <si>
    <t>AMP1648CCL</t>
  </si>
  <si>
    <t>Allied Moulded AM1648LW,Allied Moulded PA164,Allied Moulded AMU1648CCL,Allied Moulded HFPP164,Allied Moulded AMP1648L,Allied Moulded PLPVC164,Allied Moulded AMHS075,Allied Moulded P164</t>
  </si>
  <si>
    <t>Allied Moulded AMP1648CCL POLYLINE AMP Series JIC Size Polycarbonate Enclosure with Clear Covers 16" x 14" x 8" (HxWxD) Approx. Inside Dimensions Stainless Steel Lockable Snap Latch Hinged Cover.</t>
  </si>
  <si>
    <t>Allied-Moulded-AMP1648CCL.jpg</t>
  </si>
  <si>
    <t>Allied Moulded AMP1648CCLF Enclosure 16" x 14" x 8"</t>
  </si>
  <si>
    <t>Allied Moulded AMP1648CCLF</t>
  </si>
  <si>
    <t>AMP1648CCLF</t>
  </si>
  <si>
    <t>Allied Moulded PA164,Allied Moulded HFPP164,Allied Moulded AMHS075,Allied Moulded AMU1648CCLF,Allied Moulded AMP1648LF,Allied Moulded AMPOLEMNT14,Allied Moulded P164,Allied Moulded PLPVC164,Allied Moulded AM1648LW</t>
  </si>
  <si>
    <t>Allied Moulded AMP1648CCLF POLYLINE AMP Series JIC Size Polycarbonate Enclosure with Clear Covers 16" x 14" x 8" (HxWxD) Approx. Inside Dimensions Stainless Steel Lockable Snap Latch Hinged Cover.</t>
  </si>
  <si>
    <t>Allied-Moulded-AMP1648CCLF.jpg</t>
  </si>
  <si>
    <t>Allied Moulded AMP1648CCNLF Enclosure 16" x 14" x 8"</t>
  </si>
  <si>
    <t>Allied Moulded AMP1648CCNLF</t>
  </si>
  <si>
    <t>AMP1648CCNLF</t>
  </si>
  <si>
    <t>Allied Moulded HFPP164,Allied Moulded AM1648LW,Allied Moulded PA164,Allied Moulded PLPVC164,Allied Moulded AMU1648CCNLF,Allied Moulded AMHS075,Allied Moulded AMPOLEMNT14,Allied Moulded P164,Allied Moulded AMP1648NLF</t>
  </si>
  <si>
    <t>Allied Moulded AMP1648CCNLF POLYLINE AMP Series JIC Size Polycarbonate Enclosure with Clear Covers 16" x 14" x 8" (HxWxD) Approx. Inside Dimensions Nonmetallic Snap Latch Hinged Cover.</t>
  </si>
  <si>
    <t>Allied-Moulded-AMP1648CCNLF.jpg</t>
  </si>
  <si>
    <t>Allied Moulded AMP1648 Enclosure 16" x 14" x 8"</t>
  </si>
  <si>
    <t>Allied Moulded AMP1648</t>
  </si>
  <si>
    <t>AMP1648</t>
  </si>
  <si>
    <t>Allied Moulded AM1648,Allied Moulded AMU1648,Allied Moulded P164,Allied Moulded PA164,Allied Moulded AMP1648CC,Allied Moulded HFPP164,Allied Moulded AMHS075,Allied Moulded PLPVC164</t>
  </si>
  <si>
    <t>Allied Moulded AMP1648 POLYLINE AMP Series JIC Size Polycarbonate 16" x 14" x 8" (HxWxD) Approx. Inside Dimensions Lift-Off Screw Cover.</t>
  </si>
  <si>
    <t>Allied-Moulded-AMP1648.jpg</t>
  </si>
  <si>
    <t>Allied Moulded AMP1648F Enclosure 16" x 14" x 8"</t>
  </si>
  <si>
    <t>Allied Moulded AMP1648F</t>
  </si>
  <si>
    <t>AMP1648F</t>
  </si>
  <si>
    <t>Allied Moulded AMU1648F,Allied Moulded PLPVC164,Allied Moulded AMP1648CCF,Allied Moulded AMPOLEMNT14,Allied Moulded AMHS075,Allied Moulded AM1648,Allied Moulded PA164,Allied Moulded HFPP164,Allied Moulded P164</t>
  </si>
  <si>
    <t>Allied Moulded AMP1648F POLYLINE AMP Series JIC Size Polycarbonate 16" x 14" x 8" (HxWxD) Approx. Inside Dimensions Lift-Off Screw Cover.</t>
  </si>
  <si>
    <t>Allied-Moulded-AMP1648F.jpg</t>
  </si>
  <si>
    <t>Allied Moulded AMP1648H Enclosure 16" x 14" x 8"</t>
  </si>
  <si>
    <t>Allied Moulded AMP1648H</t>
  </si>
  <si>
    <t>AMP1648H</t>
  </si>
  <si>
    <t>Allied Moulded PA164,Allied Moulded AMP1648CCH,Allied Moulded AMHS075,Allied Moulded HFPP164,Allied Moulded AM1648H,Allied Moulded P164,Allied Moulded AMU1648H,Allied Moulded PLPVC164</t>
  </si>
  <si>
    <t>Allied Moulded AMP1648H POLYLINE AMP Series JIC Size Polycarbonate 16" x 14" x 8" (HxWxD) Approx. Inside Dimensions Hinged Screw Cover.</t>
  </si>
  <si>
    <t>Allied-Moulded-AMP1648H.jpg</t>
  </si>
  <si>
    <t>Allied Moulded AMP1648HF Enclosure 16" x 14" x 8"</t>
  </si>
  <si>
    <t>Allied Moulded AMP1648HF</t>
  </si>
  <si>
    <t>AMP1648HF</t>
  </si>
  <si>
    <t>Allied Moulded PA164,Allied Moulded AMP1648CCHF,Allied Moulded P164,Allied Moulded AM1648H,Allied Moulded AMHS075,Allied Moulded HFPP164,Allied Moulded AMU1648HF,Allied Moulded PLPVC164,Allied Moulded AMPOLEMNT14</t>
  </si>
  <si>
    <t>Allied Moulded AMP1648HF POLYLINE AMP Series JIC Size Polycarbonate 16" x 14" x 8" (HxWxD) Approx. Inside Dimensions Hinged Screw Cover.</t>
  </si>
  <si>
    <t>Allied-Moulded-AMP1648HF.jpg</t>
  </si>
  <si>
    <t>Allied Moulded AMP1648L Enclosure 16" x 14" x 8"</t>
  </si>
  <si>
    <t>Allied Moulded AMP1648L</t>
  </si>
  <si>
    <t>AMP1648L</t>
  </si>
  <si>
    <t>Allied Moulded PLPVC164,Allied Moulded AMP1648CCL,Allied Moulded AM1648L,Allied Moulded AMU1648L,Allied Moulded PA164,Allied Moulded HFPP164,Allied Moulded P164,Allied Moulded AMHS075</t>
  </si>
  <si>
    <t>Allied Moulded AMP1648L POLYLINE AMP Series JIC Size Polycarbonate 16" x 14" x 8" (HxWxD) Approx. Inside Dimensions Stainless Steel Lockable Snap Latch Hinged Cover.</t>
  </si>
  <si>
    <t>Allied-Moulded-AMP1648L.jpg</t>
  </si>
  <si>
    <t>Allied Moulded AMP1648LF Enclosure 16" x 14" x 8"</t>
  </si>
  <si>
    <t>Allied Moulded AMP1648LF</t>
  </si>
  <si>
    <t>AMP1648LF</t>
  </si>
  <si>
    <t>Allied Moulded P164,Allied Moulded AMP1648CCLF,Allied Moulded AMHS075,Allied Moulded AMU1648LF,Allied Moulded PA164,Allied Moulded AMPOLEMNT14,Allied Moulded AM1648L,Allied Moulded HFPP164,Allied Moulded PLPVC164</t>
  </si>
  <si>
    <t>Allied Moulded AMP1648LF POLYLINE AMP Series JIC Size Polycarbonate 16" x 14" x 8" (HxWxD) Approx. Inside Dimensions Stainless Steel Lockable Snap Latch Hinged Cover.</t>
  </si>
  <si>
    <t>Allied-Moulded-AMP1648LF.jpg</t>
  </si>
  <si>
    <t>Allied Moulded AMP1648NL Enclosure 16" x 14" x 8"</t>
  </si>
  <si>
    <t>Allied Moulded AMP1648NL</t>
  </si>
  <si>
    <t>AMP1648NL</t>
  </si>
  <si>
    <t>Allied Moulded AM1648L,Allied Moulded AMHS075,Allied Moulded AMU1648NL,Allied Moulded AMP1648CCNL,Allied Moulded P164,Allied Moulded PLPVC164,Allied Moulded PA164,Allied Moulded HFPP164</t>
  </si>
  <si>
    <t>Allied Moulded AMP1648NL POLYLINE AMP Series JIC Size Polycarbonate 16" x 14" x 8" (HxWxD) Approx. Inside Dimensions Nonmetallic Snap Latch Hinged Cover.</t>
  </si>
  <si>
    <t>Allied-Moulded-AMP1648NL.jpg</t>
  </si>
  <si>
    <t>Allied Moulded AMP1648NLF Enclosure 16" x 14" x 8"</t>
  </si>
  <si>
    <t>Allied Moulded AMP1648NLF</t>
  </si>
  <si>
    <t>AMP1648NLF</t>
  </si>
  <si>
    <t>Allied Moulded AMHS075,Allied Moulded PLPVC164,Allied Moulded P164,Allied Moulded AMU1648NLF,Allied Moulded AM1648L,Allied Moulded AMP1648CCNLF,Allied Moulded PA164,Allied Moulded AMPOLEMNT14,Allied Moulded HFPP164</t>
  </si>
  <si>
    <t>Allied Moulded AMP1648NLF POLYLINE AMP Series JIC Size Polycarbonate 16" x 14" x 8" (HxWxD) Approx. Inside Dimensions Nonmetallic Snap Latch Hinged Cover.</t>
  </si>
  <si>
    <t>Allied-Moulded-AMP1648NLF.jpg</t>
  </si>
  <si>
    <t>Allied Moulded AMHD1860RLF Enclosure 18.00" x 16.00" x 11.75"</t>
  </si>
  <si>
    <t>Allied Moulded AMHD1860RLF</t>
  </si>
  <si>
    <t>AMHD1860RLF</t>
  </si>
  <si>
    <t>Allied Moulded PF186,Allied Moulded AMHS075,Allied Moulded PG186,Allied Moulded P186,Allied Moulded PA186,Allied Moulded AMPOLEMNT16</t>
  </si>
  <si>
    <t>Allied Moulded AMHD1860RLF AMHD-R Series JIC Size Fiberglass Enclosure 18.00" x 16.00" x 11.75" (HxWxD) Approx. Inside Dimensions Heavy Duty Battery Enclosure Raised Lockable Snap Latch Hinged Cover.</t>
  </si>
  <si>
    <t>Allied-Moulded-AMHD1860RLF.jpg</t>
  </si>
  <si>
    <t>18"</t>
  </si>
  <si>
    <t>Allied Moulded AM1868R Enclosure 18.00" x 16.00" x 9.75"</t>
  </si>
  <si>
    <t>Allied Moulded AM1868R</t>
  </si>
  <si>
    <t>AM1868R</t>
  </si>
  <si>
    <t>Allied Moulded AM1868RLW,Allied Moulded PF186,Allied Moulded PA186,Allied Moulded AMPOLEMNT16,Allied Moulded HFP186,Allied Moulded AMHS075,Allied Moulded AMU1860L,Allied Moulded P186,Allied Moulded PG186</t>
  </si>
  <si>
    <t>Allied Moulded AM1868R AM-R Series JIC Size Fiberglass Enclosure 18.00" x 16.00" x 9.75" (HxWxD) Approx. Inside Dimensions Raised Lift-Off Screw Cover.</t>
  </si>
  <si>
    <t>Allied-Moulded-AM1868R.jpg</t>
  </si>
  <si>
    <t>Allied Moulded AM1868RH Enclosure 18.00" x 16.00" x 9.75"</t>
  </si>
  <si>
    <t>Allied Moulded AM1868RH</t>
  </si>
  <si>
    <t>AM1868RH</t>
  </si>
  <si>
    <t>Allied Moulded P186,Allied Moulded AMU1860H,Allied Moulded AM1868RHW,Allied Moulded HFP186,Allied Moulded AMPOLEMNT16,Allied Moulded AMHS075,Allied Moulded PG186,Allied Moulded PF186,Allied Moulded PA186</t>
  </si>
  <si>
    <t>Allied Moulded AM1868RH AM-R Series JIC Size Fiberglass Enclosure 18.00" x 16.00" x 9.75" (HxWxD) Approx. Inside Dimensions Raised Hinged Screw Cover.</t>
  </si>
  <si>
    <t>Allied-Moulded-AM1868RH.jpg</t>
  </si>
  <si>
    <t>Allied Moulded AM1868RL Enclosure 18.00" x 16.00" x 9.75"</t>
  </si>
  <si>
    <t>Allied Moulded AM1868RL</t>
  </si>
  <si>
    <t>AM1868RL</t>
  </si>
  <si>
    <t>Allied Moulded PF186,Allied Moulded AMPOLEMNT16,Allied Moulded AMHS075,Allied Moulded PG186,Allied Moulded AM1868RLW,Allied Moulded HFP186,Allied Moulded P186,Allied Moulded PA186,Allied Moulded AMU1860L</t>
  </si>
  <si>
    <t>Allied Moulded AM1868RL AM-R Series JIC Size Fiberglass Enclosure 18.00" x 16.00" x 9.75" (HxWxD) Approx. Inside Dimensions Raised Stainless Steel Lockable Snap Latch Hinged Cover.</t>
  </si>
  <si>
    <t>Non-corrosive, non-conductive, light weight with lower installation cost, easy to modify and longer life cycle compared to steel. Rigid design with back panel inserts plus stainless steel mounting brackets and a gasket system encased in a continuous channel on the cover. Note: The cover latching design as of June 26th, 2017 will be changing from 4 to 2 latches and has been properly tested to achieve NEMA 4X ratings!;Rigid design with back panel inserts plus stainless steel mounting brackets and a gasket system encased in a continuous channel on the cover. Note: The cover latching design as of June 26th, 2017 will be changing from 4 to 2 latches and has been properly tested to achieve NEMA 4X ratings!;</t>
  </si>
  <si>
    <t>Allied-Moulded-AM1868RL.jpg</t>
  </si>
  <si>
    <t>Allied Moulded AM1868RT Enclosure 18.00" x 16.00" x 9.75"</t>
  </si>
  <si>
    <t>Allied Moulded AM1868RT</t>
  </si>
  <si>
    <t>AM1868RT</t>
  </si>
  <si>
    <t>Allied Moulded PF186,Allied Moulded PA186,Allied Moulded AMPOLEMNT16,Allied Moulded P186,Allied Moulded PG186,Allied Moulded HFP186,Allied Moulded AMU1860T,Allied Moulded AM1868RTW,Allied Moulded AMHS075</t>
  </si>
  <si>
    <t>Allied Moulded AM1868RT AM-R Series JIC Size Fiberglass Enclosure 18.00" x 16.00" x 9.75" (HxWxD) Approx. Inside Dimensions Raised Stainless Steel Lockable Twist Latch Hinged Cover.</t>
  </si>
  <si>
    <t>Allied-Moulded-AM1868RT.jpg</t>
  </si>
  <si>
    <t>Allied Moulded AM1868RW Enclosure 18.00" x 16.00" x 9.75"</t>
  </si>
  <si>
    <t>Allied Moulded AM1868RW</t>
  </si>
  <si>
    <t>AM1868RW</t>
  </si>
  <si>
    <t>Allied Moulded P186,Allied Moulded AMHS075,Allied Moulded AM1868R,Allied Moulded AMPOLEMNT16,Allied Moulded PG186,Allied Moulded PF186,Allied Moulded PA186,Allied Moulded AMU1860W,Allied Moulded HFP186</t>
  </si>
  <si>
    <t>Allied Moulded AM1868RW AM-R Series JIC Size Fiberglass Enclosure with Windows 18.00" x 16.00" x 9.75" (HxWxD) Approx. Inside Dimensions Raised Lift-Off Screw Cover.</t>
  </si>
  <si>
    <t>Allied-Moulded-AM1868RW.jpg</t>
  </si>
  <si>
    <t>Allied Moulded AM1868RHW Enclosure 18.00" x 16.00" x 9.75"</t>
  </si>
  <si>
    <t>Allied Moulded AM1868RHW</t>
  </si>
  <si>
    <t>AM1868RHW</t>
  </si>
  <si>
    <t>Allied Moulded AM1868RH,Allied Moulded AMHS075,Allied Moulded AMPOLEMNT16,Allied Moulded PF186,Allied Moulded PG186,Allied Moulded P186,Allied Moulded HFP186,Allied Moulded PA186,Allied Moulded AMU1860HW</t>
  </si>
  <si>
    <t>Allied Moulded AM1868RHW AM-R Series JIC Size Fiberglass Enclosure with Windows 18.00" x 16.00" x 9.75" (HxWxD) Approx. Inside Dimensions Raised Hinged Screw Cover.</t>
  </si>
  <si>
    <t>Allied-Moulded-AM1868RHW.jpg</t>
  </si>
  <si>
    <t>Allied Moulded AM1868RLW Enclosure 18.00" x 16.00" x 9.75"</t>
  </si>
  <si>
    <t>Allied Moulded AM1868RLW</t>
  </si>
  <si>
    <t>AM1868RLW</t>
  </si>
  <si>
    <t>Allied Moulded AMHS075,Allied Moulded PG186,Allied Moulded AM1868RL,Allied Moulded PF186,Allied Moulded HFP186,Allied Moulded AMPOLEMNT16,Allied Moulded AMU1860LW,Allied Moulded PA186,Allied Moulded P186</t>
  </si>
  <si>
    <t>Allied Moulded AM1868RLW AM-R Series JIC Size Fiberglass Enclosure with Windows 18.00" x 16.00" x 9.75" (HxWxD) Approx. Inside Dimensions Raised Stainless Steel Lockable Snap Latch Hinged Cover.</t>
  </si>
  <si>
    <t>Allied-Moulded-AM1868RLW.jpg</t>
  </si>
  <si>
    <t>Allied Moulded AM1868RTW Enclosure 18.00" x 16.00" x 9.75"</t>
  </si>
  <si>
    <t>Allied Moulded AM1868RTW</t>
  </si>
  <si>
    <t>AM1868RTW</t>
  </si>
  <si>
    <t>Allied Moulded PA186,Allied Moulded AMPOLEMNT16,Allied Moulded AMHS075,Allied Moulded AMU1860TW,Allied Moulded PG186,Allied Moulded P186,Allied Moulded PF186,Allied Moulded HFP186,Allied Moulded AM1868RT</t>
  </si>
  <si>
    <t>Allied Moulded AM1868RTW AM-R Series JIC Size Fiberglass Enclosure with Windows 18.00" x 16.00" x 9.75" (HxWxD) Approx. Inside Dimensions Raised Lockable Twist Latch Hinged Cover.</t>
  </si>
  <si>
    <t>Allied-Moulded-AM1868RTW.jpg</t>
  </si>
  <si>
    <t>Allied Moulded AMU1860HF Enclosure 18" x 16" x 10"</t>
  </si>
  <si>
    <t>Allied Moulded AMU1860HF</t>
  </si>
  <si>
    <t>AMU1860HF</t>
  </si>
  <si>
    <t>Allied Moulded PA186,Allied Moulded P186,Allied Moulded AMPOLEMNT16,Allied Moulded PG186,Allied Moulded AMU1860TF,Allied Moulded AMHS075,Allied Moulded PF186,Allied Moulded AMU1860HWF,Allied Moulded HFPU186,Allied Moulded AM1868H</t>
  </si>
  <si>
    <t>Allied Moulded AMU1860HF ULTRALINE AMU Series JIC Size Fiberglass Enclosure 18" x 16" x 10" (HxWxD) Approx. Inside Dimensions Hinged Screw Cover.</t>
  </si>
  <si>
    <t>Allied-Moulded-AMU1860HF.jpg</t>
  </si>
  <si>
    <t>Allied Moulded AMU1860LWF Enclosure 18" x 16" x 10"</t>
  </si>
  <si>
    <t>Allied Moulded AMU1860LWF</t>
  </si>
  <si>
    <t>AMU1860LWF</t>
  </si>
  <si>
    <t>Allied Moulded P186,Allied Moulded AMHS075,Allied Moulded AM1868LW,Allied Moulded HFPU186,Allied Moulded PG186,Allied Moulded PA186,Allied Moulded AMPOLEMNT16,Allied Moulded AMU1860TWF,Allied Moulded PF186</t>
  </si>
  <si>
    <t>Allied Moulded AMU1860LWF ULTRALINE AMU Series JIC Size Fiberglass Enclosure 18" x 16" x 10" (HxWxD) Approx. Inside Dimensions Metal Snap Latch Hinged Cover.</t>
  </si>
  <si>
    <t>Allied-Moulded-AMU1860LWF.jpg</t>
  </si>
  <si>
    <t>Allied Moulded AM1868H ULTRAGUARD Fiberglass reinforced polyester Type 4x Small Junction Box</t>
  </si>
  <si>
    <t>Allied Moulded AM1868H</t>
  </si>
  <si>
    <t>AM1868H</t>
  </si>
  <si>
    <t>Allied Moulded PF186,Allied Moulded P186,Allied Moulded AM1868RHW,Allied Moulded AMHS075,Allied Moulded PA186,Allied Moulded AMU1860H,Allied Moulded PG186,Allied Moulded AMPOLEMNT16</t>
  </si>
  <si>
    <t>Allied Moulded AM1868H ULTRAGUARD Fiberglass reinforced polyester Type 4x Junction Box Enclosure 18" x 16" x 8" (HXWXD) Inside Dimension. Opaque cover with hinged 2 screw cover. 316 Stainless Steel hinge, external hardware and plated carbon steel internal hardware.</t>
  </si>
  <si>
    <t>Allied Moulded AM1868H ULTRAGUARD Fiberglass reinforced polyester Type 4x Junction Box Enclosure 18" x 16" x 8" (HXWXD). Opaque cover with hinged 2 screw cover. 316 Stainless Steel hinge, external hardware and plated carbon steel internal hardware.</t>
  </si>
  <si>
    <t>Allied Moulded AM1868H Non Metallic Polyester Enclosure</t>
  </si>
  <si>
    <t>Allied-Moulded-AM1868H.jpg</t>
  </si>
  <si>
    <t>Allied Moulded AM1868L ULTRAGUARD Fiberglass reinforced polyester Type 4x Small Junction Box</t>
  </si>
  <si>
    <t>Allied Moulded AM1868L</t>
  </si>
  <si>
    <t>AM1868L</t>
  </si>
  <si>
    <t>Allied Moulded P186,Allied Moulded PA186,Allied Moulded PF186,Allied Moulded AMPOLEMNT16,Allied Moulded AMU1860L,Allied Moulded AMHS075,Allied Moulded AM1868RLW,Allied Moulded PG186</t>
  </si>
  <si>
    <t>Allied Moulded AM1868L ULTRAGUARD Fiberglass reinforced polyester Type 4x Junction Box Enclosure 18" x 16" x 8" (HXWXD) Inside Dimension. Opaque cover hinged with lockable clamp latch. 316 Stainless Steel hinge, latch, external hardware and plated carbon steel internal hardware.</t>
  </si>
  <si>
    <t>Allied Moulded AM1868L ULTRAGUARD Fiberglass reinforced polyester Type 4x Junction Box Enclosure 18" x 16" x 8" (HXWXD). Opaque cover hinged with lockable clamp latch. 316 Stainless Steel hinge, latch, external hardware and plated carbon steel internal hardware.</t>
  </si>
  <si>
    <t>Allied Moulded AM1868L Non Metallic Polyester Enclosure</t>
  </si>
  <si>
    <t>Non-corrosive, non-conductive, light weight with lower installation cost, easy to modify and longer life cycle compared to steel. Rigid design with back panel inserts plus stainless steel mounting brackets and a gasket system encased in a continuous channel on the cover. Note: The cover latching design as of June 26th, 2017 will be changing from 4 to 2 latches and has been properly tested to achieve NEMA 4X ratings!;Rigid design with back panel inserts plus stainless steel mounting brackets and a gasket system encased in a continuous channel on the cover;Note: The cover latching design as of June 26th, 2017 will be changing from 4 to 2 latches and has been properly tested to achieve NEMA 4X ratings!</t>
  </si>
  <si>
    <t>Allied-Moulded-AM1868L.jpg</t>
  </si>
  <si>
    <t>Allied Moulded AM1868T ULTRAGUARD Fiberglass reinforced polyester Type 4x Small Junction Box</t>
  </si>
  <si>
    <t>Allied Moulded AM1868T</t>
  </si>
  <si>
    <t>AM1868T</t>
  </si>
  <si>
    <t>Allied Moulded AMHS075,Allied Moulded PG186,Allied Moulded AMPOLEMNT16,Allied Moulded P186,Allied Moulded AMU1860T,Allied Moulded PF186,Allied Moulded AM1868RTW,Allied Moulded PA186</t>
  </si>
  <si>
    <t>Allied Moulded AM1868T ULTRAGUARD Fiberglass reinforced polyester Type 4x Junction Box Enclosure 18" x 16" x 8" (HXWXD) Inside Dimension. Opaque cover hinged with lockable twist latch. 316 Stainless Steel hinge, latch, external hardware and plated carbon steel internal hardware.</t>
  </si>
  <si>
    <t>Allied Moulded AM1868T ULTRAGUARD Fiberglass reinforced polyester Type 4x Junction Box Enclosure 18" x 16" x 8" (HXWXD). Opaque cover hinged with lockable twist latch. 316 Stainless Steel hinge, latch, external hardware and plated carbon steel internal hardware.</t>
  </si>
  <si>
    <t>Allied Moulded AM1868T Non Metallic Polyester Enclosure</t>
  </si>
  <si>
    <t>Allied-Moulded-AM1868T.jpg</t>
  </si>
  <si>
    <t>Allied Moulded AM1868W ULTRAGUARD Fiberglass reinforced polyester Type 4x Small Window Junction Box</t>
  </si>
  <si>
    <t>Allied Moulded AM1868W</t>
  </si>
  <si>
    <t>AM1868W</t>
  </si>
  <si>
    <t>Allied Moulded AM1868R,Allied Moulded PF186,Allied Moulded P186,Allied Moulded PG186,Allied Moulded AMHS075,Allied Moulded AMU1860W,Allied Moulded AMPOLEMNT16,Allied Moulded PA186</t>
  </si>
  <si>
    <t>Allied Moulded AM1868W ULTRAGUARD Fiberglass reinforced polyester Type 4x Window Junction Box Enclosure 18" x 16" x 8" (HXWXD) Inside Dimension. Bonded clear polycarbonate cover with lift off 4 screw cover. 316 Stainless Steel external hardware and plated carbon steel internal hardware.</t>
  </si>
  <si>
    <t>Allied Moulded AM1868W ULTRAGUARD Fiberglass reinforced polyester Type 4x Window Junction Box Enclosure 18" x 16" x 8" (HXWXD). Bonded clear polycarbonate cover with lift off 4 screw cover. 316 Stainless Steel external hardware and plated carbon steel internal hardware.</t>
  </si>
  <si>
    <t>Allied Moulded AM1868W Non Metallic Polyester Window Enclosure</t>
  </si>
  <si>
    <t>Allied-Moulded-AM1868W.jpg</t>
  </si>
  <si>
    <t>Allied Moulded AM1868HW ULTRAGUARD Fiberglass reinforced polyester Type 4x Small Window Junction Box</t>
  </si>
  <si>
    <t>Allied Moulded AM1868HW</t>
  </si>
  <si>
    <t>AM1868HW</t>
  </si>
  <si>
    <t>Allied Moulded AMHS075,Allied Moulded PF186,Allied Moulded P186,Allied Moulded AMPOLEMNT16,Allied Moulded PG186,Allied Moulded PA186,Allied Moulded AM1868RH,Allied Moulded AMU1860HW</t>
  </si>
  <si>
    <t>Allied Moulded AM1868HW ULTRAGUARD Fiberglass reinforced polyester Type 4x Window Junction Box Enclosure 18" x 16" x 8" (HXWXD) Inside Dimension. Bonded clear polycarbonate cover with hinged 2 screw cover. 316 Stainless Steel hinge, external hardware and plated carbon steel internal hardware.</t>
  </si>
  <si>
    <t>Allied Moulded AM1868HW ULTRAGUARD Fiberglass reinforced polyester Type 4x Window Junction Box Enclosure 18" x 16" x 8" (HXWXD). Bonded clear polycarbonate cover with hinged 2 screw cover. 316 Stainless Steel hinge, external hardware and plated carbon steel internal hardware.</t>
  </si>
  <si>
    <t>Allied Moulded AM1868HW Non Metallic Polyester Window Enclosure</t>
  </si>
  <si>
    <t>Allied-Moulded-AM1868HW.jpg</t>
  </si>
  <si>
    <t>Allied Moulded AM1868LW ULTRAGUARD Fiberglass reinforced polyester Type 4x Small Window Junction Box</t>
  </si>
  <si>
    <t>Allied Moulded AM1868LW</t>
  </si>
  <si>
    <t>AM1868LW</t>
  </si>
  <si>
    <t>Allied Moulded PA186,Allied Moulded AMU1860LW,Allied Moulded AM1868RL,Allied Moulded AMHS075,Allied Moulded AMPOLEMNT16,Allied Moulded P186,Allied Moulded PF186,Allied Moulded PG186</t>
  </si>
  <si>
    <t>Allied Moulded AM1868LW ULTRAGUARD Fiberglass reinforced polyester Type 4x Window Junction Box Enclosure 18" x 16" x 8" (HXWXD) Inside Dimension. Bonded clear polycarbonate cover hinged with lockable clamp latch. 316 Stainless Steel hinge, latch, external hardware and plated carbon steel internal hardware.</t>
  </si>
  <si>
    <t>Allied Moulded AM1868LW ULTRAGUARD Fiberglass reinforced polyester Type 4x Window Junction Box Enclosure 18" x 16" x 8" (HXWXD). Bonded clear polycarbonate cover hinged with lockable clamp latch. 316 Stainless Steel hinge, latch, external hardware and plated carbon steel internal hardware.</t>
  </si>
  <si>
    <t>Allied Moulded AM1868LW Non Metallic Polyester Window Enclosure</t>
  </si>
  <si>
    <t>Allied-Moulded-AM1868LW.jpg</t>
  </si>
  <si>
    <t>Allied Moulded AM1868TW ULTRAGUARD Fiberglass reinforced polyester Type 4x Small Window Junction Box</t>
  </si>
  <si>
    <t>Allied Moulded AM1868TW</t>
  </si>
  <si>
    <t>AM1868TW</t>
  </si>
  <si>
    <t>Allied Moulded AMU1860TW,Allied Moulded PA186,Allied Moulded AM1868RTW,Allied Moulded AMPOLEMNT16,Allied Moulded P186,Allied Moulded PF186,Allied Moulded PG186,Allied Moulded AMHS075</t>
  </si>
  <si>
    <t>Allied Moulded AM1868TW ULTRAGUARD Fiberglass reinforced polyester Type 4x Window Junction Box Enclosure 18" x 16" x 8" (HXWXD) Inside Dimension. Bonded clear polycarbonate cover hinged with lockable twist latch. 316 Stainless Steel hinge, latch, external hardware and plated carbon steel internal hardware.</t>
  </si>
  <si>
    <t>Allied Moulded AM1868TW ULTRAGUARD Fiberglass reinforced polyester Type 4x Window Junction Box Enclosure 18" x 16" x 8" (HXWXD). Bonded clear polycarbonate cover hinged with lockable twist latch. 316 Stainless Steel hinge, latch, external hardware and plated carbon steel internal hardware.</t>
  </si>
  <si>
    <t>Allied Moulded AM1868TW Non Metallic Polyester Window Enclosure</t>
  </si>
  <si>
    <t>Allied-Moulded-AM1868TW.jpg</t>
  </si>
  <si>
    <t>Allied Moulded AMU1860H Enclosure 18" x 16" x 10"</t>
  </si>
  <si>
    <t>Allied Moulded AMU1860H</t>
  </si>
  <si>
    <t>AMU1860H</t>
  </si>
  <si>
    <t>Allied Moulded PA186,Allied Moulded PG186,Allied Moulded AM1868H,Allied Moulded AMU1860L,Allied Moulded P186,Allied Moulded AMU1860HW,Allied Moulded HFPU186,Allied Moulded PF186,Allied Moulded AMHS075</t>
  </si>
  <si>
    <t>Allied Moulded AMU1860H ULTRALINE AMU Series JIC Size Fiberglass Enclosure 18" x 16" x 10" (HxWxD) Approx. Inside Dimensions Hinged Screw Cover.</t>
  </si>
  <si>
    <t>Allied-Moulded-AMU1860H.jpg</t>
  </si>
  <si>
    <t>Allied Moulded AMU1860L Enclosure 18" x 16" x 10"</t>
  </si>
  <si>
    <t>Allied Moulded AMU1860L</t>
  </si>
  <si>
    <t>AMU1860L</t>
  </si>
  <si>
    <t>Allied Moulded AMHS075,Allied Moulded PA186,Allied Moulded PG186,Allied Moulded AMU1860LW,Allied Moulded AM1868L,Allied Moulded P186,Allied Moulded PF186,Allied Moulded AMU1860T,Allied Moulded HFPU186</t>
  </si>
  <si>
    <t>Allied Moulded AMU1860L ULTRALINE AMU Series JIC Size Fiberglass Enclosure 18" x 16" x 10" (HxWxD) Approx. Inside Dimensions Metal Snap Latch Hinged Cover.</t>
  </si>
  <si>
    <t>Allied-Moulded-AMU1860L.jpg</t>
  </si>
  <si>
    <t>Allied Moulded AMU1860LF Enclosure 18" x 16" x 10"</t>
  </si>
  <si>
    <t>Allied Moulded AMU1860LF</t>
  </si>
  <si>
    <t>AMU1860LF</t>
  </si>
  <si>
    <t>Allied Moulded AM1868L,Allied Moulded AMPOLEMNT16,Allied Moulded HFPU186,Allied Moulded PF186,Allied Moulded AMHS075,Allied Moulded PG186,Allied Moulded AMU1860TF,Allied Moulded PA186,Allied Moulded P186,Allied Moulded AMU1860LWF</t>
  </si>
  <si>
    <t>Allied Moulded AMU1860LF ULTRALINE AMU Series JIC Size Fiberglass Enclosure 18" x 16" x 10" (HxWxD) Approx. Inside Dimensions Metal Snap Latch Hinged Cover.</t>
  </si>
  <si>
    <t>Allied-Moulded-AMU1860LF.jpg</t>
  </si>
  <si>
    <t>Allied Moulded AMU1860T Enclosure 18" x 16" x 10"</t>
  </si>
  <si>
    <t>Allied Moulded AMU1860T</t>
  </si>
  <si>
    <t>AMU1860T</t>
  </si>
  <si>
    <t>Allied Moulded AMHS075,Allied Moulded AMU1860TW,Allied Moulded AM1868T,Allied Moulded PF186,Allied Moulded PA186,Allied Moulded PG186,Allied Moulded HFPU186,Allied Moulded AMU1860L,Allied Moulded P186</t>
  </si>
  <si>
    <t>Allied Moulded AMU1860T ULTRALINE AMU Series JIC Size Fiberglass Enclosure 18" x 16" x 10" (HxWxD) Approx. Inside Dimensions Lockable Twist Latch Hinged Cover.</t>
  </si>
  <si>
    <t>Allied-Moulded-AMU1860T.jpg</t>
  </si>
  <si>
    <t>Allied Moulded AMU1860TF Enclosure 18" x 16" x 10"</t>
  </si>
  <si>
    <t>Allied Moulded AMU1860TF</t>
  </si>
  <si>
    <t>AMU1860TF</t>
  </si>
  <si>
    <t>Allied Moulded HFPU186,Allied Moulded AM1868T,Allied Moulded AMPOLEMNT16,Allied Moulded PG186,Allied Moulded AMHS075,Allied Moulded PA186,Allied Moulded P186,Allied Moulded AMU1860LF,Allied Moulded PF186</t>
  </si>
  <si>
    <t>Allied Moulded AMU1860TF ULTRALINE AMU Series JIC Size Fiberglass Enclosure 18" x 16" x 10" (HxWxD) Approx. Inside Dimensions Lockable Twist Latch Hinged Cover.</t>
  </si>
  <si>
    <t>Allied-Moulded-AMU1860TF.jpg</t>
  </si>
  <si>
    <t>Allied Moulded AMU1860W Enclosure 18" x 16" x 10"</t>
  </si>
  <si>
    <t>Allied Moulded AMU1860W</t>
  </si>
  <si>
    <t>AMU1860W</t>
  </si>
  <si>
    <t>Allied Moulded AMHS075,Allied Moulded HFPU186,Allied Moulded PG186,Allied Moulded P186,Allied Moulded AM1868W,Allied Moulded AMU1860LW,Allied Moulded PA186,Allied Moulded PF186</t>
  </si>
  <si>
    <t>Allied Moulded AMU1860W ULTRALINE AMU Series JIC Size Fiberglass Enclosure 18" x 16" x 10" (HxWxD) Approx. Inside Dimensions Lift-Off Screw Cover.</t>
  </si>
  <si>
    <t>Allied-Moulded-AMU1860W.jpg</t>
  </si>
  <si>
    <t>Allied Moulded AMU1860WF Enclosure 18" x 16" x 10"</t>
  </si>
  <si>
    <t>Allied Moulded AMU1860WF</t>
  </si>
  <si>
    <t>AMU1860WF</t>
  </si>
  <si>
    <t>Allied Moulded AMPOLEMNT16,Allied Moulded PF186,Allied Moulded P186,Allied Moulded PG186,Allied Moulded AMHS075,Allied Moulded PA186,Allied Moulded HFPU186,Allied Moulded AM1868W,Allied Moulded AMU1860TWF</t>
  </si>
  <si>
    <t>Allied Moulded AMU1860WF ULTRALINE AMU Series JIC Size Fiberglass Enclosure 18" x 16" x 10" (HxWxD) Approx. Inside Dimensions Lift-Off Screw Cover.</t>
  </si>
  <si>
    <t>Allied-Moulded-AMU1860WF.jpg</t>
  </si>
  <si>
    <t>Allied Moulded AMU1860HW Enclosure 18" x 16" x 10"</t>
  </si>
  <si>
    <t>Allied Moulded AMU1860HW</t>
  </si>
  <si>
    <t>AMU1860HW</t>
  </si>
  <si>
    <t>Allied Moulded PA186,Allied Moulded AMHS075,Allied Moulded PG186,Allied Moulded HFPU186,Allied Moulded P186,Allied Moulded AMU1860LW,Allied Moulded AM1868H,Allied Moulded PF186</t>
  </si>
  <si>
    <t>Allied Moulded AMU1860HW ULTRALINE AMU Series JIC Size Fiberglass Enclosure 18" x 16" x 10" (HxWxD) Approx. Inside Dimensions Hinged Screw Cover.</t>
  </si>
  <si>
    <t>Allied-Moulded-AMU1860HW.jpg</t>
  </si>
  <si>
    <t>Allied Moulded AMU1860HWF Enclosure 18" x 16" x 10"</t>
  </si>
  <si>
    <t>Allied Moulded AMU1860HWF</t>
  </si>
  <si>
    <t>AMU1860HWF</t>
  </si>
  <si>
    <t>Allied Moulded PF186,Allied Moulded PG186,Allied Moulded PA186,Allied Moulded AM1868HW,Allied Moulded AMHS075,Allied Moulded HFPU186,Allied Moulded AMU1860TWF,Allied Moulded AMPOLEMNT16,Allied Moulded P186</t>
  </si>
  <si>
    <t>Allied Moulded AMU1860HWF ULTRALINE AMU Series JIC Size Fiberglass Enclosure 18" x 16" x 10" (HxWxD) Approx. Inside Dimensions Hinged Screw Cover.</t>
  </si>
  <si>
    <t>Allied-Moulded-AMU1860HWF.jpg</t>
  </si>
  <si>
    <t>Allied Moulded AMU1860LW Enclosure 18" x 16" x 10"</t>
  </si>
  <si>
    <t>Allied Moulded AMU1860LW</t>
  </si>
  <si>
    <t>AMU1860LW</t>
  </si>
  <si>
    <t>Allied Moulded HFPU186,Allied Moulded P186,Allied Moulded PG186,Allied Moulded PF186,Allied Moulded AM1868LW,Allied Moulded AMHS075,Allied Moulded PA186,Allied Moulded AMU1860TW</t>
  </si>
  <si>
    <t>Allied Moulded AMU1860LW ULTRALINE AMU Series JIC Size Fiberglass Enclosure 18" x 16" x 10" (HxWxD) Approx. Inside Dimensions Metal Snap Latch Hinged Cover.</t>
  </si>
  <si>
    <t>Allied-Moulded-AMU1860LW.jpg</t>
  </si>
  <si>
    <t>Allied Moulded AMU1860NLW Enclosure 18" x 16" x 10"</t>
  </si>
  <si>
    <t>Allied Moulded AMU1860NLW</t>
  </si>
  <si>
    <t>AMU1860NLW</t>
  </si>
  <si>
    <t>Allied Moulded HFPU186,Allied Moulded PF186,Allied Moulded AMHS075,Allied Moulded AM1868LW,Allied Moulded PG186,Allied Moulded P186,Allied Moulded AMU1860LW,Allied Moulded AMU1860TW,Allied Moulded PA186</t>
  </si>
  <si>
    <t>Allied Moulded AMU1860NLW ULTRALINE AMU Series JIC Size Fiberglass Enclosure with Windows 18" x 16" x 10" (HxWxD) Approx. Inside Dimensions Nonmetallic Snap Latch Hinged Cover.</t>
  </si>
  <si>
    <t>Allied-Moulded-AMU1860NLW.jpg</t>
  </si>
  <si>
    <t>Allied Moulded AMU1860NLWF Enclosure 18" x 16" x 10"</t>
  </si>
  <si>
    <t>Allied Moulded AMU1860NLWF</t>
  </si>
  <si>
    <t>AMU1860NLWF</t>
  </si>
  <si>
    <t>Allied Moulded AMHS075,Allied Moulded AM1868LW,Allied Moulded HFPU186,Allied Moulded PF186,Allied Moulded PA186,Allied Moulded AMPOLEMNT16,Allied Moulded PG186,Allied Moulded AMU1860TWF,Allied Moulded P186</t>
  </si>
  <si>
    <t>Allied Moulded AMU1860NLWF ULTRALINE AMU Series JIC Size Fiberglass Enclosure with Windows 18" x 16" x 10" (HxWxD) Approx. Inside Dimensions Nonmetallic Snap Latch Hinged Cover.</t>
  </si>
  <si>
    <t>Allied-Moulded-AMU1860NLWF.jpg</t>
  </si>
  <si>
    <t>Allied Moulded AMU1860TW Enclosure 18" x 16" x 10"</t>
  </si>
  <si>
    <t>Allied Moulded AMU1860TW</t>
  </si>
  <si>
    <t>AMU1860TW</t>
  </si>
  <si>
    <t>Allied Moulded PG186,Allied Moulded PF186,Allied Moulded AMU1860LW,Allied Moulded HFPU186,Allied Moulded AMHS075,Allied Moulded PA186,Allied Moulded AM1868TW,Allied Moulded P186</t>
  </si>
  <si>
    <t>Allied Moulded AMU1860TW ULTRALINE AMU Series JIC Size Fiberglass Enclosure with Windows 18" x 16" x 10" (HxWxD) Approx. Inside Dimensions Lockable Twist Latch Hinged Cover.</t>
  </si>
  <si>
    <t>Allied-Moulded-AMU1860TW.jpg</t>
  </si>
  <si>
    <t>Allied Moulded AMU1860TWF Enclosure 18" x 16" x 10"</t>
  </si>
  <si>
    <t>Allied Moulded AMU1860TWF</t>
  </si>
  <si>
    <t>AMU1860TWF</t>
  </si>
  <si>
    <t>Allied Moulded HFPU186,Allied Moulded AM1868TW,Allied Moulded PG186,Allied Moulded P186,Allied Moulded AMHS075,Allied Moulded AMU1860LWF,Allied Moulded AMPOLEMNT16,Allied Moulded PF186,Allied Moulded PA186</t>
  </si>
  <si>
    <t>Allied Moulded AMU1860TWF ULTRALINE AMU Series JIC Size Fiberglass Enclosure with Windows 18" x 16" x 10" (HxWxD) Approx. Inside Dimensions Lockable Twist Latch Hinged Cover.</t>
  </si>
  <si>
    <t>Allied-Moulded-AMU1860TWF.jpg</t>
  </si>
  <si>
    <t>Allied Moulded AM1868 ULTRAGUARD Fiberglass reinforced polyester Type 4x Small Junction Box</t>
  </si>
  <si>
    <t>Allied Moulded AM1868</t>
  </si>
  <si>
    <t>AM1868</t>
  </si>
  <si>
    <t>Allied Moulded PA186,Allied Moulded AMHS075,Allied Moulded PG186,Allied Moulded AM1868RW,Allied Moulded AMU1860,Allied Moulded PF186,Allied Moulded AMPOLEMNT16,Allied Moulded P186</t>
  </si>
  <si>
    <t>Allied Moulded AM1868 ULTRAGUARD Fiberglass reinforced polyester Type 4x Junction Box Enclosure 18" x 16" x 8" (HXWXD) Inside Dimension. Opaque cover with lift off 4 screw cover. 316 Stainless Steel external hardware and plated carbon steel internal hardware.</t>
  </si>
  <si>
    <t>Allied Moulded AM1868 ULTRAGUARD Fiberglass reinforced polyester Type 4x Junction Box Enclosure 18" x 16" x 8" (HXWXD). Opaque cover with lift off 4 screw cover. 316 Stainless Steel external hardware and plated carbon steel internal hardware.</t>
  </si>
  <si>
    <t>Allied Moulded AM1868 Non Metallic Polyester Enclosure</t>
  </si>
  <si>
    <t>Allied-Moulded-AM1868.jpg</t>
  </si>
  <si>
    <t>Allied Moulded AMU1860 Enclosure 18" x 16" x 10"</t>
  </si>
  <si>
    <t>Allied Moulded AMU1860</t>
  </si>
  <si>
    <t>AMU1860</t>
  </si>
  <si>
    <t>Allied Moulded PA186,Allied Moulded PF186,Allied Moulded P186,Allied Moulded AMHS075,Allied Moulded AMU1860L,Allied Moulded HFPU186,Allied Moulded PG186,Allied Moulded AM1868,Allied Moulded AMU1860W</t>
  </si>
  <si>
    <t>Allied Moulded AMU1860 ULTRALINE AMU Series JIC Size Fiberglass Enclosure 18" x 16" x 10" (HxWxD) Approx. Inside Dimensions Lift-Off Screw Cover.</t>
  </si>
  <si>
    <t>Allied-Moulded-AMU1860.jpg</t>
  </si>
  <si>
    <t>Allied Moulded AMU1860F Enclosure 18" x 16" x 10"</t>
  </si>
  <si>
    <t>Allied Moulded AMU1860F</t>
  </si>
  <si>
    <t>AMU1860F</t>
  </si>
  <si>
    <t>Allied Moulded AMPOLEMNT16,Allied Moulded AMU1860WF,Allied Moulded P186,Allied Moulded PG186,Allied Moulded AMHS075,Allied Moulded PF186,Allied Moulded AM1868,Allied Moulded HFPU186,Allied Moulded PA186</t>
  </si>
  <si>
    <t>Allied Moulded AMU1860F ULTRALINE AMU Series JIC Size Fiberglass Enclosure 18" x 16" x 10" (HxWxD) Approx. Inside Dimensions Lift-Off Screw Cover.</t>
  </si>
  <si>
    <t>Allied-Moulded-AMU1860F.jpg</t>
  </si>
  <si>
    <t>Allied Moulded AMU1860NL Enclosure 18" x 16" x 10"</t>
  </si>
  <si>
    <t>Allied Moulded AMU1860NL</t>
  </si>
  <si>
    <t>AMU1860NL</t>
  </si>
  <si>
    <t>Allied Moulded HFPU186,Allied Moulded PF186,Allied Moulded PG186,Allied Moulded AM1868L,Allied Moulded AMHS075,Allied Moulded AMU1860LW,Allied Moulded PA186,Allied Moulded P186,Allied Moulded AMU1860T</t>
  </si>
  <si>
    <t>Allied Moulded AMU1860NL ULTRALINE AMU Series JIC Size Fiberglass Enclosure 18" x 16" x 10" (HxWxD) Approx. Inside Dimensions Nonmetallic Snap Latch Hinged Cover.</t>
  </si>
  <si>
    <t>Allied-Moulded-AMU1860NL.jpg</t>
  </si>
  <si>
    <t>Allied Moulded AMU1860NLF Enclosure 18" x 16" x 10"</t>
  </si>
  <si>
    <t>Allied Moulded AMU1860NLF</t>
  </si>
  <si>
    <t>AMU1860NLF</t>
  </si>
  <si>
    <t>Allied Moulded PA186,Allied Moulded PG186,Allied Moulded AMHS075,Allied Moulded AMPOLEMNT16,Allied Moulded AMU1860LWF,Allied Moulded PF186,Allied Moulded AM1868L,Allied Moulded AMU1860TF,Allied Moulded P186,Allied Moulded HFPU186</t>
  </si>
  <si>
    <t>Allied Moulded AMU1860NLF ULTRALINE AMU Series JIC Size Fiberglass Enclosure 18" x 16" x 10" (HxWxD) Approx. Inside Dimensions Nonmetallic Snap Latch Hinged Cover.</t>
  </si>
  <si>
    <t>Allied-Moulded-AMU1860NLF.jpg</t>
  </si>
  <si>
    <t>Allied Moulded AMP1860CC Enclosure 18" x 16" x 10"</t>
  </si>
  <si>
    <t>Allied Moulded AMP1860CC</t>
  </si>
  <si>
    <t>AMP1860CC</t>
  </si>
  <si>
    <t>Allied Moulded P186,Allied Moulded AMP1860,Allied Moulded AMHS075,Allied Moulded AM1868W,Allied Moulded AMU1860W,Allied Moulded PA186,Allied Moulded PLPVC186</t>
  </si>
  <si>
    <t>Allied Moulded AMP1860CC POLYLINE AMP Series JIC Size Polycarbonate Enclosure with Clear Covers 18" x 16" x 10" (HxWxD) Approx. Inside Dimensions Lift-Off Screw Cover.</t>
  </si>
  <si>
    <t>Allied-Moulded-AMP1860CC.jpg</t>
  </si>
  <si>
    <t>Allied Moulded AMP1860CCF Enclosure 18" x 16" x 10"</t>
  </si>
  <si>
    <t>Allied Moulded AMP1860CCF</t>
  </si>
  <si>
    <t>AMP1860CCF</t>
  </si>
  <si>
    <t>Allied Moulded AMU2060WF,Allied Moulded AMHS075,Allied Moulded PLPVC186,Allied Moulded AMP1860F,Allied Moulded AMPOLEMNT16,Allied Moulded PA186,Allied Moulded AM1868W,Allied Moulded P186</t>
  </si>
  <si>
    <t>Allied Moulded AMP1860CCF POLYLINE AMP Series JIC Size Polycarbonate Enclosure with Clear Covers 18" x 16" x 10" (HxWxD) Approx. Inside Dimensions Lift-Off Screw Cover.</t>
  </si>
  <si>
    <t>Allied-Moulded-AMP1860CCF.jpg</t>
  </si>
  <si>
    <t>Allied Moulded AMP1860CCH Enclosure 18" x 16" x 10"</t>
  </si>
  <si>
    <t>Allied Moulded AMP1860CCH</t>
  </si>
  <si>
    <t>AMP1860CCH</t>
  </si>
  <si>
    <t>Allied Moulded AMU1860HW,Allied Moulded PA186,Allied Moulded AMP1860H,Allied Moulded AMHS075,Allied Moulded AM1868HW,Allied Moulded PLPVC186,Allied Moulded P186</t>
  </si>
  <si>
    <t>Allied Moulded AMP1860CCH POLYLINE AMP Series JIC Size Polycarbonate Enclosure with Clear Covers 18" x 16" x 10" (HxWxD) Approx. Inside Dimensions Hinged Screw Cover.</t>
  </si>
  <si>
    <t>Allied-Moulded-AMP1860CCH.jpg</t>
  </si>
  <si>
    <t>Allied Moulded AMP1860CCHF Enclosure 18" x 16" x 10"</t>
  </si>
  <si>
    <t>Allied Moulded AMP1860CCHF</t>
  </si>
  <si>
    <t>AMP1860CCHF</t>
  </si>
  <si>
    <t>Allied Moulded P186,Allied Moulded PLPVC186,Allied Moulded AMP1860HF,Allied Moulded AMPOLEMNT16,Allied Moulded PA186,Allied Moulded AMHS075,Allied Moulded AM1868HW,Allied Moulded AMU1860HWF</t>
  </si>
  <si>
    <t>Allied Moulded AMP1860CCHF POLYLINE AMP Series JIC Size Polycarbonate Enclosure with Clear Covers 18" x 16" x 10" (HxWxD) Approx. Inside Dimensions Hinged Screw Cover.</t>
  </si>
  <si>
    <t>Allied-Moulded-AMP1860CCHF.jpg</t>
  </si>
  <si>
    <t>Allied Moulded AMP1860CCL Enclosure 18" x 16" x 10"</t>
  </si>
  <si>
    <t>Allied Moulded AMP1860CCL</t>
  </si>
  <si>
    <t>AMP1860CCL</t>
  </si>
  <si>
    <t>Allied Moulded AMP1860L,Allied Moulded AMU1860LW,Allied Moulded PLPVC186,Allied Moulded AMHS075,Allied Moulded P186,Allied Moulded PA186,Allied Moulded AM1868LW</t>
  </si>
  <si>
    <t>Allied Moulded AMP1860CCL POLYLINE AMP Series JIC Size Polycarbonate Enclosure with Clear Covers 18" x 16" x 10" (HxWxD) Approx. Inside Dimensions Stainless Steel Lockable Snap Latch Hinged Cover.</t>
  </si>
  <si>
    <t>Allied-Moulded-AMP1860CCL.jpg</t>
  </si>
  <si>
    <t>Allied Moulded AMP1860CCLF Enclosure 18" x 16" x 10"</t>
  </si>
  <si>
    <t>Allied Moulded AMP1860CCLF</t>
  </si>
  <si>
    <t>AMP1860CCLF</t>
  </si>
  <si>
    <t>Allied Moulded AM1868LW,Allied Moulded PLPVC186,Allied Moulded PA186,Allied Moulded P186,Allied Moulded AMU1860LWF,Allied Moulded AMHS075,Allied Moulded AMPOLEMNT16,Allied Moulded AMP1860LF</t>
  </si>
  <si>
    <t>Allied Moulded AMP1860CCLF POLYLINE AMP Series JIC Size Polycarbonate Enclosure with Clear Covers 18" x 16" x 10" (HxWxD) Approx. Inside Dimensions Stainless Steel Lockable Snap Latch Hinged Cover.</t>
  </si>
  <si>
    <t>Allied-Moulded-AMP1860CCLF.jpg</t>
  </si>
  <si>
    <t>Allied Moulded AMP1860CCNLF Enclosure 18" x 16" x 10"</t>
  </si>
  <si>
    <t>Allied Moulded AMP1860CCNLF</t>
  </si>
  <si>
    <t>AMP1860CCNLF</t>
  </si>
  <si>
    <t>Allied Moulded P186,Allied Moulded AMPOLEMNT16,Allied Moulded AMHS075,Allied Moulded AMU1860NLWF,Allied Moulded AM1868LW,Allied Moulded PA186,Allied Moulded PLPVC186,Allied Moulded AMP1860NLF</t>
  </si>
  <si>
    <t>Allied Moulded AMP1860CCNLF POLYLINE AMP Series JIC Size Polycarbonate Enclosure with Clear Covers 18" x 16" x 10" (HxWxD) Approx. Inside Dimensions Nonmetallic Snap Latch Hinged Cover.</t>
  </si>
  <si>
    <t>Allied-Moulded-AMP1860CCNLF.jpg</t>
  </si>
  <si>
    <t>Allied Moulded AMP1860 Enclosure 18" x 16" x 10"</t>
  </si>
  <si>
    <t>Allied Moulded AMP1860</t>
  </si>
  <si>
    <t>AMP1860</t>
  </si>
  <si>
    <t>Allied Moulded PA186,Allied Moulded AM1868,Allied Moulded AMP1860CC,Allied Moulded AMU1860,Allied Moulded P186,Allied Moulded AMHS075,Allied Moulded PLPVC186</t>
  </si>
  <si>
    <t>Allied Moulded AMP1860 POLYLINE AMP Series JIC Size Polycarbonate 18" x 16" x 10" (HxWxD) Approx. Inside Dimensions Lift-Off Screw Cover.</t>
  </si>
  <si>
    <t>Allied-Moulded-AMP1860.jpg</t>
  </si>
  <si>
    <t>Allied Moulded AMP1860F Enclosure 18" x 16" x 10"</t>
  </si>
  <si>
    <t>Allied Moulded AMP1860F</t>
  </si>
  <si>
    <t>AMP1860F</t>
  </si>
  <si>
    <t>Allied Moulded AMPOLEMNT16,Allied Moulded AMP1860CCF,Allied Moulded PLPVC186,Allied Moulded AMU1860F,Allied Moulded AMHS075,Allied Moulded PA186,Allied Moulded P186,Allied Moulded AM1868</t>
  </si>
  <si>
    <t>Allied Moulded AMP1860F POLYLINE AMP Series JIC Size Polycarbonate 18" x 16" x 10" (HxWxD) Approx. Inside Dimensions Lift-Off Screw Cover.</t>
  </si>
  <si>
    <t>Allied-Moulded-AMP1860F.jpg</t>
  </si>
  <si>
    <t>Allied Moulded AMP1860H Enclosure 18" x 16" x 10"</t>
  </si>
  <si>
    <t>Allied Moulded AMP1860H</t>
  </si>
  <si>
    <t>AMP1860H</t>
  </si>
  <si>
    <t>Allied Moulded AM1868H,Allied Moulded AMHS075,Allied Moulded AMP1860CCH,Allied Moulded P186,Allied Moulded AMU1860H,Allied Moulded PLPVC186,Allied Moulded PA186</t>
  </si>
  <si>
    <t>Allied Moulded AMP1860H POLYLINE AMP Series JIC Size Polycarbonate 18" x 16" x 10" (HxWxD) Approx. Inside Dimensions Hinged Screw Cover.</t>
  </si>
  <si>
    <t>Allied-Moulded-AMP1860H.jpg</t>
  </si>
  <si>
    <t>Allied Moulded AMP1860HF Enclosure 18" x 16" x 10"</t>
  </si>
  <si>
    <t>Allied Moulded AMP1860HF</t>
  </si>
  <si>
    <t>AMP1860HF</t>
  </si>
  <si>
    <t>Allied Moulded AMU1860HF,Allied Moulded AM1868H,Allied Moulded PLPVC186,Allied Moulded AMPOLEMNT16,Allied Moulded PA186,Allied Moulded P186,Allied Moulded AMP1860CCHF,Allied Moulded AMHS075</t>
  </si>
  <si>
    <t>Allied Moulded AMP1860HF POLYLINE AMP Series JIC Size Polycarbonate 18" x 16" x 10" (HxWxD) Approx. Inside Dimensions Hinged Screw Cover.</t>
  </si>
  <si>
    <t>Allied-Moulded-AMP1860HF.jpg</t>
  </si>
  <si>
    <t>Allied Moulded AMP1860L Enclosure 18" x 16" x 10"</t>
  </si>
  <si>
    <t>Allied Moulded AMP1860L</t>
  </si>
  <si>
    <t>AMP1860L</t>
  </si>
  <si>
    <t>Allied Moulded AMP1860CCL,Allied Moulded AMU1860L,Allied Moulded AMHS075,Allied Moulded PA186,Allied Moulded PLPVC186,Allied Moulded AM1868L,Allied Moulded P186</t>
  </si>
  <si>
    <t>Allied Moulded AMP1860L POLYLINE AMP Series JIC Size Polycarbonate 18" x 16" x 10" (HxWxD) Approx. Inside Dimensions Stainless Steel Lockable Snap Latch Hinged Cover.</t>
  </si>
  <si>
    <t>Allied-Moulded-AMP1860L.jpg</t>
  </si>
  <si>
    <t>Allied Moulded AMP1860LF Enclosure 18" x 16" x 10"</t>
  </si>
  <si>
    <t>Allied Moulded AMP1860LF</t>
  </si>
  <si>
    <t>AMP1860LF</t>
  </si>
  <si>
    <t>Allied Moulded AMP1860CCLF,Allied Moulded AMPOLEMNT16,Allied Moulded PA186,Allied Moulded PLPVC186,Allied Moulded AMHS075,Allied Moulded AM1868L,Allied Moulded AMU1860LF,Allied Moulded P186</t>
  </si>
  <si>
    <t>Allied Moulded AMP1860LF POLYLINE AMP Series JIC Size Polycarbonate 18" x 16" x 10" (HxWxD) Approx. Inside Dimensions Stainless Steel Lockable Snap Latch Hinged Cover.</t>
  </si>
  <si>
    <t>Allied-Moulded-AMP1860LF.jpg</t>
  </si>
  <si>
    <t>Allied Moulded AMP1860NL Enclosure 18" x 16" x 10"</t>
  </si>
  <si>
    <t>Allied Moulded AMP1860NL</t>
  </si>
  <si>
    <t>AMP1860NL</t>
  </si>
  <si>
    <t>Allied Moulded P186,Allied Moulded AMU1860NL,Allied Moulded AMHS075,Allied Moulded AM1868L,Allied Moulded PLPVC186,Allied Moulded PA186,Allied Moulded AMP1860CCNL</t>
  </si>
  <si>
    <t>Allied Moulded AMP1860NL POLYLINE AMP Series JIC Size Polycarbonate 18" x 16" x 10" (HxWxD) Approx. Inside Dimensions Nonmetallic Snap Latch Hinged Cover.</t>
  </si>
  <si>
    <t>Allied-Moulded-AMP1860NL.jpg</t>
  </si>
  <si>
    <t>Allied Moulded AMP1860NLF Enclosure 18" x 16" x 10"</t>
  </si>
  <si>
    <t>Allied Moulded AMP1860NLF</t>
  </si>
  <si>
    <t>AMP1860NLF</t>
  </si>
  <si>
    <t>Allied Moulded AMP1860CCNLF,Allied Moulded AMHS075,Allied Moulded P186,Allied Moulded AMU1860NLF,Allied Moulded AM1868L,Allied Moulded PLPVC186,Allied Moulded PA186,Allied Moulded AMPOLEMNT16</t>
  </si>
  <si>
    <t>Allied Moulded AMP1860NLF POLYLINE AMP Series JIC Size Polycarbonate 18" x 16" x 10" (HxWxD) Approx. Inside Dimensions Nonmetallic Snap Latch Hinged Cover.</t>
  </si>
  <si>
    <t>Allied-Moulded-AMP1860NLF.jpg</t>
  </si>
  <si>
    <t>Allied Moulded AM2068R Enclosure 20.00" x 16.00" x 9.75"</t>
  </si>
  <si>
    <t>Allied Moulded AM2068R</t>
  </si>
  <si>
    <t>AM2068R</t>
  </si>
  <si>
    <t>Allied Moulded PL206,Allied Moulded PF206,Allied Moulded PLA206,Allied Moulded AMPOLEMNT16,Allied Moulded AMHS100,Allied Moulded AM2068RLW,Allied Moulded AMU2060L</t>
  </si>
  <si>
    <t>Allied Moulded AM2068R AM-R Series JIC Size Fiberglass Enclosure 20.00" x 16.00" x 9.75" (HxWxD) Approx. Inside Dimensions Raised Lift-Off Screw Cover.</t>
  </si>
  <si>
    <t>Allied-Moulded-AM2068R.jpg</t>
  </si>
  <si>
    <t>20"</t>
  </si>
  <si>
    <t>Allied Moulded AM2068RH Enclosure 20.00" x 16.00" x 9.75"</t>
  </si>
  <si>
    <t>Allied Moulded AM2068RH</t>
  </si>
  <si>
    <t>AM2068RH</t>
  </si>
  <si>
    <t>Allied Moulded AM2068RHW,Allied Moulded AMPOLEMNT16,Allied Moulded PF206,Allied Moulded AMHS100,Allied Moulded PLA206,Allied Moulded PL206,Allied Moulded AMU2060H</t>
  </si>
  <si>
    <t>Allied Moulded AM2068RH AM-R Series JIC Size Fiberglass Enclosure 20.00" x 16.00" x 9.75" (HxWxD) Approx. Inside Dimensions Raised Hinged Screw Cover.</t>
  </si>
  <si>
    <t>Allied-Moulded-AM2068RH.jpg</t>
  </si>
  <si>
    <t>Allied Moulded AM2068RL Enclosure 20.00" x 16.00" x 9.75"</t>
  </si>
  <si>
    <t>Allied Moulded AM2068RL</t>
  </si>
  <si>
    <t>AM2068RL</t>
  </si>
  <si>
    <t>Allied Moulded AMHS100,Allied Moulded PL206,Allied Moulded AM2068RLW,Allied Moulded AMU2060L,Allied Moulded AMPOLEMNT16,Allied Moulded PLA206,Allied Moulded PF206</t>
  </si>
  <si>
    <t>Allied Moulded AM2068RL AM-R Series JIC Size Fiberglass Enclosure 20.00" x 16.00" x 9.75" (HxWxD) Approx. Inside Dimensions Raised Stainless Steel Lockable Snap Latch Hinged Cover.</t>
  </si>
  <si>
    <t>Allied-Moulded-AM2068RL.jpg</t>
  </si>
  <si>
    <t>Allied Moulded AM2068RT Enclosure 20.00" x 16.00" x 9.75"</t>
  </si>
  <si>
    <t>Allied Moulded AM2068RT</t>
  </si>
  <si>
    <t>AM2068RT</t>
  </si>
  <si>
    <t>Allied Moulded PF206,Allied Moulded AMPOLEMNT16,Allied Moulded PLA206,Allied Moulded AM2068RTW,Allied Moulded PL206,Allied Moulded AMHS100,Allied Moulded AMU2060T</t>
  </si>
  <si>
    <t>Allied Moulded AM2068RT AM-R Series JIC Size Fiberglass Enclosure 20.00" x 16.00" x 9.75" (HxWxD) Approx. Inside Dimensions Raised Stainless Steel Lockable Twist Latch Hinged Cover.</t>
  </si>
  <si>
    <t>Allied-Moulded-AM2068RT.jpg</t>
  </si>
  <si>
    <t>Allied Moulded AM2068RW Enclosure 20.00" x 16.00" x 9.75"</t>
  </si>
  <si>
    <t>Allied Moulded AM2068RW</t>
  </si>
  <si>
    <t>AM2068RW</t>
  </si>
  <si>
    <t>Allied Moulded PF206,Allied Moulded AMHS100,Allied Moulded AM2068R,Allied Moulded PLA206,Allied Moulded PL206,Allied Moulded AMU2060W,Allied Moulded AMPOLEMNT16</t>
  </si>
  <si>
    <t>Allied Moulded AM2068RW AM-R Series JIC Size Fiberglass Enclosure with Windows 20.00" x 16.00" x 9.75" (HxWxD) Approx. Inside Dimensions Raised Lift-Off Screw Cover.</t>
  </si>
  <si>
    <t>Allied-Moulded-AM2068RW.jpg</t>
  </si>
  <si>
    <t>Allied Moulded AM2068RHW Enclosure 20.00" x 16.00" x 9.75"</t>
  </si>
  <si>
    <t>Allied Moulded AM2068RHW</t>
  </si>
  <si>
    <t>AM2068RHW</t>
  </si>
  <si>
    <t>Allied Moulded AM2068RH,Allied Moulded AMPOLEMNT16,Allied Moulded PL206,Allied Moulded PF206,Allied Moulded AMHS100,Allied Moulded AMU2060HW,Allied Moulded PLA206</t>
  </si>
  <si>
    <t>Allied Moulded AM2068RHW AM-R Series JIC Size Fiberglass Enclosure with Windows 20.00" x 16.00" x 9.75" (HxWxD) Approx. Inside Dimensions Raised Hinged Screw Cover.</t>
  </si>
  <si>
    <t>Allied-Moulded-AM2068RHW.jpg</t>
  </si>
  <si>
    <t>Allied Moulded AM2068RLW Enclosure 20.00" x 16.00" x 9.75"</t>
  </si>
  <si>
    <t>Allied Moulded AM2068RLW</t>
  </si>
  <si>
    <t>AM2068RLW</t>
  </si>
  <si>
    <t>Allied Moulded PF206,Allied Moulded AMPOLEMNT16,Allied Moulded AMU2060LW,Allied Moulded PLA206,Allied Moulded PL206,Allied Moulded AMHS100,Allied Moulded AM2068RL</t>
  </si>
  <si>
    <t>Allied Moulded AM2068RLW AM-R Series JIC Size Fiberglass Enclosure with Windows 20.00" x 16.00" x 9.75" (HxWxD) Approx. Inside Dimensions Raised Stainless Steel Lockable Snap Latch Hinged Cover.</t>
  </si>
  <si>
    <t>Allied-Moulded-AM2068RLW.jpg</t>
  </si>
  <si>
    <t>Allied Moulded AM2068RTW Enclosure 20.00" x 16.00" x 9.75"</t>
  </si>
  <si>
    <t>Allied Moulded AM2068RTW</t>
  </si>
  <si>
    <t>AM2068RTW</t>
  </si>
  <si>
    <t>Allied Moulded AMPOLEMNT16,Allied Moulded PF206,Allied Moulded AMU2060TW,Allied Moulded AMHS100,Allied Moulded PLA206,Allied Moulded AM2068RT,Allied Moulded PL206</t>
  </si>
  <si>
    <t>Allied Moulded AM2068RTW AM-R Series JIC Size Fiberglass Enclosure with Windows 20.00" x 16.00" x 9.75" (HxWxD) Approx. Inside Dimensions Raised Lockable Twist Latch Hinged Cover.</t>
  </si>
  <si>
    <t>Allied-Moulded-AM2068RTW.jpg</t>
  </si>
  <si>
    <t>Allied Moulded AMU2060LF Enclosure 20" x 16" x 10"</t>
  </si>
  <si>
    <t>Allied Moulded AMU2060LF</t>
  </si>
  <si>
    <t>AMU2060LF</t>
  </si>
  <si>
    <t>Allied Moulded PLA206,Allied Moulded AMU2060TF,Allied Moulded AMPOLEMNT16,Allied Moulded AM2068L,Allied Moulded PF206,Allied Moulded HFPU206,Allied Moulded AMHS100,Allied Moulded PL206</t>
  </si>
  <si>
    <t>Allied Moulded AMU2060LF ULTRALINE AMU Series JIC Size Fiberglass Enclosure 20" x 16" x 10" (HxWxD) Approx. Inside Dimensions Metal Snap Latch Hinged Cover.</t>
  </si>
  <si>
    <t>Allied-Moulded-AMU2060LF.jpg</t>
  </si>
  <si>
    <t>Allied Moulded AMU2060TF Enclosure 20" x 16" x 10"</t>
  </si>
  <si>
    <t>Allied Moulded AMU2060TF</t>
  </si>
  <si>
    <t>AMU2060TF</t>
  </si>
  <si>
    <t>Allied Moulded HFPU206,Allied Moulded PL206,Allied Moulded PLA206,Allied Moulded AMU2060LF,Allied Moulded AMPOLEMNT16,Allied Moulded AMHS100,Allied Moulded AM2068T,Allied Moulded PF206</t>
  </si>
  <si>
    <t>Allied Moulded AMU2060TF ULTRALINE AMU Series JIC Size Fiberglass Enclosure 20" x 16" x 10" (HxWxD) Approx. Inside Dimensions Lockable Twist Latch Hinged Cover.</t>
  </si>
  <si>
    <t>Allied-Moulded-AMU2060TF.jpg</t>
  </si>
  <si>
    <t>Allied Moulded AMU2060LW Enclosure 20" x 16" x 10"</t>
  </si>
  <si>
    <t>Allied Moulded AMU2060LW</t>
  </si>
  <si>
    <t>AMU2060LW</t>
  </si>
  <si>
    <t>Allied Moulded PLA206,Allied Moulded HFPU206,Allied Moulded PL206,Allied Moulded AM2068LW,Allied Moulded PF206,Allied Moulded AMU2060TW,Allied Moulded AMHS100</t>
  </si>
  <si>
    <t>Allied Moulded AMU2060LW ULTRALINE AMU Series JIC Size Fiberglass Enclosure 20" x 16" x 10" (HxWxD) Approx. Inside Dimensions Metal Snap Latch Hinged Cover.</t>
  </si>
  <si>
    <t>Allied-Moulded-AMU2060LW.jpg</t>
  </si>
  <si>
    <t>Allied Moulded AMU2060LWF Enclosure 20" x 16" x 10"</t>
  </si>
  <si>
    <t>Allied Moulded AMU2060LWF</t>
  </si>
  <si>
    <t>AMU2060LWF</t>
  </si>
  <si>
    <t>Allied Moulded PF206,Allied Moulded AMPOLEMNT16,Allied Moulded HFPU206,Allied Moulded PLA206,Allied Moulded AMHS100,Allied Moulded AM2068LW,Allied Moulded PL206,Allied Moulded AMU2060TWF</t>
  </si>
  <si>
    <t>Allied Moulded AMU2060LWF ULTRALINE AMU Series JIC Size Fiberglass Enclosure 20" x 16" x 10" (HxWxD) Approx. Inside Dimensions Metal Snap Latch Hinged Cover.</t>
  </si>
  <si>
    <t>Allied-Moulded-AMU2060LWF.jpg</t>
  </si>
  <si>
    <t>Allied Moulded AMU2060TW Enclosure 20" x 16" x 10"</t>
  </si>
  <si>
    <t>Allied Moulded AMU2060TW</t>
  </si>
  <si>
    <t>AMU2060TW</t>
  </si>
  <si>
    <t>Allied Moulded AMHS100,Allied Moulded HFPU206,Allied Moulded PL206,Allied Moulded PLA206,Allied Moulded AMU2060LW,Allied Moulded PF206,Allied Moulded AM2068TW</t>
  </si>
  <si>
    <t>Allied Moulded AMU2060TW ULTRALINE AMU Series JIC Size Fiberglass Enclosure with Windows 20" x 16" x 10" (HxWxD) Approx. Inside Dimensions Lockable Twist Latch Hinged Cover.</t>
  </si>
  <si>
    <t>Allied-Moulded-AMU2060TW.jpg</t>
  </si>
  <si>
    <t>Allied Moulded AMU2060TWF Enclosure 20" x 16" x 10"</t>
  </si>
  <si>
    <t>Allied Moulded AMU2060TWF</t>
  </si>
  <si>
    <t>AMU2060TWF</t>
  </si>
  <si>
    <t>Allied Moulded AMU2060LWF,Allied Moulded PF206,Allied Moulded AMHS100,Allied Moulded HFPU206,Allied Moulded AMPOLEMNT16,Allied Moulded PL206,Allied Moulded AM2068TW,Allied Moulded PLA206</t>
  </si>
  <si>
    <t>Allied Moulded AMU2060TWF ULTRALINE AMU Series JIC Size Fiberglass Enclosure with Windows 20" x 16" x 10" (HxWxD) Approx. Inside Dimensions Lockable Twist Latch Hinged Cover.</t>
  </si>
  <si>
    <t>Allied-Moulded-AMU2060TWF.jpg</t>
  </si>
  <si>
    <t>Allied Moulded AM2068L ULTRAGUARD Fiberglass reinforced polyester Type 4x Small Junction Box</t>
  </si>
  <si>
    <t>Allied Moulded AM2068L</t>
  </si>
  <si>
    <t>AM2068L</t>
  </si>
  <si>
    <t>Allied Moulded PLA206,Allied Moulded PL206,Allied Moulded AM2068RLW,Allied Moulded AMHS100,Allied Moulded AMPOLEMNT16,Allied Moulded PF206,Allied Moulded AMU2060L</t>
  </si>
  <si>
    <t>Allied Moulded AM2068L ULTRAGUARD Fiberglass reinforced polyester Type 4x Junction Box Enclosure 20" x 16" x 8" (HXWXD) Inside Dimension. Opaque cover hinged with lockable clamp latch. 316 Stainless Steel hinge, latch, external hardware and plated carbon steel internal hardware.</t>
  </si>
  <si>
    <t>Allied Moulded AM2068L ULTRAGUARD Fiberglass reinforced polyester Type 4x Junction Box Enclosure 20" x 16" x 8" (HXWXD). Opaque cover hinged with lockable clamp latch. 316 Stainless Steel hinge, latch, external hardware and plated carbon steel internal hardware.</t>
  </si>
  <si>
    <t>Allied Moulded AM2068L Non Metallic Polyester Enclosure</t>
  </si>
  <si>
    <t>Allied-Moulded-AM2068L.jpg</t>
  </si>
  <si>
    <t>Allied Moulded AM2068T ULTRAGUARD Fiberglass reinforced polyester Type 4x Small Junction Box</t>
  </si>
  <si>
    <t>Allied Moulded AM2068T</t>
  </si>
  <si>
    <t>AM2068T</t>
  </si>
  <si>
    <t>Allied Moulded PF206,Allied Moulded AMPOLEMNT16,Allied Moulded PLA206,Allied Moulded PL206,Allied Moulded AMU2060T,Allied Moulded AMHS100,Allied Moulded AM2068RTW</t>
  </si>
  <si>
    <t>Allied Moulded AM2068T ULTRAGUARD Fiberglass reinforced polyester Type 4x Junction Box Enclosure 20" x 16" x 8" (HXWXD) Inside Dimension. Opaque cover hinged with lockable twist latch. 316 Stainless Steel hinge, latch, external hardware and plated carbon steel internal hardware.</t>
  </si>
  <si>
    <t>Allied Moulded AM2068T ULTRAGUARD Fiberglass reinforced polyester Type 4x Junction Box Enclosure 20" x 16" x 8" (HXWXD). Opaque cover hinged with lockable twist latch. 316 Stainless Steel hinge, latch, external hardware and plated carbon steel internal hardware.</t>
  </si>
  <si>
    <t>Allied Moulded AM2068T Non Metallic Polyester Enclosure</t>
  </si>
  <si>
    <t>Allied-Moulded-AM2068T.jpg</t>
  </si>
  <si>
    <t>Allied Moulded AM2068W ULTRAGUARD Fiberglass reinforced polyester Type 4x Small Window Junction Box</t>
  </si>
  <si>
    <t>Allied Moulded AM2068W</t>
  </si>
  <si>
    <t>AM2068W</t>
  </si>
  <si>
    <t>Allied Moulded PLA206,Allied Moulded AMHS100,Allied Moulded PL206,Allied Moulded AMU2060W,Allied Moulded AMPOLEMNT16,Allied Moulded AM2068R,Allied Moulded PF206</t>
  </si>
  <si>
    <t>Allied Moulded AM2068W ULTRAGUARD Fiberglass reinforced polyester Type 4x Window Junction Box Enclosure 20" x 16" x 8" (HXWXD) Inside Dimension. Bonded clear polycarbonate cover with lift off 4 screw cover. 316 Stainless Steel external hardware and plated carbon steel internal hardware.</t>
  </si>
  <si>
    <t>Allied Moulded AM2068W ULTRAGUARD Fiberglass reinforced polyester Type 4x Window Junction Box Enclosure 20" x 16" x 8" (HXWXD). Bonded clear polycarbonate cover with lift off 4 screw cover. 316 Stainless Steel external hardware and plated carbon steel internal hardware.</t>
  </si>
  <si>
    <t>Allied Moulded AM2068W Non Metallic Polyester Window Enclosure</t>
  </si>
  <si>
    <t>Allied-Moulded-AM2068W.jpg</t>
  </si>
  <si>
    <t>Allied Moulded AM2068HW ULTRAGUARD Fiberglass reinforced polyester Type 4x Small Window Junction Box</t>
  </si>
  <si>
    <t>Allied Moulded AM2068HW</t>
  </si>
  <si>
    <t>AM2068HW</t>
  </si>
  <si>
    <t>Allied Moulded AM2068RH,Allied Moulded PL206,Allied Moulded AMPOLEMNT16,Allied Moulded PF206,Allied Moulded AMU2060HW,Allied Moulded PLA206,Allied Moulded AMHS100</t>
  </si>
  <si>
    <t>Allied Moulded AM2068HW ULTRAGUARD Fiberglass reinforced polyester Type 4x Window Junction Box Enclosure 20" x 16" x 8" (HXWXD) Inside Dimension. Bonded clear polycarbonate cover with hinged 2 screw cover. 316 Stainless Steel hinge, external hardware and plated carbon steel internal hardware.</t>
  </si>
  <si>
    <t>Allied Moulded AM2068HW ULTRAGUARD Fiberglass reinforced polyester Type 4x Window Junction Box Enclosure 20" x 16" x 8" (HXWXD). Bonded clear polycarbonate cover with hinged 2 screw cover. 316 Stainless Steel hinge, external hardware and plated carbon steel internal hardware.</t>
  </si>
  <si>
    <t>Allied Moulded AM2068HW Non Metallic Polyester Window Enclosure</t>
  </si>
  <si>
    <t>Allied-Moulded-AM2068HW.jpg</t>
  </si>
  <si>
    <t>Allied Moulded AM2068LW ULTRAGUARD Fiberglass reinforced polyester Type 4x Small Window Junction Box</t>
  </si>
  <si>
    <t>Allied Moulded AM2068LW</t>
  </si>
  <si>
    <t>AM2068LW</t>
  </si>
  <si>
    <t>Allied Moulded AMPOLEMNT16,Allied Moulded AMHS100,Allied Moulded PL206,Allied Moulded AM2068RL,Allied Moulded PLA206,Allied Moulded AMU2060LW,Allied Moulded PF206</t>
  </si>
  <si>
    <t>Allied Moulded AM2068LW ULTRAGUARD Fiberglass reinforced polyester Type 4x Window Junction Box Enclosure 20" x 16" x 8" (HXWXD) Inside Dimension. Bonded clear polycarbonate cover hinged with lockable clamp latch. 316 Stainless Steel hinge, latch, external hardware and plated carbon steel internal hardware.</t>
  </si>
  <si>
    <t>Allied Moulded AM2068LW ULTRAGUARD Fiberglass reinforced polyester Type 4x Window Junction Box Enclosure 20" x 16" x 8" (HXWXD). Bonded clear polycarbonate cover hinged with lockable clamp latch. 316 Stainless Steel hinge, latch, external hardware and plated carbon steel internal hardware.</t>
  </si>
  <si>
    <t>Allied Moulded AM2068LW Non Metallic Polyester Window Enclosure</t>
  </si>
  <si>
    <t>Allied-Moulded-AM2068LW.jpg</t>
  </si>
  <si>
    <t>Allied Moulded AM2068TW ULTRAGUARD Fiberglass reinforced polyester Type 4x Small Window Junction Box</t>
  </si>
  <si>
    <t>Allied Moulded AM2068TW</t>
  </si>
  <si>
    <t>AM2068TW</t>
  </si>
  <si>
    <t>Allied Moulded PLA206,Allied Moulded PF206,Allied Moulded AMPOLEMNT16,Allied Moulded AMHS100,Allied Moulded AMU2060TW,Allied Moulded PL206,Allied Moulded AM2068RT</t>
  </si>
  <si>
    <t>Allied Moulded AM2068TW ULTRAGUARD Fiberglass reinforced polyester Type 4x Window Junction Box Enclosure 20" x 16" x 8" (HXWXD) Inside Dimension. Bonded clear polycarbonate cover hinged with lockable twist latch. 316 Stainless Steel hinge, latch, external hardware and plated carbon steel internal hardware.</t>
  </si>
  <si>
    <t>Allied Moulded AM2068TW ULTRAGUARD Fiberglass reinforced polyester Type 4x Window Junction Box Enclosure 20" x 16" x 8" (HXWXD). Bonded clear polycarbonate cover hinged with lockable twist latch. 316 Stainless Steel hinge, latch, external hardware and plated carbon steel internal hardware.</t>
  </si>
  <si>
    <t>Allied Moulded AM2068TW Non Metallic Polyester Window Enclosure</t>
  </si>
  <si>
    <t>Allied-Moulded-AM2068TW.jpg</t>
  </si>
  <si>
    <t>Allied Moulded AMU2060 Enclosure 20" x 16" x 10"</t>
  </si>
  <si>
    <t>Allied Moulded AMU2060</t>
  </si>
  <si>
    <t>AMU2060</t>
  </si>
  <si>
    <t>Allied Moulded PF206,Allied Moulded HFPU206,Allied Moulded PL206,Allied Moulded PLA206,Allied Moulded AMU2060W,Allied Moulded AM2068,Allied Moulded AMHS100,Allied Moulded AMU2060L</t>
  </si>
  <si>
    <t>Allied Moulded AMU2060 ULTRALINE AMU Series JIC Size Fiberglass Enclosure 20" x 16" x 10" (HxWxD) Approx. Inside Dimensions Lift-Off Screw Cover.</t>
  </si>
  <si>
    <t>Allied-Moulded-AMU2060.jpg</t>
  </si>
  <si>
    <t>Allied Moulded AMU2060F Enclosure 20" x 16" x 10"</t>
  </si>
  <si>
    <t>Allied Moulded AMU2060F</t>
  </si>
  <si>
    <t>AMU2060F</t>
  </si>
  <si>
    <t>Allied Moulded HFPU206,Allied Moulded AMHS100,Allied Moulded PL206,Allied Moulded PLA206,Allied Moulded AMPOLEMNT16,Allied Moulded AM2068,Allied Moulded AMU2060WF,Allied Moulded PF206</t>
  </si>
  <si>
    <t>Allied Moulded AMU2060F ULTRALINE AMU Series JIC Size Fiberglass Enclosure 20" x 16" x 10" (HxWxD) Approx. Inside Dimensions Lift-Off Screw Cover.</t>
  </si>
  <si>
    <t>Allied-Moulded-AMU2060F.jpg</t>
  </si>
  <si>
    <t>Allied Moulded AMU2060H Enclosure 20" x 16" x 10"</t>
  </si>
  <si>
    <t>Allied Moulded AMU2060H</t>
  </si>
  <si>
    <t>AMU2060H</t>
  </si>
  <si>
    <t>Allied Moulded PL206,Allied Moulded AMHS100,Allied Moulded PLA206,Allied Moulded PF206,Allied Moulded HFPU206,Allied Moulded AM2068H,Allied Moulded AMU2060HW,Allied Moulded AMU2060L</t>
  </si>
  <si>
    <t>Allied Moulded AMU2060H ULTRALINE AMU Series JIC Size Fiberglass Enclosure 20" x 16" x 10" (HxWxD) Approx. Inside Dimensions Hinged Screw Cover.</t>
  </si>
  <si>
    <t>Allied-Moulded-AMU2060H.jpg</t>
  </si>
  <si>
    <t>Allied Moulded AMU2060HF Enclosure 20" x 16" x 10"</t>
  </si>
  <si>
    <t>Allied Moulded AMU2060HF</t>
  </si>
  <si>
    <t>AMU2060HF</t>
  </si>
  <si>
    <t>Allied Moulded HFPU206,Allied Moulded PF206,Allied Moulded AMU2060TF,Allied Moulded AMPOLEMNT16,Allied Moulded AMHS100,Allied Moulded AM2068H,Allied Moulded AMU2060HWF,Allied Moulded PL206,Allied Moulded PLA206</t>
  </si>
  <si>
    <t>Allied Moulded AMU2060HF ULTRALINE AMU Series JIC Size Fiberglass Enclosure 20" x 16" x 10" (HxWxD) Approx. Inside Dimensions Hinged Screw Cover.</t>
  </si>
  <si>
    <t>Allied-Moulded-AMU2060HF.jpg</t>
  </si>
  <si>
    <t>Allied Moulded AMU2060L Enclosure 20" x 16" x 10"</t>
  </si>
  <si>
    <t>Allied Moulded AMU2060L</t>
  </si>
  <si>
    <t>AMU2060L</t>
  </si>
  <si>
    <t>Allied Moulded AMHS100,Allied Moulded HFPU206,Allied Moulded AM2068L,Allied Moulded AMU2060T,Allied Moulded PLA206,Allied Moulded PL206,Allied Moulded AMU2060LW,Allied Moulded PF206</t>
  </si>
  <si>
    <t>Allied Moulded AMU2060L ULTRALINE AMU Series JIC Size Fiberglass Enclosure 20" x 16" x 10" (HxWxD) Approx. Inside Dimensions Metal Snap Latch Hinged Cover.</t>
  </si>
  <si>
    <t>Allied-Moulded-AMU2060L.jpg</t>
  </si>
  <si>
    <t>Allied Moulded AMU2060NL Enclosure 20" x 16" x 10"</t>
  </si>
  <si>
    <t>Allied Moulded AMU2060NL</t>
  </si>
  <si>
    <t>AMU2060NL</t>
  </si>
  <si>
    <t>Allied Moulded PL206,Allied Moulded PF206,Allied Moulded HFPU206,Allied Moulded AMU2060LW,Allied Moulded AMU2060T,Allied Moulded PLA206,Allied Moulded AM2068L,Allied Moulded AMHS100</t>
  </si>
  <si>
    <t>Allied Moulded AMU2060NL ULTRALINE AMU Series JIC Size Fiberglass Enclosure 20" x 16" x 10" (HxWxD) Approx. Inside Dimensions Nonmetallic Snap Latch Hinged Cover.</t>
  </si>
  <si>
    <t>Allied-Moulded-AMU2060NL.jpg</t>
  </si>
  <si>
    <t>Allied Moulded AMU2060NLF Enclosure 20" x 16" x 10"</t>
  </si>
  <si>
    <t>Allied Moulded AMU2060NLF</t>
  </si>
  <si>
    <t>AMU2060NLF</t>
  </si>
  <si>
    <t>Allied Moulded AMPOLEMNT16,Allied Moulded PLA206,Allied Moulded HFPU206,Allied Moulded PL206,Allied Moulded AMHS100,Allied Moulded AM2068L,Allied Moulded PF206,Allied Moulded AMU2060TF</t>
  </si>
  <si>
    <t>Allied Moulded AMU2060NLF ULTRALINE AMU Series JIC Size Fiberglass Enclosure 20" x 16" x 10" (HxWxD) Approx. Inside Dimensions Nonmetallic Snap Latch Hinged Cover.</t>
  </si>
  <si>
    <t>Allied-Moulded-AMU2060NLF.jpg</t>
  </si>
  <si>
    <t>Allied Moulded AMU2060T Enclosure 20" x 16" x 10"</t>
  </si>
  <si>
    <t>Allied Moulded AMU2060T</t>
  </si>
  <si>
    <t>AMU2060T</t>
  </si>
  <si>
    <t>Allied Moulded AM2068T,Allied Moulded PF206,Allied Moulded AMU2060L,Allied Moulded HFPU206,Allied Moulded AMU2060TW,Allied Moulded AMHS100,Allied Moulded PL206,Allied Moulded PLA206</t>
  </si>
  <si>
    <t>Allied Moulded AMU2060T ULTRALINE AMU Series JIC Size Fiberglass Enclosure 20" x 16" x 10" (HxWxD) Approx. Inside Dimensions Lockable Twist Latch Hinged Cover.</t>
  </si>
  <si>
    <t>Allied-Moulded-AMU2060T.jpg</t>
  </si>
  <si>
    <t>Allied Moulded AMU2060W Enclosure 20" x 16" x 10"</t>
  </si>
  <si>
    <t>Allied Moulded AMU2060W</t>
  </si>
  <si>
    <t>AMU2060W</t>
  </si>
  <si>
    <t>Allied Moulded PF206,Allied Moulded HFPU206,Allied Moulded AMU2060LW,Allied Moulded PL206,Allied Moulded AMHS100,Allied Moulded AM2068W,Allied Moulded PLA206</t>
  </si>
  <si>
    <t>Allied Moulded AMU2060W ULTRALINE AMU Series JIC Size Fiberglass Enclosure 20" x 16" x 10" (HxWxD) Approx. Inside Dimensions Lift-Off Screw Cover.</t>
  </si>
  <si>
    <t>Allied-Moulded-AMU2060W.jpg</t>
  </si>
  <si>
    <t>Allied Moulded AMU2060WF Enclosure 20" x 16" x 10"</t>
  </si>
  <si>
    <t>Allied Moulded AMU2060WF</t>
  </si>
  <si>
    <t>AMU2060WF</t>
  </si>
  <si>
    <t>Allied Moulded HFPU206,Allied Moulded AMHS100,Allied Moulded PL206,Allied Moulded PF206,Allied Moulded AMU2060TWF,Allied Moulded AM2068W,Allied Moulded AMPOLEMNT16,Allied Moulded PLA206</t>
  </si>
  <si>
    <t>Allied Moulded AMU2060WF ULTRALINE AMU Series JIC Size Fiberglass Enclosure 20" x 16" x 10" (HxWxD) Approx. Inside Dimensions Lift-Off Screw Cover.</t>
  </si>
  <si>
    <t>Allied-Moulded-AMU2060WF.jpg</t>
  </si>
  <si>
    <t>Allied Moulded AMU2060HW Enclosure 20" x 16" x 10"</t>
  </si>
  <si>
    <t>Allied Moulded AMU2060HW</t>
  </si>
  <si>
    <t>AMU2060HW</t>
  </si>
  <si>
    <t>Allied Moulded AMU2060LW,Allied Moulded AMHS100,Allied Moulded AM2068H,Allied Moulded PLA206,Allied Moulded PL206,Allied Moulded PF206,Allied Moulded HFPU206</t>
  </si>
  <si>
    <t>Allied Moulded AMU2060HW ULTRALINE AMU Series JIC Size Fiberglass Enclosure 20" x 16" x 10" (HxWxD) Approx. Inside Dimensions Hinged Screw Cover.</t>
  </si>
  <si>
    <t>Allied-Moulded-AMU2060HW.jpg</t>
  </si>
  <si>
    <t>Allied Moulded AMU2060HWF Enclosure 20" x 16" x 10"</t>
  </si>
  <si>
    <t>Allied Moulded AMU2060HWF</t>
  </si>
  <si>
    <t>AMU2060HWF</t>
  </si>
  <si>
    <t>Allied Moulded AMPOLEMNT16,Allied Moulded AM2068HW,Allied Moulded AMHS100,Allied Moulded PLA206,Allied Moulded HFPU206,Allied Moulded PF206,Allied Moulded AMU2060TWF,Allied Moulded PL206</t>
  </si>
  <si>
    <t>Allied Moulded AMU2060HWF ULTRALINE AMU Series JIC Size Fiberglass Enclosure 20" x 16" x 10" (HxWxD) Approx. Inside Dimensions Hinged Screw Cover.</t>
  </si>
  <si>
    <t>Allied-Moulded-AMU2060HWF.jpg</t>
  </si>
  <si>
    <t>Allied Moulded AMU2060NLW Enclosure 20" x 16" x 10"</t>
  </si>
  <si>
    <t>Allied Moulded AMU2060NLW</t>
  </si>
  <si>
    <t>AMU2060NLW</t>
  </si>
  <si>
    <t>Allied Moulded PLA206,Allied Moulded AMU2060TW,Allied Moulded HFPU206,Allied Moulded AM2068LW,Allied Moulded AMHS100,Allied Moulded AMU2060LW,Allied Moulded PL206,Allied Moulded PF206</t>
  </si>
  <si>
    <t>Allied Moulded AMU2060NLW ULTRALINE AMU Series JIC Size Fiberglass Enclosure with Windows 20" x 16" x 10" (HxWxD) Approx. Inside Dimensions Nonmetallic Snap Latch Hinged Cover.</t>
  </si>
  <si>
    <t>Allied-Moulded-AMU2060NLW.jpg</t>
  </si>
  <si>
    <t>Allied Moulded AMU2060NLWF Enclosure 20" x 16" x 10"</t>
  </si>
  <si>
    <t>Allied Moulded AMU2060NLWF</t>
  </si>
  <si>
    <t>AMU2060NLWF</t>
  </si>
  <si>
    <t>Allied Moulded AMPOLEMNT16,Allied Moulded AMU2060TWF,Allied Moulded AMHS100,Allied Moulded PF206,Allied Moulded PLA206,Allied Moulded PL206,Allied Moulded AM2068LW,Allied Moulded HFPU206</t>
  </si>
  <si>
    <t>Allied Moulded AMU2060NLWF ULTRALINE AMU Series JIC Size Fiberglass Enclosure with Windows 20" x 16" x 10" (HxWxD) Approx. Inside Dimensions Nonmetallic Snap Latch Hinged Cover.</t>
  </si>
  <si>
    <t>Allied-Moulded-AMU2060NLWF.jpg</t>
  </si>
  <si>
    <t>Allied Moulded AMU2060CC Enclosure 20" x 16" x 10"</t>
  </si>
  <si>
    <t>Allied Moulded AMU2060CC</t>
  </si>
  <si>
    <t>AMU2060CC</t>
  </si>
  <si>
    <t>Allied Moulded AMU2060,Allied Moulded PLA206,Allied Moulded PF206,Allied Moulded HFPU206,Allied Moulded AM2068,Allied Moulded AMHS100,Allied Moulded PL206,Allied Moulded AMU2060L,Allied Moulded AMU2060W</t>
  </si>
  <si>
    <t>Allied Moulded AMU2060CC ULTRALINE AMU Series JIC Size Fiberglass Enclosure with Clear Covers 20" x 16" x 10" (HxWxD) Approx. Inside Dimensions Lift-Off Screw Cover.</t>
  </si>
  <si>
    <t>Allied-Moulded-AMU2060CC.jpg</t>
  </si>
  <si>
    <t>Allied Moulded AMU2060CCF Enclosure 20" x 16" x 10"</t>
  </si>
  <si>
    <t>Allied Moulded AMU2060CCF</t>
  </si>
  <si>
    <t>AMU2060CCF</t>
  </si>
  <si>
    <t>Allied Moulded PLA206,Allied Moulded PL206,Allied Moulded AMU2060,Allied Moulded AM2068,Allied Moulded HFPU206,Allied Moulded AMHS100,Allied Moulded AMU2060L,Allied Moulded PF206,Allied Moulded AMU2060W</t>
  </si>
  <si>
    <t>Allied Moulded AMU2060CCF ULTRALINE AMU Series JIC Size Fiberglass Enclosure with Clear Covers 20" x 16" x 10" (HxWxD) Approx. Inside Dimensions Lift-Off Screw Cover.</t>
  </si>
  <si>
    <t>Allied-Moulded-AMU2060CCF.jpg</t>
  </si>
  <si>
    <t>Allied Moulded AMU2060CCH Enclosure 20" x 16" x 10"</t>
  </si>
  <si>
    <t>Allied Moulded AMU2060CCH</t>
  </si>
  <si>
    <t>AMU2060CCH</t>
  </si>
  <si>
    <t>Allied Moulded PF206,Allied Moulded AMHS100,Allied Moulded AMU2060H,Allied Moulded AM2068H,Allied Moulded PLA206,Allied Moulded AMU2060L,Allied Moulded HFPU206,Allied Moulded PL206,Allied Moulded AMU2060HW</t>
  </si>
  <si>
    <t>Allied Moulded AMU2060CCH ULTRALINE AMU Series JIC Size Fiberglass Enclosure with Clear Covers 20" x 16" x 10" (HxWxD) Approx. Inside Dimensions Hinged Screw Cover.</t>
  </si>
  <si>
    <t>Allied-Moulded-AMU2060CCH.jpg</t>
  </si>
  <si>
    <t>Allied Moulded AMU2060CCHF Enclosure 20" x 16" x 10"</t>
  </si>
  <si>
    <t>Allied Moulded AMU2060CCHF</t>
  </si>
  <si>
    <t>AMU2060CCHF</t>
  </si>
  <si>
    <t>Allied Moulded AMHS100,Allied Moulded AMU2060L,Allied Moulded AMU2060H,Allied Moulded PLA206,Allied Moulded AM2068H,Allied Moulded HFPU206,Allied Moulded PF206,Allied Moulded PL206,Allied Moulded AMU2060HW</t>
  </si>
  <si>
    <t>Allied Moulded AMU2060CCHF ULTRALINE AMU Series JIC Size Fiberglass Enclosure with Clear Covers 20" x 16" x 10" (HxWxD) Approx. Inside Dimensions Hinged Screw Cover.</t>
  </si>
  <si>
    <t>Allied-Moulded-AMU2060CCHF.jpg</t>
  </si>
  <si>
    <t>Allied Moulded AMU2060CCL Enclosure 20" x 16" x 10"</t>
  </si>
  <si>
    <t>Allied Moulded AMU2060CCL</t>
  </si>
  <si>
    <t>AMU2060CCL</t>
  </si>
  <si>
    <t>Allied Moulded PF206,Allied Moulded AMHS100,Allied Moulded AMU2060LW,Allied Moulded AMU2060L,Allied Moulded PL206,Allied Moulded HFPU206,Allied Moulded PLA206,Allied Moulded AM2068L,Allied Moulded AMU2060T</t>
  </si>
  <si>
    <t>Allied Moulded AMU2060CCL ULTRALINE AMU Series JIC Size Fiberglass Enclosure with Clear Covers 20" x 16" x 10" (HxWxD) Approx. Inside Dimensions Metal Snap Latch Hinged Cover.</t>
  </si>
  <si>
    <t>Allied-Moulded-AMU2060CCL.jpg</t>
  </si>
  <si>
    <t>Allied Moulded AMU2060CCLF Enclosure 20" x 16" x 10"</t>
  </si>
  <si>
    <t>Allied Moulded AMU2060CCLF</t>
  </si>
  <si>
    <t>AMU2060CCLF</t>
  </si>
  <si>
    <t>Allied Moulded AMU2060LW,Allied Moulded AMHS100,Allied Moulded PL206,Allied Moulded PLA206,Allied Moulded HFPU206,Allied Moulded AMU2060L,Allied Moulded PF206,Allied Moulded AM2068L,Allied Moulded AMU2060T</t>
  </si>
  <si>
    <t>Allied Moulded AMU2060CCLF ULTRALINE AMU Series JIC Size Fiberglass Enclosure with Clear Covers 20" x 16" x 10" (HxWxD) Approx. Inside Dimensions Metal Snap Latch Hinged Cover.</t>
  </si>
  <si>
    <t>Allied-Moulded-AMU2060CCLF.jpg</t>
  </si>
  <si>
    <t>Allied Moulded AMU2060CCNL Enclosure 20" x 16" x 10"</t>
  </si>
  <si>
    <t>Allied Moulded AMU2060CCNL</t>
  </si>
  <si>
    <t>AMU2060CCNL</t>
  </si>
  <si>
    <t>Allied Moulded AMU2060T,Allied Moulded AM2068L,Allied Moulded HFPU206,Allied Moulded AMU2060LW,Allied Moulded PL206,Allied Moulded AMU2060NL,Allied Moulded AMHS100,Allied Moulded PF206,Allied Moulded PLA206</t>
  </si>
  <si>
    <t>Allied Moulded AMU2060CCNL ULTRALINE AMU Series JIC Size Fiberglass Enclosure with Clear Covers 20" x 16" x 10" (HxWxD) Approx. Inside Dimensions Nonmetallic Snap Latch Hinged Cover.</t>
  </si>
  <si>
    <t>Allied-Moulded-AMU2060CCNL.jpg</t>
  </si>
  <si>
    <t>Allied Moulded AMU2060CCNLF Enclosure 20" x 16" x 10"</t>
  </si>
  <si>
    <t>Allied Moulded AMU2060CCNLF</t>
  </si>
  <si>
    <t>AMU2060CCNLF</t>
  </si>
  <si>
    <t>Allied Moulded PL206,Allied Moulded AMU2060NL,Allied Moulded AMHS100,Allied Moulded PF206,Allied Moulded PLA206,Allied Moulded AMU2060LW,Allied Moulded AMU2060T,Allied Moulded HFPU206,Allied Moulded AM2068L</t>
  </si>
  <si>
    <t>Allied Moulded AMU2060CCNLF ULTRALINE AMU Series JIC Size Fiberglass Enclosure with Clear Covers 20" x 16" x 10" (HxWxD) Approx. Inside Dimensions Nonmetallic Snap Latch Hinged Cover.</t>
  </si>
  <si>
    <t>Allied-Moulded-AMU2060CCNLF.jpg</t>
  </si>
  <si>
    <t>Allied Moulded AMU2060CCT Enclosure 20" x 16" x 10"</t>
  </si>
  <si>
    <t>Allied Moulded AMU2060CCT</t>
  </si>
  <si>
    <t>AMU2060CCT</t>
  </si>
  <si>
    <t>Allied Moulded PLA206,Allied Moulded AMHS100,Allied Moulded AM2068T,Allied Moulded AMU2060T,Allied Moulded PL206,Allied Moulded AMU2060L,Allied Moulded HFPU206,Allied Moulded AMU2060TW,Allied Moulded PF206</t>
  </si>
  <si>
    <t>Allied Moulded AMU2060CCT ULTRALINE AMU Series JIC Size Fiberglass Enclosure with Clear Covers 20" x 16" x 10" (HxWxD) Approx. Inside Dimensions Lockable Twist Latch Hinged Cover.</t>
  </si>
  <si>
    <t>Allied-Moulded-AMU2060CCT.jpg</t>
  </si>
  <si>
    <t>Allied Moulded AMU2060CCTF Enclosure 20" x 16" x 10"</t>
  </si>
  <si>
    <t>Allied Moulded AMU2060CCTF</t>
  </si>
  <si>
    <t>AMU2060CCTF</t>
  </si>
  <si>
    <t>Allied Moulded AM2068T,Allied Moulded PL206,Allied Moulded PLA206,Allied Moulded AMHS100,Allied Moulded AMU2060L,Allied Moulded PF206,Allied Moulded HFPU206,Allied Moulded AMU2060T,Allied Moulded AMU2060TW</t>
  </si>
  <si>
    <t>Allied Moulded AMU2060CCTF ULTRALINE AMU Series JIC Size Fiberglass Enclosure with Clear Covers 20" x 16" x 10" (HxWxD) Approx. Inside Dimensions Lockable Twist Latch Hinged Cover.</t>
  </si>
  <si>
    <t>Allied-Moulded-AMU2060CCTF.jpg</t>
  </si>
  <si>
    <t>Allied Moulded AM2068 ULTRAGUARD Fiberglass reinforced polyester Type 4x Small Junction Box</t>
  </si>
  <si>
    <t>Allied Moulded AM2068</t>
  </si>
  <si>
    <t>AM2068</t>
  </si>
  <si>
    <t>Allied Moulded PLA206,Allied Moulded AMHS100,Allied Moulded AM2068RW,Allied Moulded AMPOLEMNT16,Allied Moulded PF206,Allied Moulded AMU2060,Allied Moulded PL206</t>
  </si>
  <si>
    <t>Allied Moulded AM2068 ULTRAGUARD Fiberglass reinforced polyester Type 4x Junction Box Enclosure 20" x 16" x 8" (HXWXD) Inside Dimension. Opaque cover with lift off 4 screw cover. 316 Stainless Steel external hardware and plated carbon steel internal hardware.</t>
  </si>
  <si>
    <t>Allied Moulded AM2068 ULTRAGUARD Fiberglass reinforced polyester Type 4x Junction Box Enclosure 20" x 16" x 8" (HXWXD). Opaque cover with lift off 4 screw cover. 316 Stainless Steel external hardware and plated carbon steel internal hardware.</t>
  </si>
  <si>
    <t>Allied Moulded AM2068 Non Metallic Polyester Enclosure</t>
  </si>
  <si>
    <t>Allied-Moulded-AM2068.jpg</t>
  </si>
  <si>
    <t>Allied Moulded AM2068H ULTRAGUARD Fiberglass reinforced polyester Type 4x Small Junction Box</t>
  </si>
  <si>
    <t>Allied Moulded AM2068H</t>
  </si>
  <si>
    <t>AM2068H</t>
  </si>
  <si>
    <t>Allied Moulded AMHS100,Allied Moulded PLA206,Allied Moulded PL206,Allied Moulded AMU2060H,Allied Moulded AMPOLEMNT16,Allied Moulded AM2068RHW,Allied Moulded PF206</t>
  </si>
  <si>
    <t>Allied Moulded AM2068H ULTRAGUARD Fiberglass reinforced polyester Type 4x Junction Box Enclosure 20" x 16" x 8" (HXWXD) Inside Dimension. Opaque cover with hinged 2 screw cover. 316 Stainless Steel hinge, external hardware and plated carbon steel internal hardware.</t>
  </si>
  <si>
    <t>Allied Moulded AM2068H ULTRAGUARD Fiberglass reinforced polyester Type 4x Junction Box Enclosure 20" x 16" x 8" (HXWXD). Opaque cover with hinged 2 screw cover. 316 Stainless Steel hinge, external hardware and plated carbon steel internal hardware.</t>
  </si>
  <si>
    <t>Allied Moulded AM2068H Non Metallic Polyester Enclosure</t>
  </si>
  <si>
    <t>Allied-Moulded-AM2068H.jpg</t>
  </si>
  <si>
    <t>Allied Moulded AM24200R3PT Fiberglass Enclosure 24.00" x 20.00" x 11.75"</t>
  </si>
  <si>
    <t>Allied Moulded AM24200R3PT</t>
  </si>
  <si>
    <t>AM24200R3PT</t>
  </si>
  <si>
    <t>Allied Moulded P2420,Allied Moulded AMPOLEMNT20,Allied Moulded AMHS150,Allied Moulded AM24200RLW,Allied Moulded PF2420,Allied Moulded PG2420,Allied Moulded PA2420,Allied Moulded AM24200RQT,Allied Moulded HFP2420</t>
  </si>
  <si>
    <t>Allied Moulded AM24200R3PT Control Series Fiberglass Enclosures 24.00" x 20.00" x 11.75" (HxWxL) Raised Lockable 3-Point Handle Hinged Cover</t>
  </si>
  <si>
    <t>085339984092</t>
  </si>
  <si>
    <t>Allied-Moulded-AM24200R3PT.jpg</t>
  </si>
  <si>
    <t>Allied Moulded AM24200RL Fiberglass Enclosure 24.00" x 20.00" x 11.75"</t>
  </si>
  <si>
    <t>Allied Moulded AM24200RL</t>
  </si>
  <si>
    <t>AM24200RL</t>
  </si>
  <si>
    <t>Allied Moulded PF2420,Allied Moulded P2420,Allied Moulded AM24200RLW,Allied Moulded HFP2420,Allied Moulded PA2420,Allied Moulded AMPOLEMNT20,Allied Moulded AMHS150,Allied Moulded PG2420,Allied Moulded AM24200RT</t>
  </si>
  <si>
    <t>Allied Moulded AM24200RL Control Series Fiberglass Enclosures 24.00" x 20.00" x 11.75" (HxWxL) Raised Lockable Snap Latch Hinged Cover</t>
  </si>
  <si>
    <t>Allied-Moulded-AM24200RL.jpg</t>
  </si>
  <si>
    <t>Allied Moulded AM24200RT Fiberglass Enclosure 24.00" x 20.00" x 11.75"</t>
  </si>
  <si>
    <t>Allied Moulded AM24200RT</t>
  </si>
  <si>
    <t>AM24200RT</t>
  </si>
  <si>
    <t>Allied Moulded AMPOLEMNT20,Allied Moulded PF2420,Allied Moulded HFP2420,Allied Moulded P2420,Allied Moulded AM24200RL,Allied Moulded PA2420,Allied Moulded AMHS150,Allied Moulded PG2420,Allied Moulded AM24200RTW</t>
  </si>
  <si>
    <t>Allied Moulded AM24200RT Control Series Fiberglass Enclosures 24.00" x 20.00" x 11.75" (HxWxL) Raised Lockable Twist Latch Hinged Cover</t>
  </si>
  <si>
    <t>Allied-Moulded-AM24200RT.jpg</t>
  </si>
  <si>
    <t>Allied Moulded AM24200RQT Fiberglass Enclosure 24.00" x 20.00" x 11.75"</t>
  </si>
  <si>
    <t>Allied Moulded AM24200RQT</t>
  </si>
  <si>
    <t>AM24200RQT</t>
  </si>
  <si>
    <t>Allied Moulded PF2420,Allied Moulded AM24200R3PT,Allied Moulded PA2420,Allied Moulded PG2420,Allied Moulded HFP2420,Allied Moulded AMHS150,Allied Moulded AMPOLEMNT20,Allied Moulded AM24200RTW,Allied Moulded P2420</t>
  </si>
  <si>
    <t>Allied Moulded AM24200RQT Control Series Fiberglass Enclosures 24.00" x 20.00" x 11.75" (HxWxL) Raised Quarter-Turn Latch Hinged Cover</t>
  </si>
  <si>
    <t>Allied-Moulded-AM24200RQT.jpg</t>
  </si>
  <si>
    <t>Allied Moulded AM24208RLW Enclosure 24.00" x 20.00" x 9.75"</t>
  </si>
  <si>
    <t>Allied Moulded AM24208RLW</t>
  </si>
  <si>
    <t>AM24208RLW</t>
  </si>
  <si>
    <t>Allied Moulded AM24208RTW,Allied Moulded PG2420,Allied Moulded HFP2420,Allied Moulded AMHS150,Allied Moulded PA2420,Allied Moulded AMPOLEMNT20,Allied Moulded PF2420,Allied Moulded AM24208RL,Allied Moulded P2420</t>
  </si>
  <si>
    <t>Allied Moulded AM24208RLW Control Series Fiberglass Enclosure with Windows 24.00" x 20.00" x 9.75" (HxWxD) Approx. Inside Dimensions Raised Lockable Snap Latch Hinged Cover.</t>
  </si>
  <si>
    <t>Allied-Moulded-AM24208RLW.jpg</t>
  </si>
  <si>
    <t>Allied Moulded AM24200RLW Enclosure 24.00" x 20.00" x 11.75"</t>
  </si>
  <si>
    <t>Allied Moulded AM24200RLW</t>
  </si>
  <si>
    <t>AM24200RLW</t>
  </si>
  <si>
    <t>Allied Moulded AMHS150,Allied Moulded AM24200RTW,Allied Moulded HFP2420,Allied Moulded PG2420,Allied Moulded AM24200RL,Allied Moulded PF2420,Allied Moulded AMPOLEMNT20,Allied Moulded PA2420,Allied Moulded P2420</t>
  </si>
  <si>
    <t>Allied Moulded AM24200RLW Control Series Fiberglass Enclosure with Windows 24.00" x 20.00" x 11.75" (HxWxD) Approx. Inside Dimensions Raised Lockable Snap Latch Hinged Cover.</t>
  </si>
  <si>
    <t>Allied-Moulded-AM24200RLW.jpg</t>
  </si>
  <si>
    <t>Allied Moulded AM24208RTW Enclosure 24.00" x 20.00" x 9.75"</t>
  </si>
  <si>
    <t>Allied Moulded AM24208RTW</t>
  </si>
  <si>
    <t>AM24208RTW</t>
  </si>
  <si>
    <t>Allied Moulded AMPOLEMNT20,Allied Moulded HFP2420,Allied Moulded AMHS150,Allied Moulded AM24208RLW,Allied Moulded PF2420,Allied Moulded PA2420,Allied Moulded AM24208RT,Allied Moulded P2420,Allied Moulded PG2420</t>
  </si>
  <si>
    <t>Allied Moulded AM24208RTW Control Series Fiberglass Enclosure with Windows 24.00" x 20.00" x 9.75" (HxWxD) Approx. Inside Dimensions Raised Lockable Twist Latch Hinged Cover.</t>
  </si>
  <si>
    <t>Allied-Moulded-AM24208RTW.jpg</t>
  </si>
  <si>
    <t>Allied Moulded AM24200RTW Enclosure 24.00" x 20.00" x 11.75"</t>
  </si>
  <si>
    <t>Allied Moulded AM24200RTW</t>
  </si>
  <si>
    <t>AM24200RTW</t>
  </si>
  <si>
    <t>Allied Moulded AMHS150,Allied Moulded AM24200RLW,Allied Moulded PA2420,Allied Moulded PG2420,Allied Moulded HFP2420,Allied Moulded P2420,Allied Moulded AM24200RT,Allied Moulded PF2420,Allied Moulded AMPOLEMNT20</t>
  </si>
  <si>
    <t>Allied Moulded AM24200RTW Control Series Fiberglass Enclosure with Windows 24.00" x 20.00" x 11.75" (HxWxD) Approx. Inside Dimensions Raised Lockable Twist Latch Hinged Cover.</t>
  </si>
  <si>
    <t>Allied-Moulded-AM24200RTW.jpg</t>
  </si>
  <si>
    <t>Allied Moulded AM24208RL Fiberglass Enclosure 24.00" x 20.00" x 9.75"</t>
  </si>
  <si>
    <t>Allied Moulded AM24208RL</t>
  </si>
  <si>
    <t>AM24208RL</t>
  </si>
  <si>
    <t>Allied Moulded HFP2420,Allied Moulded AM24208RLW,Allied Moulded PG2420,Allied Moulded AMPOLEMNT20,Allied Moulded P2420,Allied Moulded PA2420,Allied Moulded AM24208RT,Allied Moulded AMHS150,Allied Moulded PF2420</t>
  </si>
  <si>
    <t>Allied Moulded AM24208RL Control Series Fiberglass Enclosures 24.00" x 20.00" x 9.75" (HxWxL) Raised Lockable Snap Latch Hinged Cover</t>
  </si>
  <si>
    <t>Allied-Moulded-AM24208RL.jpg</t>
  </si>
  <si>
    <t>Allied Moulded AM24208RT Fiberglass Enclosure 24.00" x 20.00" x 9.75"</t>
  </si>
  <si>
    <t>Allied Moulded AM24208RT</t>
  </si>
  <si>
    <t>AM24208RT</t>
  </si>
  <si>
    <t>Allied Moulded P2420,Allied Moulded HFP2420,Allied Moulded PF2420,Allied Moulded AM24208RTW,Allied Moulded PA2420,Allied Moulded AMHS150,Allied Moulded PG2420,Allied Moulded AMPOLEMNT20,Allied Moulded AM24208RL</t>
  </si>
  <si>
    <t>Allied Moulded AM24208RT Control Series Fiberglass Enclosures 24.00" x 20.00" x 9.75" (HxWxL) Raised Lockable Twist Latch Hinged Cover</t>
  </si>
  <si>
    <t>Allied-Moulded-AM24208RT.jpg</t>
  </si>
  <si>
    <t>Allied Moulded AM24208R3PT Fiberglass Enclosure 24.00" x 20.00" x 9.75"</t>
  </si>
  <si>
    <t>Allied Moulded AM24208R3PT</t>
  </si>
  <si>
    <t>AM24208R3PT</t>
  </si>
  <si>
    <t>Allied Moulded PA2420,Allied Moulded P2420,Allied Moulded HFP2420,Allied Moulded PF2420,Allied Moulded PG2420,Allied Moulded AMPOLEMNT20,Allied Moulded AM24208RLW,Allied Moulded AM24208RQT,Allied Moulded AMHS150</t>
  </si>
  <si>
    <t>Allied Moulded AM24208R3PT Control Series Fiberglass Enclosures 24.00" x 20.00" x 9.75" (HxWxL) Raised Lockable 3-Point Handle Hinged Cover</t>
  </si>
  <si>
    <t>Allied-Moulded-AM24208R3PT.jpg</t>
  </si>
  <si>
    <t>Allied Moulded AM24208RQT Fiberglass Enclosure 24.00" x 20.00" x 9.75"</t>
  </si>
  <si>
    <t>Allied Moulded AM24208RQT</t>
  </si>
  <si>
    <t>AM24208RQT</t>
  </si>
  <si>
    <t>Allied Moulded AM24208RTW,Allied Moulded AMPOLEMNT20,Allied Moulded PG2420,Allied Moulded PA2420,Allied Moulded PF2420,Allied Moulded P2420,Allied Moulded AM24208R3PT,Allied Moulded AMHS150,Allied Moulded HFP2420</t>
  </si>
  <si>
    <t>Allied Moulded AM24208RQT Control Series Fiberglass Enclosures 24.00" x 20.00" x 9.75" (HxWxL) Raised Quarter-Turn Latch Hinged Cover</t>
  </si>
  <si>
    <t>Allied-Moulded-AM24208RQT.jpg</t>
  </si>
  <si>
    <t>Allied Moulded AM24240RLW Enclosure 24.00" x 24.00" x 11.75"</t>
  </si>
  <si>
    <t>Allied Moulded AM24240RLW</t>
  </si>
  <si>
    <t>AM24240RLW</t>
  </si>
  <si>
    <t>Allied Moulded HFP2424,Allied Moulded P2424,Allied Moulded AMPOLEMNT24,Allied Moulded AM24240RTW,Allied Moulded AMHS150,Allied Moulded AM24240RL,Allied Moulded PF2424,Allied Moulded PA2424,Allied Moulded PG2424</t>
  </si>
  <si>
    <t>Allied Moulded AM24240RLW Control Series Fiberglass Enclosure with Windows 24.00" x 24.00" x 11.75" (HxWxD) Approx. Inside Dimensions Raised Lockable Snap Latch Hinged Cover.</t>
  </si>
  <si>
    <t>Allied-Moulded-AM24240RLW.jpg</t>
  </si>
  <si>
    <t>Allied Moulded AM24240RTW Enclosure 24.00" x 24.00" x 11.75"</t>
  </si>
  <si>
    <t>Allied Moulded AM24240RTW</t>
  </si>
  <si>
    <t>AM24240RTW</t>
  </si>
  <si>
    <t>Allied Moulded AMHS150,Allied Moulded P2424,Allied Moulded HFP2424,Allied Moulded AM24240RLW,Allied Moulded AMPOLEMNT24,Allied Moulded PA2424,Allied Moulded PG2424,Allied Moulded PF2424,Allied Moulded AM24240RT</t>
  </si>
  <si>
    <t>Allied Moulded AM24240RTW Control Series Fiberglass Enclosure with Windows 24.00" x 24.00" x 11.75" (HxWxD) Approx. Inside Dimensions Raised Lockable Twist Latch Hinged Cover.</t>
  </si>
  <si>
    <t>Allied-Moulded-AM24240RTW.jpg</t>
  </si>
  <si>
    <t>Allied Moulded AM24240RL Fiberglass Enclosure 24.00" x 24.00" x 11.75"</t>
  </si>
  <si>
    <t>Allied Moulded AM24240RL</t>
  </si>
  <si>
    <t>AM24240RL</t>
  </si>
  <si>
    <t>Allied Moulded AMHS150,Allied Moulded PA2424,Allied Moulded AMPOLEMNT24,Allied Moulded HFP2424,Allied Moulded PG2424,Allied Moulded AM24240RT,Allied Moulded P2424,Allied Moulded PF2424,Allied Moulded AM24240RLW</t>
  </si>
  <si>
    <t>Allied Moulded AM24240RL Control Series Fiberglass Enclosures 24.00" x 24.00" x 11.75" (HxWxL) Raised Lockable Snap Latch Hinged Cover</t>
  </si>
  <si>
    <t>Allied-Moulded-AM24240RL.jpg</t>
  </si>
  <si>
    <t>Allied Moulded AM24240RT Fiberglass Enclosure 24.00" x 24.00" x 11.75"</t>
  </si>
  <si>
    <t>Allied Moulded AM24240RT</t>
  </si>
  <si>
    <t>AM24240RT</t>
  </si>
  <si>
    <t>Allied Moulded AMPOLEMNT24,Allied Moulded AM24240RTW,Allied Moulded PA2424,Allied Moulded AM24240RL,Allied Moulded PG2424,Allied Moulded AMHS150,Allied Moulded PF2424,Allied Moulded HFP2424,Allied Moulded P2424</t>
  </si>
  <si>
    <t>Allied Moulded AM24240RT Control Series Fiberglass Enclosures 24.00" x 24.00" x 11.75" (HxWxL) Raised Lockable Twist Latch Hinged Cover</t>
  </si>
  <si>
    <t>Allied-Moulded-AM24240RT.jpg</t>
  </si>
  <si>
    <t>Allied Moulded AM24240R3PT Fiberglass Enclosure 24.00" x 24.00" x 11.75"</t>
  </si>
  <si>
    <t>Allied Moulded AM24240R3PT</t>
  </si>
  <si>
    <t>AM24240R3PT</t>
  </si>
  <si>
    <t>Allied Moulded AM24240RQT,Allied Moulded PA2424,Allied Moulded PG2424,Allied Moulded AM24240RLW,Allied Moulded AMPOLEMNT24,Allied Moulded HFP2424,Allied Moulded PF2424,Allied Moulded P2424,Allied Moulded AMHS150</t>
  </si>
  <si>
    <t>Allied Moulded AM24240R3PT Control Series Fiberglass Enclosures 24.00" x 24.00" x 11.75" (HxWxL) Raised Lockable 3-Point Handle Hinged Cover</t>
  </si>
  <si>
    <t>Allied-Moulded-AM24240R3PT.jpg</t>
  </si>
  <si>
    <t>Allied Moulded AM24240RQT Fiberglass Enclosure 24.00" x 24.00" x 11.75"</t>
  </si>
  <si>
    <t>Allied Moulded AM24240RQT</t>
  </si>
  <si>
    <t>AM24240RQT</t>
  </si>
  <si>
    <t>Allied Moulded AMPOLEMNT24,Allied Moulded PA2424,Allied Moulded PF2424,Allied Moulded AM24240R3PT,Allied Moulded HFP2424,Allied Moulded P2424,Allied Moulded AM24240RTW,Allied Moulded AMHS150,Allied Moulded PG2424</t>
  </si>
  <si>
    <t>Allied Moulded AM24240RQT Control Series Fiberglass Enclosures 24.00" x 24.00" x 11.75" (HxWxL) Raised Quarter-Turn Latch Hinged Cover</t>
  </si>
  <si>
    <t>Allied-Moulded-AM24240RQT.jpg</t>
  </si>
  <si>
    <t>Allied Moulded AM24248RTW Enclosure 24.00" x 24.00" x 9.75"</t>
  </si>
  <si>
    <t>Allied Moulded AM24248RTW</t>
  </si>
  <si>
    <t>AM24248RTW</t>
  </si>
  <si>
    <t>Allied Moulded PA2424,Allied Moulded AMPOLEMNT24,Allied Moulded PG2424,Allied Moulded AM24248RT,Allied Moulded HFP2424,Allied Moulded P2424,Allied Moulded AM24248RLW,Allied Moulded AMHS150,Allied Moulded PF2424</t>
  </si>
  <si>
    <t>Allied Moulded AM24248RTW Control Series Fiberglass Enclosure with Windows 24.00" x 24.00" x 9.75" (HxWxD) Approx. Inside Dimensions Raised Lockable Twist Latch Hinged Cover.</t>
  </si>
  <si>
    <t>Allied-Moulded-AM24248RTW.jpg</t>
  </si>
  <si>
    <t>Allied Moulded AM24248RL Fiberglass Enclosure 24.00" x 24.00" x 9.75"</t>
  </si>
  <si>
    <t>Allied Moulded AM24248RL</t>
  </si>
  <si>
    <t>AM24248RL</t>
  </si>
  <si>
    <t>Allied Moulded AMHS150,Allied Moulded AMPOLEMNT24,Allied Moulded PF2424,Allied Moulded AM24248RLW,Allied Moulded AM24248RT,Allied Moulded P2424,Allied Moulded HFP2424,Allied Moulded PA2424,Allied Moulded PG2424</t>
  </si>
  <si>
    <t>Allied Moulded AM24248RL Control Series Fiberglass Enclosures 24.00" x 24.00" x 9.75" (HxWxL) Raised Lockable Snap Latch Hinged Cover</t>
  </si>
  <si>
    <t>Allied-Moulded-AM24248RL.jpg</t>
  </si>
  <si>
    <t>Allied Moulded AM24248RT Fiberglass Enclosure 24.00" x 24.00" x 9.75"</t>
  </si>
  <si>
    <t>Allied Moulded AM24248RT</t>
  </si>
  <si>
    <t>AM24248RT</t>
  </si>
  <si>
    <t>Allied Moulded HFP2424,Allied Moulded AMPOLEMNT24,Allied Moulded PG2424,Allied Moulded AM24248RTW,Allied Moulded P2424,Allied Moulded PA2424,Allied Moulded AM24248RL,Allied Moulded PF2424,Allied Moulded AMHS150</t>
  </si>
  <si>
    <t>Allied Moulded AM24248RT Control Series Fiberglass Enclosures 24.00" x 24.00" x 9.75" (HxWxL) Raised Lockable Twist Latch Hinged Cover</t>
  </si>
  <si>
    <t>Allied-Moulded-AM24248RT.jpg</t>
  </si>
  <si>
    <t>Allied Moulded AM24248R3PT Fiberglass Enclosure 24.00" x 24.00" x 9.75"</t>
  </si>
  <si>
    <t>Allied Moulded AM24248R3PT</t>
  </si>
  <si>
    <t>AM24248R3PT</t>
  </si>
  <si>
    <t>Allied Moulded P2424,Allied Moulded PF2424,Allied Moulded AMHS150,Allied Moulded PG2424,Allied Moulded AM24248RLW,Allied Moulded AMPOLEMNT24,Allied Moulded PA2424,Allied Moulded HFP2424,Allied Moulded AM24248RQT</t>
  </si>
  <si>
    <t>Allied Moulded AM24248R3PT Control Series Fiberglass Enclosures 24.00" x 24.00" x 9.75" (HxWxL) Raised Lockable 3-Point Handle Hinged Cover</t>
  </si>
  <si>
    <t>Allied-Moulded-AM24248R3PT.jpg</t>
  </si>
  <si>
    <t>Allied Moulded AM24248RQT Fiberglass Enclosure 24.00" x 24.00" x 9.75"</t>
  </si>
  <si>
    <t>Allied Moulded AM24248RQT</t>
  </si>
  <si>
    <t>AM24248RQT</t>
  </si>
  <si>
    <t>Allied Moulded PA2424,Allied Moulded PF2424,Allied Moulded P2424,Allied Moulded AM24248R3PT,Allied Moulded HFP2424,Allied Moulded AMPOLEMNT24,Allied Moulded AM24248RTW,Allied Moulded PG2424,Allied Moulded AMHS150</t>
  </si>
  <si>
    <t>Allied Moulded AM24248RQT Control Series Fiberglass Enclosures 24.00" x 24.00" x 9.75" (HxWxL) Raised Quarter-Turn Latch Hinged Cover</t>
  </si>
  <si>
    <t>Allied-Moulded-AM24248RQT.jpg</t>
  </si>
  <si>
    <t>Allied Moulded AM24248RLW Enclosure 24.00" x 24.00" x 9.75"</t>
  </si>
  <si>
    <t>Allied Moulded AM24248RLW</t>
  </si>
  <si>
    <t>AM24248RLW</t>
  </si>
  <si>
    <t>Allied Moulded AM24248RL,Allied Moulded PG2424,Allied Moulded P2424,Allied Moulded HFP2424,Allied Moulded AMHS150,Allied Moulded AM24248RTW,Allied Moulded PA2424,Allied Moulded AMPOLEMNT24,Allied Moulded PF2424</t>
  </si>
  <si>
    <t>Allied Moulded AM24248RLW Control Series Fiberglass Enclosure with Windows 24.00" x 24.00" x 9.75" (HxWxD) Approx. Inside Dimensions Raised Lockable Snap Latch Hinged Cover.</t>
  </si>
  <si>
    <t>Allied-Moulded-AM24248RLW.jpg</t>
  </si>
  <si>
    <t>Allied Moulded AMP443CC Enclosure 4" x 4" x 3"</t>
  </si>
  <si>
    <t>Allied Moulded AMP443CC</t>
  </si>
  <si>
    <t>AMP443CC</t>
  </si>
  <si>
    <t>Allied Moulded AMHS050,Allied Moulded PLA44,Allied Moulded AMP443,Allied Moulded AMP443CCNL,Allied Moulded PL44,Allied Moulded PLPVC44</t>
  </si>
  <si>
    <t>Allied Moulded AMP443CC POLYLINE AMP Series JIC Size Polycarbonate Enclosure with Clear Covers 4" x 4" x 3" (HxWxD) Approx. Inside Dimensions Lift-Off Screw Cover.</t>
  </si>
  <si>
    <t>Non-corrosive, non-conductive, light weight with lower installation cost, easy to modify and longer life cycle compared to steel. Rigid design with nonmetallic mounting brackets and a gasket system encased in a continuous channel on the cover.;Rigid design with nonmetallic mounting brackets and a gasket system encased in a continuous channel on the cover.;</t>
  </si>
  <si>
    <t>Allied-Moulded-AMP443CC.jpg</t>
  </si>
  <si>
    <t>3"</t>
  </si>
  <si>
    <t>Allied Moulded AMP443CCH Enclosure 4" x 4" x 3"</t>
  </si>
  <si>
    <t>Allied Moulded AMP443CCH</t>
  </si>
  <si>
    <t>AMP443CCH</t>
  </si>
  <si>
    <t>Allied Moulded PLPVC44,Allied Moulded AMP443H,Allied Moulded AMHS050,Allied Moulded PL44,Allied Moulded PLA44,Allied Moulded AMP443CCNL</t>
  </si>
  <si>
    <t>Allied Moulded AMP443CCH POLYLINE AMP Series JIC Size Polycarbonate Enclosure with Clear Covers 4" x 4" x 3" (HxWxD) Approx. Inside Dimensions Hinged Screw Cover.</t>
  </si>
  <si>
    <t>Allied-Moulded-AMP443CCH.jpg</t>
  </si>
  <si>
    <t>Allied Moulded AMP443CCL Enclosure 4" x 4" x 3"</t>
  </si>
  <si>
    <t>Allied Moulded AMP443CCL</t>
  </si>
  <si>
    <t>AMP443CCL</t>
  </si>
  <si>
    <t>Allied Moulded AMHS050,Allied Moulded PL44,Allied Moulded PLA44,Allied Moulded AMP443CCNL,Allied Moulded PLPVC44</t>
  </si>
  <si>
    <t>Allied Moulded AMP443CCL POLYLINE AMP Series JIC Size Polycarbonate Enclosure with Clear Covers 4" x 4" x 3" (HxWxD) Approx. Inside Dimensions Stainless Steel Lockable Snap Latch Hinged Cover.</t>
  </si>
  <si>
    <t>Allied-Moulded-AMP443CCL.jpg</t>
  </si>
  <si>
    <t>Allied Moulded AMP664CCNL Enclosure 4" x 4" x 3"</t>
  </si>
  <si>
    <t>Allied Moulded AMP664CCNL</t>
  </si>
  <si>
    <t>AMP664CCNL</t>
  </si>
  <si>
    <t>Allied Moulded AMP664L,Allied Moulded HFPP66,Allied Moulded AMP664NL,Allied Moulded AMHS075,Allied Moulded AM664LW,Allied Moulded PLA66,Allied Moulded PL66,Allied Moulded PLPVC66,Allied Moulded AMU664CCL</t>
  </si>
  <si>
    <t>Allied Moulded AMP664CCNL POLYLINE AMP Series JIC Size Polycarbonate Enclosure with Clear Covers 4" x 4" x 3" (HxWxD) Approx. Inside Dimensions Nonmetallic Snap Latch Hinged Cover.</t>
  </si>
  <si>
    <t>Allied-Moulded-AMP664CCNL.jpg</t>
  </si>
  <si>
    <t>Allied Moulded AMP443 Enclosure 4" x 4" x 3"</t>
  </si>
  <si>
    <t>Allied Moulded AMP443</t>
  </si>
  <si>
    <t>AMP443</t>
  </si>
  <si>
    <t>Allied Moulded PLPVC44,Allied Moulded AMHS050,Allied Moulded AMP443L,Allied Moulded PL44,Allied Moulded AMP443CC,Allied Moulded PLA44</t>
  </si>
  <si>
    <t>Allied Moulded AMP443 POLYLINE AMP Series JIC Size Polycarbonate 4" x 4" x 3" (HxWxD) Approx. Inside Dimensions Lift-Off Screw Cover.</t>
  </si>
  <si>
    <t>Allied-Moulded-AMP443.jpg</t>
  </si>
  <si>
    <t>Allied Moulded AMP443H Enclosure 4" x 4" x 3"</t>
  </si>
  <si>
    <t>Allied Moulded AMP443H</t>
  </si>
  <si>
    <t>AMP443H</t>
  </si>
  <si>
    <t>Allied Moulded AMP443CCH,Allied Moulded AMP443L,Allied Moulded PLA44,Allied Moulded PL44,Allied Moulded PLPVC44,Allied Moulded AMHS050</t>
  </si>
  <si>
    <t>Allied Moulded AMP443H POLYLINE AMP Series JIC Size Polycarbonate 4" x 4" x 3" (HxWxD) Approx. Inside Dimensions Hinged Screw Cover.</t>
  </si>
  <si>
    <t>Allied-Moulded-AMP443H.jpg</t>
  </si>
  <si>
    <t>Allied Moulded AMP443L Enclosure 4" x 4" x 3"</t>
  </si>
  <si>
    <t>Allied Moulded AMP443L</t>
  </si>
  <si>
    <t>AMP443L</t>
  </si>
  <si>
    <t>Allied Moulded PLPVC44,Allied Moulded AMP443CCL,Allied Moulded AMHS050,Allied Moulded AMP443,Allied Moulded PLA44,Allied Moulded PL44</t>
  </si>
  <si>
    <t>Allied Moulded AMP443L POLYLINE AMP Series JIC Size Polycarbonate 4" x 4" x 3" (HxWxD) Approx. Inside Dimensions Stainless Steel Lockable Snap Latch Hinged Cover.</t>
  </si>
  <si>
    <t>Allied-Moulded-AMP443L.jpg</t>
  </si>
  <si>
    <t>Allied Moulded AMP443NL Enclosure 4" x 4" x 3"</t>
  </si>
  <si>
    <t>Allied Moulded AMP443NL</t>
  </si>
  <si>
    <t>AMP443NL</t>
  </si>
  <si>
    <t>Allied Moulded PLPVC44,Allied Moulded AMP443CCNL,Allied Moulded PL44,Allied Moulded AMHS050,Allied Moulded AMP443L,Allied Moulded PLA44</t>
  </si>
  <si>
    <t>Allied Moulded AMP443NL POLYLINE AMP Series JIC Size Polycarbonate 4" x 4" x 3" (HxWxD) Approx. Inside Dimensions Nonmetallic Snap Latch Hinged Cover.</t>
  </si>
  <si>
    <t>Allied-Moulded-AMP443NL.jpg</t>
  </si>
  <si>
    <t>Allied Moulded AM743 ULTRAGUARD Fiberglass reinforced polyester Type 4x Small Junction Box</t>
  </si>
  <si>
    <t>Allied Moulded AM743</t>
  </si>
  <si>
    <t>AM743</t>
  </si>
  <si>
    <t>Allied Moulded PA74,Allied Moulded AM743SF,Allied Moulded AMHS050,Allied Moulded PF74</t>
  </si>
  <si>
    <t>Allied Moulded AM743 ULTRAGUARD Fiberglass reinforced polyester Type 4x Junction Box Enclosure 7" x 4" x 3" (HXWXD) Inside Dimension. Opaque cover with lift off 4 screw cover. 316 Stainless Steel external hardware and plated carbon steel internal hardware.</t>
  </si>
  <si>
    <t>Allied Moulded AM743 ULTRAGUARD Fiberglass reinforced polyester Type 4x Junction Box Enclosure 7" x 4" x 3" (HXWXD). Opaque cover with lift off 4 screw cover. 316 Stainless Steel external hardware and plated carbon steel internal hardware.</t>
  </si>
  <si>
    <t>Allied Moulded AM743 Non Metallic Polyester Enclosure</t>
  </si>
  <si>
    <t>Non-corrosive, non-conductive, light weight with lower installation cost, easy to modify and longer life cycle compared to steel. Rigid design with back panel inserts plus a gasket system encased in a continuous channel on the cover.;Rigid design with back panel inserts plus a gasket system encased in a continuous channel on the cover.;</t>
  </si>
  <si>
    <t>Allied-Moulded-AM743.jpg</t>
  </si>
  <si>
    <t>7"</t>
  </si>
  <si>
    <t>Allied Moulded AM743SF ULTRAGUARD Fiberglass reinforced polyester Type 4x Small Junction Box</t>
  </si>
  <si>
    <t>Allied Moulded AM743SF</t>
  </si>
  <si>
    <t>AM743SF</t>
  </si>
  <si>
    <t>Allied Moulded PF74,Allied Moulded AM743,Allied Moulded AMHS050,Allied Moulded PA74</t>
  </si>
  <si>
    <t>Allied Moulded AM743SF ULTRAGUARD Fiberglass reinforced polyester Type 4x Junction Box Enclosure 7" x 4" x 3" (HXWXD) Inside Dimension. Opaque cover with lift off 4 screw cover. 316 Stainless Steel external hardware and plated carbon steel internal hardware.</t>
  </si>
  <si>
    <t>Allied Moulded AM743SF ULTRAGUARD Fiberglass reinforced polyester Type 4x Junction Box Enclosure 7" x 4" x 3" (HXWXD). Opaque cover with lift off 4 screw cover. 316 Stainless Steel external hardware and plated carbon steel internal hardware.</t>
  </si>
  <si>
    <t>Allied Moulded AM743SF Non Metallic Polyester Enclosure</t>
  </si>
  <si>
    <t>Non-corrosive, non-conductive, light weight with lower installation cost, easy to modify and longer life cycle compared to steel. Rigid design with back panel inserts plus stainless steel fasteners and an formed in place polyurethane gasket system encased in a continuous channel on the cover.;Rigid design with back panel inserts plus stainless steel fasteners and an formed in place polyurethane gasket system encased in a continuous channel on the cover.;</t>
  </si>
  <si>
    <t>Allied-Moulded-AM743SF.jpg</t>
  </si>
  <si>
    <t>Allied Moulded AM943 ULTRAGUARD Fiberglass reinforced polyester Type 4x Small Junction Box</t>
  </si>
  <si>
    <t>Allied Moulded AM943</t>
  </si>
  <si>
    <t>AM943</t>
  </si>
  <si>
    <t>Allied Moulded AMHS050,Allied Moulded PA94,Allied Moulded PF94,Allied Moulded AM943SF</t>
  </si>
  <si>
    <t>Allied Moulded AM943 ULTRAGUARD Fiberglass reinforced polyester Type 4x Junction Box Enclosure 9" x 4" x 3" (HXWXD) Inside Dimension. Opaque cover with lift off 4 screw cover. 316 Stainless Steel external hardware and plated carbon steel internal hardware.</t>
  </si>
  <si>
    <t>Allied Moulded AM943 ULTRAGUARD Fiberglass reinforced polyester Type 4x Junction Box Enclosure 9" x 4" x 3" (HXWXD). Opaque cover with lift off 4 screw cover. 316 Stainless Steel external hardware and plated carbon steel internal hardware.</t>
  </si>
  <si>
    <t>Allied Moulded AM943 Non Metallic Polyester Enclosure</t>
  </si>
  <si>
    <t>Allied-Moulded-AM943.jpg</t>
  </si>
  <si>
    <t>9"</t>
  </si>
  <si>
    <t>Allied Moulded AM943SF ULTRAGUARD Fiberglass reinforced polyester Type 4x Small Junction Box</t>
  </si>
  <si>
    <t>Allied Moulded AM943SF</t>
  </si>
  <si>
    <t>AM943SF</t>
  </si>
  <si>
    <t>Allied Moulded AM943,Allied Moulded AMHS050,Allied Moulded PF94,Allied Moulded PA94</t>
  </si>
  <si>
    <t>Allied Moulded AM943SF ULTRAGUARD Fiberglass reinforced polyester Type 4x Junction Box Enclosure 9" x 4" x 3" (HXWXD) Inside Dimension. Opaque cover with lift off 4 screw cover. 316 Stainless Steel external hardware and plated carbon steel internal hardware.</t>
  </si>
  <si>
    <t>Allied Moulded AM943SF ULTRAGUARD Fiberglass reinforced polyester Type 4x Junction Box Enclosure 9" x 4" x 3" (HXWXD). Opaque cover with lift off 4 screw cover. 316 Stainless Steel external hardware and plated carbon steel internal hardware.</t>
  </si>
  <si>
    <t>Allied Moulded AM943SF Non Metallic Polyester Enclosure</t>
  </si>
  <si>
    <t>Non-corrosive, non-conductive, light weight with lower installation cost, easy to modify and longer life cycle compared to steel. Rigid design with back panel inserts plus stainless steel fasteners and a formed in place polyurethane gasket system encased in a continuous channel on the cover.;Rigid design with back panel inserts plus stainless steel fasteners and a formed in place polyurethane gasket system encased in a continuous channel on the cover.;</t>
  </si>
  <si>
    <t>Allied-Moulded-AM943SF.jpg</t>
  </si>
  <si>
    <t>Allied Moulded AM664R Enclosure 6.00" x 6.00" x 5.75"</t>
  </si>
  <si>
    <t>Allied Moulded AM664R</t>
  </si>
  <si>
    <t>AM664R</t>
  </si>
  <si>
    <t>Allied Moulded PG66,Allied Moulded AMU664,Allied Moulded AMPOLEMNT6,Allied Moulded PL66,Allied Moulded HFP66,Allied Moulded AMP664,Allied Moulded AMHS075,Allied Moulded PLA66,Allied Moulded AM664RW,Allied Moulded PF66</t>
  </si>
  <si>
    <t>Allied Moulded AM664R AM-R Series JIC Size Fiberglass Enclosure 6.00" x 6.00" x 5.75" (HxWxD) Approx. Inside Dimensions Raised Lift-Off Screw Cover.</t>
  </si>
  <si>
    <t>Allied-Moulded-AM664R.jpg</t>
  </si>
  <si>
    <t>Allied Moulded AM664RHW Enclosure 6.00" x 6.00" x 5.75"</t>
  </si>
  <si>
    <t>Allied Moulded AM664RHW</t>
  </si>
  <si>
    <t>AM664RHW</t>
  </si>
  <si>
    <t>Allied Moulded PLA66,Allied Moulded AMP664CCH,Allied Moulded AM664RH,Allied Moulded AMHS075,Allied Moulded AMU664HW,Allied Moulded PL66,Allied Moulded AMPOLEMNT6,Allied Moulded PG66,Allied Moulded PF66,Allied Moulded HFP66</t>
  </si>
  <si>
    <t>Allied Moulded AM664RHW AM-R Series JIC Size Fiberglass Enclosure with Windows 6.00" x 6.00" x 5.75" (HxWxD) Approx. Inside Dimensions Raised Hinged Screw Cover.</t>
  </si>
  <si>
    <t>Allied-Moulded-AM664RHW.jpg</t>
  </si>
  <si>
    <t>Allied Moulded AM664RLW Enclosure 6.00" x 6.00" x 5.75"</t>
  </si>
  <si>
    <t>Allied Moulded AM664RLW</t>
  </si>
  <si>
    <t>AM664RLW</t>
  </si>
  <si>
    <t>Allied Moulded PLA66,Allied Moulded AM664RL,Allied Moulded PL66,Allied Moulded AMU664LW,Allied Moulded HFP66,Allied Moulded AMP664CCL,Allied Moulded AMPOLEMNT6,Allied Moulded AMHS075,Allied Moulded PG66,Allied Moulded PF66</t>
  </si>
  <si>
    <t>Allied Moulded AM664RLW AM-R Series JIC Size Fiberglass Enclosure with Windows 6.00" x 6.00" x 5.75" (HxWxD) Approx. Inside Dimensions Raised Stainless Steel Lockable Snap Latch Hinged Cover.</t>
  </si>
  <si>
    <t>Allied-Moulded-AM664RLW.jpg</t>
  </si>
  <si>
    <t>Allied Moulded AM664RTW Enclosure 6.00" x 6.00" x 5.75"</t>
  </si>
  <si>
    <t>Allied Moulded AM664RTW</t>
  </si>
  <si>
    <t>AM664RTW</t>
  </si>
  <si>
    <t>Allied Moulded AMHS075,Allied Moulded AM664RT,Allied Moulded PLA66,Allied Moulded PL66,Allied Moulded AMU664TW,Allied Moulded AMPOLEMNT6,Allied Moulded PF66,Allied Moulded PG66,Allied Moulded HFP66,Allied Moulded AMP664CCL</t>
  </si>
  <si>
    <t>Allied Moulded AM664RTW AM-R Series JIC Size Fiberglass Enclosure with Windows 6.00" x 6.00" x 5.75" (HxWxD) Approx. Inside Dimensions Raised Lockable Twist Latch Hinged Cover.</t>
  </si>
  <si>
    <t>Allied-Moulded-AM664RTW.jpg</t>
  </si>
  <si>
    <t>Allied Moulded AM664 ULTRAGUARD Fiberglass reinforced polyester Type 4x Small Junction Box</t>
  </si>
  <si>
    <t>Allied Moulded AM664</t>
  </si>
  <si>
    <t>AM664</t>
  </si>
  <si>
    <t>Allied Moulded PG66,Allied Moulded PLA66,Allied Moulded AMPOLEMNT6,Allied Moulded AM664RW,Allied Moulded AMP664,Allied Moulded PF66,Allied Moulded PL66,Allied Moulded AMHS075,Allied Moulded AMU664</t>
  </si>
  <si>
    <t>Allied Moulded AM664 ULTRAGUARD Fiberglass reinforced polyester Type 4x Junction Box Enclosure 6" x 6" x 4" (HXWXD) Inside Dimension. Opaque cover with lift off 4 screw cover. 316 Stainless Steel external hardware and plated carbon steel internal hardware.</t>
  </si>
  <si>
    <t>Allied Moulded AM664 ULTRAGUARD Fiberglass reinforced polyester Type 4x Junction Box Enclosure 6" x 6" x 4" (HXWXD). Opaque cover with lift off 4 screw cover. 316 Stainless Steel external hardware and plated carbon steel internal hardware.</t>
  </si>
  <si>
    <t>Allied Moulded AM664 Non Metallic Polyester Enclosure</t>
  </si>
  <si>
    <t>Allied-Moulded-AM664.jpg</t>
  </si>
  <si>
    <t>Allied Moulded AM664H ULTRAGUARD Fiberglass reinforced polyester Type 4x Small Junction Box</t>
  </si>
  <si>
    <t>Allied Moulded AM664H</t>
  </si>
  <si>
    <t>AM664H</t>
  </si>
  <si>
    <t>Allied Moulded AMU664H,Allied Moulded AM664RHW,Allied Moulded AMHS075,Allied Moulded AMP664H,Allied Moulded PF66,Allied Moulded AMPOLEMNT6,Allied Moulded PL66,Allied Moulded PLA66,Allied Moulded PG66</t>
  </si>
  <si>
    <t>Allied Moulded AM664H ULTRAGUARD Fiberglass reinforced polyester Type 4x Junction Box Enclosure 6" x 6" x 4" (HXWXD) Inside Dimension. Opaque cover with hinged 2 screw cover. 316 Stainless Steel hinge, external hardware and plated carbon steel internal hardware.</t>
  </si>
  <si>
    <t>Allied Moulded AM664H ULTRAGUARD Fiberglass reinforced polyester Type 4x Junction Box Enclosure 6" x 6" x 4" (HXWXD). Opaque cover with hinged 2 screw cover. 316 Stainless Steel hinge, external hardware and plated carbon steel internal hardware.</t>
  </si>
  <si>
    <t>Allied Moulded AM664H Non Metallic Polyester Enclosure</t>
  </si>
  <si>
    <t>Allied-Moulded-AM664H.jpg</t>
  </si>
  <si>
    <t>Allied Moulded AM664L ULTRAGUARD Fiberglass reinforced polyester Type 4x Small Junction Box</t>
  </si>
  <si>
    <t>Allied Moulded AM664L</t>
  </si>
  <si>
    <t>AM664L</t>
  </si>
  <si>
    <t>Allied Moulded PL66,Allied Moulded AM664RLW,Allied Moulded PLA66,Allied Moulded AMHS075,Allied Moulded PG66,Allied Moulded AMPOLEMNT6,Allied Moulded AMP664L,Allied Moulded AMU664L,Allied Moulded PF66</t>
  </si>
  <si>
    <t>Allied Moulded AM664L ULTRAGUARD Fiberglass reinforced polyester Type 4x Junction Box Enclosure 6" x 6" x 4" (HXWXD) Inside Dimension. Opaque cover hinged with lockable clamp latch. 316 Stainless Steel hinge, latch, external hardware and plated carbon steel internal hardware.</t>
  </si>
  <si>
    <t>Allied Moulded AM664L ULTRAGUARD Fiberglass reinforced polyester Type 4x Junction Box Enclosure 6" x 6" x 4" (HXWXD). Opaque cover hinged with lockable clamp latch. 316 Stainless Steel hinge, latch, external hardware and plated carbon steel internal hardware.</t>
  </si>
  <si>
    <t>Allied Moulded AM664L Non Metallic Polyester Enclosure</t>
  </si>
  <si>
    <t>Allied-Moulded-AM664L.jpg</t>
  </si>
  <si>
    <t>Allied Moulded AM664T ULTRAGUARD Fiberglass reinforced polyester Type 4x Small Junction Box</t>
  </si>
  <si>
    <t>Allied Moulded AM664T</t>
  </si>
  <si>
    <t>AM664T</t>
  </si>
  <si>
    <t>Allied Moulded AMHS075,Allied Moulded AM664RTW,Allied Moulded PL66,Allied Moulded PG66,Allied Moulded AMPOLEMNT6,Allied Moulded AMU664T,Allied Moulded PLA66,Allied Moulded PF66,Allied Moulded AMP664L</t>
  </si>
  <si>
    <t>Allied Moulded AM664T ULTRAGUARD Fiberglass reinforced polyester Type 4x Junction Box Enclosure 6" x 6" x 4" (HXWXD) Inside Dimension. Opaque cover hinged with lockable twist latch. 316 Stainless Steel hinge, latch, external hardware and plated carbon steel internal hardware.</t>
  </si>
  <si>
    <t>Allied Moulded AM664T ULTRAGUARD Fiberglass reinforced polyester Type 4x Junction Box Enclosure 6" x 6" x 4" (HXWXD). Opaque cover hinged with lockable twist latch. 316 Stainless Steel hinge, latch, external hardware and plated carbon steel internal hardware.</t>
  </si>
  <si>
    <t>Allied Moulded AM664T Non Metallic Polyester Enclosure</t>
  </si>
  <si>
    <t>Allied-Moulded-AM664T.jpg</t>
  </si>
  <si>
    <t>Allied Moulded AM664W ULTRAGUARD Fiberglass reinforced polyester Type 4x Small Window Junction Box</t>
  </si>
  <si>
    <t>Allied Moulded AM664W</t>
  </si>
  <si>
    <t>AM664W</t>
  </si>
  <si>
    <t>Allied Moulded AMU664W,Allied Moulded AMP664CC,Allied Moulded PL66,Allied Moulded AMHS075,Allied Moulded AMPOLEMNT6,Allied Moulded PG66,Allied Moulded PLA66,Allied Moulded AM664R,Allied Moulded PF66</t>
  </si>
  <si>
    <t>Allied Moulded AM664W ULTRAGUARD Fiberglass reinforced polyester Type 4x Window Junction Box Enclosure 6" x 6" x 4" (HXWXD) Inside Dimension. Bonded clear polycarbonate cover with lift off 4 screw cover. 316 Stainless Steel external hardware and plated carbon steel internal hardware.</t>
  </si>
  <si>
    <t>Allied Moulded AM664W ULTRAGUARD Fiberglass reinforced polyester Type 4x Window Junction Box Enclosure 6" x 6" x 4" (HXWXD). Bonded clear polycarbonate cover with lift off 4 screw cover. 316 Stainless Steel external hardware and plated carbon steel internal hardware.</t>
  </si>
  <si>
    <t>Allied Moulded AM664W Non Metallic Polyester Window Enclosure</t>
  </si>
  <si>
    <t>Allied-Moulded-AM664W.jpg</t>
  </si>
  <si>
    <t>Allied Moulded AM664HW ULTRAGUARD Fiberglass reinforced polyester Type 4x Small Window Junction Box</t>
  </si>
  <si>
    <t>Allied Moulded AM664HW</t>
  </si>
  <si>
    <t>AM664HW</t>
  </si>
  <si>
    <t>Allied Moulded AMPOLEMNT6,Allied Moulded PLA66,Allied Moulded PF66,Allied Moulded AMHS075,Allied Moulded PG66,Allied Moulded PL66,Allied Moulded AMP664CCH,Allied Moulded AMU664HW,Allied Moulded AM664RH</t>
  </si>
  <si>
    <t>Allied Moulded AM664HW ULTRAGUARD Fiberglass reinforced polyester Type 4x Window Junction Box Enclosure 6" x 6" x 4" (HXWXD) Inside Dimension. Bonded clear polycarbonate cover with hinged 2 screw cover. 316 Stainless Steel hinge, external hardware and plated carbon steel internal hardware.</t>
  </si>
  <si>
    <t>Allied Moulded AM664HW ULTRAGUARD Fiberglass reinforced polyester Type 4x Window Junction Box Enclosure 6" x 6" x 4" (HXWXD). Bonded clear polycarbonate cover with hinged 2 screw cover. 316 Stainless Steel hinge, external hardware and plated carbon steel internal hardware.</t>
  </si>
  <si>
    <t>Allied Moulded AM664HW Non Metallic Polyester Window Enclosure</t>
  </si>
  <si>
    <t>Allied-Moulded-AM664HW.jpg</t>
  </si>
  <si>
    <t>Allied Moulded AM664LW ULTRAGUARD Fiberglass reinforced polyester Type 4x Small Window Junction Box</t>
  </si>
  <si>
    <t>Allied Moulded AM664LW</t>
  </si>
  <si>
    <t>AM664LW</t>
  </si>
  <si>
    <t>Allied Moulded AM664L,Allied Moulded PF66,Allied Moulded PG66,Allied Moulded AMPOLEMNT6,Allied Moulded PL66,Allied Moulded AMHS075,Allied Moulded AMP664CCL,Allied Moulded AMU664LW,Allied Moulded PLA66</t>
  </si>
  <si>
    <t>Allied Moulded AM664LW ULTRAGUARD Fiberglass reinforced polyester Type 4x Window Junction Box Enclosure 6" x 6" x 4" (HXWXD) Inside Dimension. Bonded clear polycarbonate cover hinged with lockable clamp latch. 316 Stainless Steel hinge, latch, external hardware and plated carbon steel internal hardware.</t>
  </si>
  <si>
    <t>Allied Moulded AM664LW ULTRAGUARD Fiberglass reinforced polyester Type 4x Window Junction Box Enclosure 6" x 6" x 4" (HXWXD). Bonded clear polycarbonate cover hinged with lockable clamp latch. 316 Stainless Steel hinge, latch, external hardware and plated carbon steel internal hardware.</t>
  </si>
  <si>
    <t>Allied Moulded AM664LW Non Metallic Polyester Window Enclosure</t>
  </si>
  <si>
    <t>Allied-Moulded-AM664LW.jpg</t>
  </si>
  <si>
    <t>Allied Moulded AM664TW ULTRAGUARD Fiberglass reinforced polyester Type 4x Small Window Junction Box</t>
  </si>
  <si>
    <t>Allied Moulded AM664TW</t>
  </si>
  <si>
    <t>AM664TW</t>
  </si>
  <si>
    <t>Allied Moulded AMP664CCL,Allied Moulded AM664RTW,Allied Moulded PLA66,Allied Moulded PF66,Allied Moulded PL66,Allied Moulded AMU664TW,Allied Moulded AMHS075,Allied Moulded PG66,Allied Moulded AMPOLEMNT6</t>
  </si>
  <si>
    <t>Allied Moulded AM664TW ULTRAGUARD Fiberglass reinforced polyester Type 4x Window Junction Box Enclosure 6" x 6" x 4" (HXWXD) Inside Dimension. Bonded clear polycarbonate cover hinged with lockable twist latch. 316 Stainless Steel hinge, latch, external hardware and plated carbon steel internal hardware.</t>
  </si>
  <si>
    <t>Allied Moulded AM664TW ULTRAGUARD Fiberglass reinforced polyester Type 4x Window Junction Box Enclosure 6" x 6" x 4" (HXWXD). Bonded clear polycarbonate cover hinged with lockable twist latch. 316 Stainless Steel hinge, latch, external hardware and plated carbon steel internal hardware.</t>
  </si>
  <si>
    <t>Allied Moulded AM664TW Non Metallic Polyester Window Enclosure</t>
  </si>
  <si>
    <t>Allied-Moulded-AM664TW.jpg</t>
  </si>
  <si>
    <t>Allied Moulded AM664RH Enclosure 6.00" x 6.00" x 5.75"</t>
  </si>
  <si>
    <t>Allied Moulded AM664RH</t>
  </si>
  <si>
    <t>AM664RH</t>
  </si>
  <si>
    <t>Allied Moulded PG66,Allied Moulded PL66,Allied Moulded PF66,Allied Moulded AM664RHW,Allied Moulded AMU664H,Allied Moulded HFP66,Allied Moulded PLA66,Allied Moulded AMPOLEMNT6,Allied Moulded AMP664H,Allied Moulded AMHS075</t>
  </si>
  <si>
    <t>Allied Moulded AM664RH AM-R Series JIC Size Fiberglass Enclosure 6.00" x 6.00" x 5.75" (HxWxD) Approx. Inside Dimensions Raised Hinged Screw Cover.</t>
  </si>
  <si>
    <t>Allied-Moulded-AM664RH.jpg</t>
  </si>
  <si>
    <t>Allied Moulded AM664RL Enclosure 6.00" x 6.00" x 5.75"</t>
  </si>
  <si>
    <t>Allied Moulded AM664RL</t>
  </si>
  <si>
    <t>AM664RL</t>
  </si>
  <si>
    <t>Allied Moulded HFP66,Allied Moulded PG66,Allied Moulded PL66,Allied Moulded PF66,Allied Moulded AMU664L,Allied Moulded AMP664L,Allied Moulded AMHS075,Allied Moulded AM664RLW,Allied Moulded AMPOLEMNT6,Allied Moulded PLA66</t>
  </si>
  <si>
    <t>Allied Moulded AM664RL AM-R Series JIC Size Fiberglass Enclosure 6.00" x 6.00" x 5.75" (HxWxD) Approx. Inside Dimensions Raised Stainless Steel Lockable Snap Latch Hinged Cover.</t>
  </si>
  <si>
    <t>Allied-Moulded-AM664RL.jpg</t>
  </si>
  <si>
    <t>Allied Moulded AM664RT Enclosure 6.00" x 6.00" x 5.75"</t>
  </si>
  <si>
    <t>Allied Moulded AM664RT</t>
  </si>
  <si>
    <t>AM664RT</t>
  </si>
  <si>
    <t>Allied Moulded PL66,Allied Moulded PG66,Allied Moulded AMPOLEMNT6,Allied Moulded AMU664T,Allied Moulded AM664RTW,Allied Moulded AMHS075,Allied Moulded HFP66,Allied Moulded PF66,Allied Moulded PLA66,Allied Moulded AMP664L</t>
  </si>
  <si>
    <t>Allied Moulded AM664RT AM-R Series JIC Size Fiberglass Enclosure 6.00" x 6.00" x 5.75" (HxWxD) Approx. Inside Dimensions Raised Stainless Steel Lockable Twist Latch Hinged Cover.</t>
  </si>
  <si>
    <t>Allied-Moulded-AM664RT.jpg</t>
  </si>
  <si>
    <t>Allied Moulded AM664RW Enclosure 6.00" x 6.00" x 5.75"</t>
  </si>
  <si>
    <t>Allied Moulded AM664RW</t>
  </si>
  <si>
    <t>AM664RW</t>
  </si>
  <si>
    <t>Allied Moulded PL66,Allied Moulded AM664R,Allied Moulded PG66,Allied Moulded AMPOLEMNT6,Allied Moulded AMHS075,Allied Moulded PF66,Allied Moulded AMP664CC,Allied Moulded PLA66,Allied Moulded AMU664W,Allied Moulded HFP66</t>
  </si>
  <si>
    <t>Allied Moulded AM664RW AM-R Series JIC Size Fiberglass Enclosure with Windows 6.00" x 6.00" x 5.75" (HxWxD) Approx. Inside Dimensions Raised Lift-Off Screw Cover.</t>
  </si>
  <si>
    <t>Allied-Moulded-AM664RW.jpg</t>
  </si>
  <si>
    <t>Allied Moulded AMU664 Enclosure 6" x 6" x 4"</t>
  </si>
  <si>
    <t>Allied Moulded AMU664</t>
  </si>
  <si>
    <t>AMU664</t>
  </si>
  <si>
    <t>Allied Moulded PLA66,Allied Moulded AMU664CC,Allied Moulded PG66,Allied Moulded AMP664,Allied Moulded AMU664L,Allied Moulded PF66,Allied Moulded PL66,Allied Moulded AM664,Allied Moulded HFPU66,Allied Moulded AMHS075</t>
  </si>
  <si>
    <t>Allied Moulded AMU664 ULTRALINE AMU Series JIC Size Fiberglass Enclosure 6" x 6" x 4" (HxWxD) Approx. Inside Dimensions Lift-Off Screw Cover.</t>
  </si>
  <si>
    <t>Allied-Moulded-AMU664.jpg</t>
  </si>
  <si>
    <t>Allied Moulded AMU664F Enclosure 6" x 6" x 4"</t>
  </si>
  <si>
    <t>Allied Moulded AMU664F</t>
  </si>
  <si>
    <t>AMU664F</t>
  </si>
  <si>
    <t>Allied Moulded PG66,Allied Moulded AMPOLEMNT6,Allied Moulded AM664,Allied Moulded PLA66,Allied Moulded AMU664TF,Allied Moulded AMHS075,Allied Moulded PF66,Allied Moulded HFPU66,Allied Moulded PL66,Allied Moulded AMP664F,Allied Moulded AMU664CCF</t>
  </si>
  <si>
    <t>Allied Moulded AMU664F ULTRALINE AMU Series JIC Size Fiberglass Enclosure 6" x 6" x 4" (HxWxD) Approx. Inside Dimensions Lift-Off Screw Cover.</t>
  </si>
  <si>
    <t>Allied-Moulded-AMU664F.jpg</t>
  </si>
  <si>
    <t>Allied Moulded AMU664H Enclosure 6" x 6" x 4"</t>
  </si>
  <si>
    <t>Allied Moulded AMU664H</t>
  </si>
  <si>
    <t>AMU664H</t>
  </si>
  <si>
    <t>Allied Moulded PF66,Allied Moulded PLA66,Allied Moulded PL66,Allied Moulded HFPU66,Allied Moulded AMHS075,Allied Moulded AMP664H,Allied Moulded AMU664CCH,Allied Moulded AM664H,Allied Moulded AMU664L,Allied Moulded PG66</t>
  </si>
  <si>
    <t>Allied Moulded AMU664H ULTRALINE AMU Series JIC Size Fiberglass Enclosure 6" x 6" x 4" (HxWxD) Approx. Inside Dimensions Hinged Screw Cover.</t>
  </si>
  <si>
    <t>Allied-Moulded-AMU664H.jpg</t>
  </si>
  <si>
    <t>Allied Moulded AMU664HF Enclosure 6" x 6" x 4"</t>
  </si>
  <si>
    <t>Allied Moulded AMU664HF</t>
  </si>
  <si>
    <t>AMU664HF</t>
  </si>
  <si>
    <t>Allied Moulded PL66,Allied Moulded AM664H,Allied Moulded AMP664HF,Allied Moulded HFPU66,Allied Moulded AMHS075,Allied Moulded PLA66,Allied Moulded AMPOLEMNT6,Allied Moulded AMU664CCHF,Allied Moulded PF66,Allied Moulded AMU664TF,Allied Moulded PG66</t>
  </si>
  <si>
    <t>Allied Moulded AMU664HF ULTRALINE AMU Series JIC Size Fiberglass Enclosure 6" x 6" x 4" (HxWxD) Approx. Inside Dimensions Hinged Screw Cover.</t>
  </si>
  <si>
    <t>Allied-Moulded-AMU664HF.jpg</t>
  </si>
  <si>
    <t>Allied Moulded AMU664L Enclosure 6" x 6" x 4"</t>
  </si>
  <si>
    <t>Allied Moulded AMU664L</t>
  </si>
  <si>
    <t>AMU664L</t>
  </si>
  <si>
    <t>Allied Moulded PG66,Allied Moulded AMU664CCL,Allied Moulded PF66,Allied Moulded PLA66,Allied Moulded AM664L,Allied Moulded AMU664T,Allied Moulded PL66,Allied Moulded HFPU66,Allied Moulded AMP664L,Allied Moulded AMHS075</t>
  </si>
  <si>
    <t>Allied Moulded AMU664L ULTRALINE AMU Series JIC Size Fiberglass Enclosure 6" x 6" x 4" (HxWxD) Approx. Inside Dimensions Metal Snap Latch Hinged Cover.</t>
  </si>
  <si>
    <t>Allied-Moulded-AMU664L.jpg</t>
  </si>
  <si>
    <t>Allied Moulded AMU664LF Enclosure 6" x 6" x 4"</t>
  </si>
  <si>
    <t>Allied Moulded AMU664LF</t>
  </si>
  <si>
    <t>AMU664LF</t>
  </si>
  <si>
    <t>Allied Moulded AMU664CCLF,Allied Moulded AMP664LF,Allied Moulded AM664L,Allied Moulded PG66,Allied Moulded AMU664TF,Allied Moulded PL66,Allied Moulded HFPU66,Allied Moulded PLA66,Allied Moulded AMPOLEMNT6,Allied Moulded PF66,Allied Moulded AMHS075</t>
  </si>
  <si>
    <t>Allied Moulded AMU664LF ULTRALINE AMU Series JIC Size Fiberglass Enclosure 6" x 6" x 4" (HxWxD) Approx. Inside Dimensions Metal Snap Latch Hinged Cover.</t>
  </si>
  <si>
    <t>Allied-Moulded-AMU664LF.jpg</t>
  </si>
  <si>
    <t>Allied Moulded AMU664NL Enclosure 6" x 6" x 4"</t>
  </si>
  <si>
    <t>Allied Moulded AMU664NL</t>
  </si>
  <si>
    <t>AMU664NL</t>
  </si>
  <si>
    <t>Allied Moulded PLA66,Allied Moulded PG66,Allied Moulded HFPU66,Allied Moulded AMU664CCL,Allied Moulded AM664L,Allied Moulded AMHS075,Allied Moulded AMP664L,Allied Moulded PF66,Allied Moulded PL66,Allied Moulded AMU664T</t>
  </si>
  <si>
    <t>Allied Moulded AMU664NL ULTRALINE AMU Series JIC Size Fiberglass Enclosure 6" x 6" x 4" (HxWxD) Approx. Inside Dimensions Nonmetallic Snap Latch Hinged Cover.</t>
  </si>
  <si>
    <t>Allied-Moulded-AMU664NL.jpg</t>
  </si>
  <si>
    <t>Allied Moulded AMU664NLF Enclosure 6" x 6" x 4"</t>
  </si>
  <si>
    <t>Allied Moulded AMU664NLF</t>
  </si>
  <si>
    <t>AMU664NLF</t>
  </si>
  <si>
    <t>Allied Moulded PG66,Allied Moulded AMP664LF,Allied Moulded AMPOLEMNT6,Allied Moulded AMU664TF,Allied Moulded PLA66,Allied Moulded HFPU66,Allied Moulded AM664L,Allied Moulded AMU664CCLF,Allied Moulded AMHS075,Allied Moulded PL66,Allied Moulded PF66</t>
  </si>
  <si>
    <t>Allied Moulded AMU664NLF ULTRALINE AMU Series JIC Size Fiberglass Enclosure 6" x 6" x 4" (HxWxD) Approx. Inside Dimensions Nonmetallic Snap Latch Hinged Cover.</t>
  </si>
  <si>
    <t>Allied-Moulded-AMU664NLF.jpg</t>
  </si>
  <si>
    <t>Allied Moulded AMU664T Enclosure 6" x 6" x 4"</t>
  </si>
  <si>
    <t>Allied Moulded AMU664T</t>
  </si>
  <si>
    <t>AMU664T</t>
  </si>
  <si>
    <t>Allied Moulded PG66,Allied Moulded PF66,Allied Moulded HFPU66,Allied Moulded AMU664L,Allied Moulded AMP664L,Allied Moulded AM664T,Allied Moulded PL66,Allied Moulded PLA66,Allied Moulded AMHS075,Allied Moulded AMU664CCT</t>
  </si>
  <si>
    <t>Allied Moulded AMU664T ULTRALINE AMU Series JIC Size Fiberglass Enclosure 6" x 6" x 4" (HxWxD) Approx. Inside Dimensions Lockable Twist Latch Hinged Cover.</t>
  </si>
  <si>
    <t>Allied-Moulded-AMU664T.jpg</t>
  </si>
  <si>
    <t>Allied Moulded AMU664TF Enclosure 6" x 6" x 4"</t>
  </si>
  <si>
    <t>Allied Moulded AMU664TF</t>
  </si>
  <si>
    <t>AMU664TF</t>
  </si>
  <si>
    <t>Allied Moulded AMPOLEMNT6,Allied Moulded PG66,Allied Moulded PF66,Allied Moulded PL66,Allied Moulded AMHS075,Allied Moulded AMU664LF,Allied Moulded AMU664CCTF,Allied Moulded HFPU66,Allied Moulded PLA66,Allied Moulded AM664T,Allied Moulded AMP664LF</t>
  </si>
  <si>
    <t>Allied Moulded AMU664TF ULTRALINE AMU Series JIC Size Fiberglass Enclosure 6" x 6" x 4" (HxWxD) Approx. Inside Dimensions Lockable Twist Latch Hinged Cover.</t>
  </si>
  <si>
    <t>Allied-Moulded-AMU664TF.jpg</t>
  </si>
  <si>
    <t>Allied Moulded AMU664W Enclosure 6" x 6" x 4"</t>
  </si>
  <si>
    <t>Allied Moulded AMU664W</t>
  </si>
  <si>
    <t>AMU664W</t>
  </si>
  <si>
    <t>Allied Moulded AMP664CC,Allied Moulded PLA66,Allied Moulded AMHS075,Allied Moulded AMU664CC,Allied Moulded PL66,Allied Moulded AMU664LW,Allied Moulded AM664W,Allied Moulded PG66,Allied Moulded PF66,Allied Moulded HFPU66</t>
  </si>
  <si>
    <t>Allied Moulded AMU664W ULTRALINE AMU Series JIC Size Fiberglass Enclosure 6" x 6" x 4" (HxWxD) Approx. Inside Dimensions Lift-Off Screw Cover.</t>
  </si>
  <si>
    <t>Allied-Moulded-AMU664W.jpg</t>
  </si>
  <si>
    <t>Allied Moulded AMU664WF Enclosure 6" x 6" x 4"</t>
  </si>
  <si>
    <t>Allied Moulded AMU664WF</t>
  </si>
  <si>
    <t>AMU664WF</t>
  </si>
  <si>
    <t>Allied Moulded HFPU66,Allied Moulded PLA66,Allied Moulded AMU664TWF,Allied Moulded AM664W,Allied Moulded AMP664CCF,Allied Moulded PF66,Allied Moulded AMHS075,Allied Moulded AMU664CCF,Allied Moulded PG66,Allied Moulded PL66,Allied Moulded AMPOLEMNT6</t>
  </si>
  <si>
    <t>Allied Moulded AMU664WF ULTRALINE AMU Series JIC Size Fiberglass Enclosure 6" x 6" x 4" (HxWxD) Approx. Inside Dimensions Lift-Off Screw Cover.</t>
  </si>
  <si>
    <t>Allied-Moulded-AMU664WF.jpg</t>
  </si>
  <si>
    <t>Allied Moulded AMU664HW Enclosure 6" x 6" x 4"</t>
  </si>
  <si>
    <t>Allied Moulded AMU664HW</t>
  </si>
  <si>
    <t>AMU664HW</t>
  </si>
  <si>
    <t>Allied Moulded PLA66,Allied Moulded AMHS075,Allied Moulded AMP864CCH,Allied Moulded HFPU66,Allied Moulded AM864H,Allied Moulded AMU864LW,Allied Moulded PL66,Allied Moulded PF66,Allied Moulded PG66,Allied Moulded AMU864CCH</t>
  </si>
  <si>
    <t>Allied Moulded AMU664HW ULTRALINE AMU Series JIC Size Fiberglass Enclosure 6" x 6" x 4" (HxWxD) Approx. Inside Dimensions Hinged Screw Cover.</t>
  </si>
  <si>
    <t>Allied-Moulded-AMU664HW.jpg</t>
  </si>
  <si>
    <t>Allied Moulded AMU664HWF Enclosure 6" x 6" x 4"</t>
  </si>
  <si>
    <t>Allied Moulded AMU664HWF</t>
  </si>
  <si>
    <t>AMU664HWF</t>
  </si>
  <si>
    <t>Allied Moulded AMP664CCHF,Allied Moulded PL66,Allied Moulded PLA66,Allied Moulded HFPU66,Allied Moulded PF66,Allied Moulded PG66,Allied Moulded AMU664CCHF,Allied Moulded AMU664TWF,Allied Moulded AMHS075,Allied Moulded AM664HW,Allied Moulded AMPOLEMNT6</t>
  </si>
  <si>
    <t>Allied Moulded AMU664HWF ULTRALINE AMU Series JIC Size Fiberglass Enclosure 6" x 6" x 4" (HxWxD) Approx. Inside Dimensions Hinged Screw Cover.</t>
  </si>
  <si>
    <t>Allied-Moulded-AMU664HWF.jpg</t>
  </si>
  <si>
    <t>Allied Moulded AMU664LW Enclosure 6" x 6" x 4"</t>
  </si>
  <si>
    <t>Allied Moulded AMU664LW</t>
  </si>
  <si>
    <t>AMU664LW</t>
  </si>
  <si>
    <t>Allied Moulded AMU664TW,Allied Moulded AM664LW,Allied Moulded AMHS075,Allied Moulded PL66,Allied Moulded AMP664CCL,Allied Moulded HFPU66,Allied Moulded AMU664CCL,Allied Moulded PG66,Allied Moulded PF66,Allied Moulded PLA66</t>
  </si>
  <si>
    <t>Allied Moulded AMU664LW ULTRALINE AMU Series JIC Size Fiberglass Enclosure 6" x 6" x 4" (HxWxD) Approx. Inside Dimensions Metal Snap Latch Hinged Cover.</t>
  </si>
  <si>
    <t>Allied-Moulded-AMU664LW.jpg</t>
  </si>
  <si>
    <t>Allied Moulded AMU664LWF Enclosure 6" x 6" x 4"</t>
  </si>
  <si>
    <t>Allied Moulded AMU664LWF</t>
  </si>
  <si>
    <t>AMU664LWF</t>
  </si>
  <si>
    <t>Allied Moulded AMU664CCLF,Allied Moulded PL66,Allied Moulded PF66,Allied Moulded HFPU66,Allied Moulded AMU664TWF,Allied Moulded AM664LW,Allied Moulded PG66,Allied Moulded AMP664CCLF,Allied Moulded AMPOLEMNT6,Allied Moulded PLA66,Allied Moulded AMHS075</t>
  </si>
  <si>
    <t>Allied Moulded AMU664LWF ULTRALINE AMU Series JIC Size Fiberglass Enclosure 6" x 6" x 4" (HxWxD) Approx. Inside Dimensions Metal Snap Latch Hinged Cover.</t>
  </si>
  <si>
    <t>Allied-Moulded-AMU664LWF.jpg</t>
  </si>
  <si>
    <t>Allied Moulded AMU664NLW Enclosure 6" x 6" x 4"</t>
  </si>
  <si>
    <t>Allied Moulded AMU664NLW</t>
  </si>
  <si>
    <t>AMU664NLW</t>
  </si>
  <si>
    <t>Allied Moulded AMU664CCL,Allied Moulded PF66,Allied Moulded PG66,Allied Moulded AM664LW,Allied Moulded PL66,Allied Moulded AMU664TW,Allied Moulded AMHS075,Allied Moulded PLA66,Allied Moulded AMP664CCL,Allied Moulded HFPU66</t>
  </si>
  <si>
    <t>Allied Moulded AMU664NLW ULTRALINE AMU Series JIC Size Fiberglass Enclosure with Windows 6" x 6" x 4" (HxWxD) Approx. Inside Dimensions Nonmetallic Snap Latch Hinged Cover.</t>
  </si>
  <si>
    <t>Allied-Moulded-AMU664NLW.jpg</t>
  </si>
  <si>
    <t>Allied Moulded AMU664NLWF Enclosure 6" x 6" x 4"</t>
  </si>
  <si>
    <t>Allied Moulded AMU664NLWF</t>
  </si>
  <si>
    <t>AMU664NLWF</t>
  </si>
  <si>
    <t>Allied Moulded AMHS075,Allied Moulded PG66,Allied Moulded AMU664TWF,Allied Moulded AMPOLEMNT6,Allied Moulded AM664LW,Allied Moulded PF66,Allied Moulded HFPU66,Allied Moulded PLA66,Allied Moulded AMU664CCLF,Allied Moulded PL66,Allied Moulded AMP664CCLF</t>
  </si>
  <si>
    <t>Allied Moulded AMU664NLWF ULTRALINE AMU Series JIC Size Fiberglass Enclosure with Windows 6" x 6" x 4" (HxWxD) Approx. Inside Dimensions Nonmetallic Snap Latch Hinged Cover.</t>
  </si>
  <si>
    <t>Allied-Moulded-AMU664NLWF.jpg</t>
  </si>
  <si>
    <t>Allied Moulded AMU664TW Enclosure 6" x 6" x 4"</t>
  </si>
  <si>
    <t>Allied Moulded AMU664TW</t>
  </si>
  <si>
    <t>AMU664TW</t>
  </si>
  <si>
    <t>Allied Moulded AMU664LW,Allied Moulded AMP664CCL,Allied Moulded AMHS075,Allied Moulded HFPU66,Allied Moulded PG66,Allied Moulded AM664TW,Allied Moulded AMU664CCT,Allied Moulded PF66,Allied Moulded PL66,Allied Moulded PLA66</t>
  </si>
  <si>
    <t>Allied Moulded AMU664TW ULTRALINE AMU Series JIC Size Fiberglass Enclosure with Windows 6" x 6" x 4" (HxWxD) Approx. Inside Dimensions Lockable Twist Latch Hinged Cover.</t>
  </si>
  <si>
    <t>Allied-Moulded-AMU664TW.jpg</t>
  </si>
  <si>
    <t>Allied Moulded AMU664TWF Enclosure 6" x 6" x 4"</t>
  </si>
  <si>
    <t>Allied Moulded AMU664TWF</t>
  </si>
  <si>
    <t>AMU664TWF</t>
  </si>
  <si>
    <t>Allied Moulded PL66,Allied Moulded AMP664CCLF,Allied Moulded PG66,Allied Moulded AMHS075,Allied Moulded AMU664CCTF,Allied Moulded AMU664LWF,Allied Moulded AM664TW,Allied Moulded PLA66,Allied Moulded PF66,Allied Moulded AMPOLEMNT6,Allied Moulded HFPU66</t>
  </si>
  <si>
    <t>Allied Moulded AMU664TWF ULTRALINE AMU Series JIC Size Fiberglass Enclosure with Windows 6" x 6" x 4" (HxWxD) Approx. Inside Dimensions Lockable Twist Latch Hinged Cover.</t>
  </si>
  <si>
    <t>Allied-Moulded-AMU664TWF.jpg</t>
  </si>
  <si>
    <t>Allied Moulded AMU664CC Enclosure 6" x 6" x 4"</t>
  </si>
  <si>
    <t>Allied Moulded AMU664CC</t>
  </si>
  <si>
    <t>AMU664CC</t>
  </si>
  <si>
    <t>Allied Moulded PG66,Allied Moulded AMP664CC,Allied Moulded AMU664,Allied Moulded AMHS075,Allied Moulded AM664W,Allied Moulded PLA66,Allied Moulded PL66,Allied Moulded AMU664CCT,Allied Moulded HFPU66,Allied Moulded PF66</t>
  </si>
  <si>
    <t>Allied Moulded AMU664CC ULTRALINE AMU Series JIC Size Fiberglass Enclosure with Clear Covers 6" x 6" x 4" (HxWxD) Approx. Inside Dimensions Lift-Off Screw Cover.</t>
  </si>
  <si>
    <t>Allied-Moulded-AMU664CC.jpg</t>
  </si>
  <si>
    <t>Allied Moulded AMU664CCF Enclosure 6" x 6" x 4"</t>
  </si>
  <si>
    <t>Allied Moulded AMU664CCF</t>
  </si>
  <si>
    <t>AMU664CCF</t>
  </si>
  <si>
    <t>Allied Moulded PL66,Allied Moulded AM664W,Allied Moulded AMU664F,Allied Moulded AMP664CCF,Allied Moulded PG66,Allied Moulded PLA66,Allied Moulded PF66,Allied Moulded AMHS075,Allied Moulded HFPU66,Allied Moulded AMPOLEMNT6,Allied Moulded AMU664CCLF</t>
  </si>
  <si>
    <t>Allied Moulded AMU664CCF ULTRALINE AMU Series JIC Size Fiberglass Enclosure with Clear Covers 6" x 6" x 4" (HxWxD) Approx. Inside Dimensions Lift-Off Screw Cover.</t>
  </si>
  <si>
    <t>Allied-Moulded-AMU664CCF.jpg</t>
  </si>
  <si>
    <t>Allied Moulded AMU664CCH Enclosure 6" x 6" x 4"</t>
  </si>
  <si>
    <t>Allied Moulded AMU664CCH</t>
  </si>
  <si>
    <t>AMU664CCH</t>
  </si>
  <si>
    <t>Allied Moulded HFPU66,Allied Moulded AM664HW,Allied Moulded AMHS075,Allied Moulded PL66,Allied Moulded AMU664H,Allied Moulded AMU664CCT,Allied Moulded AMP664CCH,Allied Moulded PG66,Allied Moulded PLA66,Allied Moulded PF66</t>
  </si>
  <si>
    <t>Allied Moulded AMU664CCH ULTRALINE AMU Series JIC Size Fiberglass Enclosure with Clear Covers 6" x 6" x 4" (HxWxD) Approx. Inside Dimensions Hinged Screw Cover.</t>
  </si>
  <si>
    <t>Allied-Moulded-AMU664CCH.jpg</t>
  </si>
  <si>
    <t>Allied Moulded AMU664CCHF Enclosure 6" x 6" x 4"</t>
  </si>
  <si>
    <t>Allied Moulded AMU664CCHF</t>
  </si>
  <si>
    <t>AMU664CCHF</t>
  </si>
  <si>
    <t>Allied Moulded PF66,Allied Moulded AMPOLEMNT6,Allied Moulded HFPU66,Allied Moulded PG66,Allied Moulded AMU664HF,Allied Moulded PLA66,Allied Moulded AMU664CCLF,Allied Moulded PL66,Allied Moulded AM664HW,Allied Moulded AMP664CCHF,Allied Moulded AMHS075</t>
  </si>
  <si>
    <t>Allied Moulded AMU664CCHF ULTRALINE AMU Series JIC Size Fiberglass Enclosure with Clear Covers 6" x 6" x 4" (HxWxD) Approx. Inside Dimensions Hinged Screw Cover.</t>
  </si>
  <si>
    <t>Allied-Moulded-AMU664CCHF.jpg</t>
  </si>
  <si>
    <t>Allied Moulded AMU664CCL Enclosure 6" x 6" x 4"</t>
  </si>
  <si>
    <t>Allied Moulded AMU664CCL</t>
  </si>
  <si>
    <t>AMU664CCL</t>
  </si>
  <si>
    <t>Allied Moulded PF66,Allied Moulded AM664LW,Allied Moulded AMHS075,Allied Moulded AMU664L,Allied Moulded AMU664CCT,Allied Moulded AMP664CCL,Allied Moulded PLA66,Allied Moulded PL66,Allied Moulded HFPU66,Allied Moulded PG66</t>
  </si>
  <si>
    <t>Allied Moulded AMU664CCL ULTRALINE AMU Series JIC Size Fiberglass Enclosure with Clear Covers 6" x 6" x 4" (HxWxD) Approx. Inside Dimensions Metal Snap Latch Hinged Cover.</t>
  </si>
  <si>
    <t>Allied-Moulded-AMU664CCL.jpg</t>
  </si>
  <si>
    <t>Allied Moulded AMU664CCLF Enclosure 6" x 6" x 4"</t>
  </si>
  <si>
    <t>Allied Moulded AMU664CCLF</t>
  </si>
  <si>
    <t>AMU664CCLF</t>
  </si>
  <si>
    <t>Allied Moulded AMU664CCTF,Allied Moulded PG66,Allied Moulded AM664L,Allied Moulded HFPU66,Allied Moulded PF66,Allied Moulded PLA66,Allied Moulded AMPOLEMNT6,Allied Moulded AMP664CCLF,Allied Moulded AMU664LF,Allied Moulded AMHS075,Allied Moulded PL66</t>
  </si>
  <si>
    <t>Allied Moulded AMU664CCLF ULTRALINE AMU Series JIC Size Fiberglass Enclosure with Clear Covers 6" x 6" x 4" (HxWxD) Approx. Inside Dimensions Metal Snap Latch Hinged Cover.</t>
  </si>
  <si>
    <t>Allied-Moulded-AMU664CCLF.jpg</t>
  </si>
  <si>
    <t>Allied Moulded AMU664CCNL Enclosure 6" x 6" x 4"</t>
  </si>
  <si>
    <t>Allied Moulded AMU664CCNL</t>
  </si>
  <si>
    <t>AMU664CCNL</t>
  </si>
  <si>
    <t>Allied Moulded AMU664L,Allied Moulded AM664LW,Allied Moulded PL66,Allied Moulded PG66,Allied Moulded AMHS075,Allied Moulded AMP664CCL,Allied Moulded PF66,Allied Moulded PLA66,Allied Moulded HFPU66,Allied Moulded AMU664CCT</t>
  </si>
  <si>
    <t>Allied Moulded AMU664CCNL ULTRALINE AMU Series JIC Size Fiberglass Enclosure with Clear Covers 6" x 6" x 4" (HxWxD) Approx. Inside Dimensions Nonmetallic Snap Latch Hinged Cover.</t>
  </si>
  <si>
    <t>Allied-Moulded-AMU664CCNL.jpg</t>
  </si>
  <si>
    <t>Allied Moulded AMU664CCNLF Enclosure 6" x 6" x 4"</t>
  </si>
  <si>
    <t>Allied Moulded AMU664CCNLF</t>
  </si>
  <si>
    <t>AMU664CCNLF</t>
  </si>
  <si>
    <t>Allied Moulded PF66,Allied Moulded AMU664CCTF,Allied Moulded PL66,Allied Moulded AM664L,Allied Moulded AMHS075,Allied Moulded HFPU66,Allied Moulded AMU664LF,Allied Moulded PLA66,Allied Moulded AMP664CCLF,Allied Moulded AMPOLEMNT6,Allied Moulded PG66</t>
  </si>
  <si>
    <t>Allied Moulded AMU664CCNLF ULTRALINE AMU Series JIC Size Fiberglass Enclosure with Clear Covers 6" x 6" x 4" (HxWxD) Approx. Inside Dimensions Nonmetallic Snap Latch Hinged Cover.</t>
  </si>
  <si>
    <t>Allied-Moulded-AMU664CCNLF.jpg</t>
  </si>
  <si>
    <t>Allied Moulded AMU664CCT Enclosure 6" x 6" x 4"</t>
  </si>
  <si>
    <t>Allied Moulded AMU664CCT</t>
  </si>
  <si>
    <t>AMU664CCT</t>
  </si>
  <si>
    <t>Allied Moulded AMHS075,Allied Moulded AMU664T,Allied Moulded AMP664CCL,Allied Moulded PG66,Allied Moulded HFPU66,Allied Moulded PLA66,Allied Moulded AMU664CCH,Allied Moulded AM664T,Allied Moulded PL66,Allied Moulded PF66</t>
  </si>
  <si>
    <t>Allied Moulded AMU664CCT ULTRALINE AMU Series JIC Size Fiberglass Enclosure with Clear Covers 6" x 6" x 4" (HxWxD) Approx. Inside Dimensions Lockable Twist Latch Hinged Cover.</t>
  </si>
  <si>
    <t>Allied-Moulded-AMU664CCT.jpg</t>
  </si>
  <si>
    <t>Allied Moulded AMU664CCTF Enclosure 6" x 6" x 4"</t>
  </si>
  <si>
    <t>Allied Moulded AMU664CCTF</t>
  </si>
  <si>
    <t>AMU664CCTF</t>
  </si>
  <si>
    <t>Allied Moulded AMHS075,Allied Moulded PL66,Allied Moulded PG66,Allied Moulded PF66,Allied Moulded AMU664TF,Allied Moulded AMPOLEMNT6,Allied Moulded HFPU66,Allied Moulded AMP664CCLF,Allied Moulded AM664T,Allied Moulded PLA66,Allied Moulded AMU664CCLF</t>
  </si>
  <si>
    <t>Allied Moulded AMU664CCTF ULTRALINE AMU Series JIC Size Fiberglass Enclosure with Clear Covers 6" x 6" x 4" (HxWxD) Approx. Inside Dimensions Lockable Twist Latch Hinged Cover.</t>
  </si>
  <si>
    <t>Allied-Moulded-AMU664CCTF.jpg</t>
  </si>
  <si>
    <t>Allied Moulded AMP664CC Enclosure 6" x 6" x 4"</t>
  </si>
  <si>
    <t>Allied Moulded AMP664CC</t>
  </si>
  <si>
    <t>AMP664CC</t>
  </si>
  <si>
    <t>Allied Moulded AMU664CC,Allied Moulded AMP664,Allied Moulded PL66,Allied Moulded PLPVC66,Allied Moulded AM664W,Allied Moulded PLA66,Allied Moulded AMP664CCNL,Allied Moulded AMHS075,Allied Moulded HFPP66</t>
  </si>
  <si>
    <t>Allied Moulded AMP664CC POLYLINE AMP Series JIC Size Polycarbonate Enclosure with Clear Covers 6" x 6" x 4" (HxWxD) Approx. Inside Dimensions Lift-Off Screw Cover.</t>
  </si>
  <si>
    <t>Allied-Moulded-AMP664CC.jpg</t>
  </si>
  <si>
    <t>Allied Moulded AMP664CCF Enclosure 6" x 6" x 4"</t>
  </si>
  <si>
    <t>Allied Moulded AMP664CCF</t>
  </si>
  <si>
    <t>AMP664CCF</t>
  </si>
  <si>
    <t>Allied Moulded AMP664CCLF,Allied Moulded PLPVC66,Allied Moulded AMU664CCF,Allied Moulded PL66,Allied Moulded PLA66,Allied Moulded AMP664F,Allied Moulded HFPP66,Allied Moulded AM664W,Allied Moulded AMPOLEMNT6,Allied Moulded AMHS075</t>
  </si>
  <si>
    <t>Allied Moulded AMP664CCF POLYLINE AMP Series JIC Size Polycarbonate Enclosure with Clear Covers 6" x 6" x 4" (HxWxD) Approx. Inside Dimensions Lift-Off Screw Cover.</t>
  </si>
  <si>
    <t>Allied-Moulded-AMP664CCF.jpg</t>
  </si>
  <si>
    <t>Allied Moulded AMP664CCH Enclosure 6" x 6" x 4"</t>
  </si>
  <si>
    <t>Allied Moulded AMP664CCH</t>
  </si>
  <si>
    <t>AMP664CCH</t>
  </si>
  <si>
    <t>Allied Moulded PLPVC66,Allied Moulded AMP664CCNL,Allied Moulded AMP664H,Allied Moulded HFPP66,Allied Moulded PL66,Allied Moulded AM664HW,Allied Moulded PLA66,Allied Moulded AMU664CCH,Allied Moulded AMHS075</t>
  </si>
  <si>
    <t>Allied Moulded AMP664CCH POLYLINE AMP Series JIC Size Polycarbonate Enclosure with Clear Covers 6" x 6" x 4" (HxWxD) Approx. Inside Dimensions Hinged Screw Cover.</t>
  </si>
  <si>
    <t>Allied-Moulded-AMP664CCH.jpg</t>
  </si>
  <si>
    <t>Allied Moulded AMP664CCHF Enclosure 6" x 6" x 4"</t>
  </si>
  <si>
    <t>Allied Moulded AMP664CCHF</t>
  </si>
  <si>
    <t>AMP664CCHF</t>
  </si>
  <si>
    <t>Allied Moulded AMPOLEMNT6,Allied Moulded PLPVC66,Allied Moulded AM664H,Allied Moulded AMHS075,Allied Moulded PL66,Allied Moulded AMP664HF,Allied Moulded AMP664CCLF,Allied Moulded AMU664CCHF,Allied Moulded HFPP66,Allied Moulded PLA66</t>
  </si>
  <si>
    <t>Allied Moulded AMP664CCHF POLYLINE AMP Series JIC Size Polycarbonate Enclosure with Clear Covers 6" x 6" x 4" (HxWxD) Approx. Inside Dimensions Hinged Screw Cover.</t>
  </si>
  <si>
    <t>Allied-Moulded-AMP664CCHF.jpg</t>
  </si>
  <si>
    <t>Allied Moulded AMP664CCL Enclosure 6" x 6" x 4"</t>
  </si>
  <si>
    <t>Allied Moulded AMP664CCL</t>
  </si>
  <si>
    <t>AMP664CCL</t>
  </si>
  <si>
    <t>Allied Moulded PLA66,Allied Moulded AMU664CCL,Allied Moulded AMHS075,Allied Moulded PLPVC66,Allied Moulded AM664L,Allied Moulded PL66,Allied Moulded AM664LW,Allied Moulded AMP664CCNL,Allied Moulded HFPP66</t>
  </si>
  <si>
    <t>Allied Moulded AMP664CCL POLYLINE AMP Series JIC Size Polycarbonate Enclosure with Clear Covers 6" x 6" x 4" (HxWxD) Approx. Inside Dimensions Stainless Steel Lockable Snap Latch Hinged Cover.</t>
  </si>
  <si>
    <t>Allied-Moulded-AMP664CCL.jpg</t>
  </si>
  <si>
    <t>Allied Moulded AMP664CCLF Enclosure 6" x 6" x 4"</t>
  </si>
  <si>
    <t>Allied Moulded AMP664CCLF</t>
  </si>
  <si>
    <t>AMP664CCLF</t>
  </si>
  <si>
    <t>Allied Moulded AMP664CCNLF,Allied Moulded AMU664LF,Allied Moulded PLA66,Allied Moulded AMHS075,Allied Moulded AM664LW,Allied Moulded AMPOLEMNT6,Allied Moulded AMP664LF,Allied Moulded PL66,Allied Moulded PLPVC66,Allied Moulded HFPP66</t>
  </si>
  <si>
    <t>Allied Moulded AMP664CCLF POLYLINE AMP Series JIC Size Polycarbonate Enclosure with Clear Covers 6" x 6" x 4" (HxWxD) Approx. Inside Dimensions Stainless Steel Lockable Snap Latch Hinged Cover.</t>
  </si>
  <si>
    <t>Allied-Moulded-AMP664CCLF.jpg</t>
  </si>
  <si>
    <t>Allied Moulded AMP664CCNLF Enclosure 6" x 6" x 4"</t>
  </si>
  <si>
    <t>Allied Moulded AMP664CCNLF</t>
  </si>
  <si>
    <t>AMP664CCNLF</t>
  </si>
  <si>
    <t>Allied Moulded PL66,Allied Moulded AMP664CCF,Allied Moulded PLPVC66,Allied Moulded AM664LW,Allied Moulded AMU664CCLF,Allied Moulded HFPP66,Allied Moulded AMP664NLF,Allied Moulded AMPOLEMNT6,Allied Moulded AMHS075,Allied Moulded PLA66</t>
  </si>
  <si>
    <t>Allied Moulded AMP664CCNLF POLYLINE AMP Series JIC Size Polycarbonate Enclosure with Clear Covers 6" x 6" x 4" (HxWxD) Approx. Inside Dimensions Nonmetallic Snap Latch Hinged Cover.</t>
  </si>
  <si>
    <t>Allied-Moulded-AMP664CCNLF.jpg</t>
  </si>
  <si>
    <t>Allied Moulded AMP864CCNL Enclosure 6" x 6" x 4"</t>
  </si>
  <si>
    <t>Allied Moulded AMP864CCNL</t>
  </si>
  <si>
    <t>AMP864CCNL</t>
  </si>
  <si>
    <t>Allied Moulded AMP864L,Allied Moulded PL86,Allied Moulded AMP864NL,Allied Moulded AM864LW,Allied Moulded AMHS075,Allied Moulded HFPP86,Allied Moulded PLA86,Allied Moulded PLPVC86,Allied Moulded AMU864CCL</t>
  </si>
  <si>
    <t>Allied Moulded AMP864CCNL POLYLINE AMP Series JIC Size Polycarbonate Enclosure with Clear Covers 6" x 6" x 4" (HxWxD) Approx. Inside Dimensions Nonmetallic Snap Latch Hinged Cover.</t>
  </si>
  <si>
    <t>Allied-Moulded-AMP864CCNL.jpg</t>
  </si>
  <si>
    <t>Allied Moulded AMP664 Enclosure 6" x 6" x 4"</t>
  </si>
  <si>
    <t>Allied Moulded AMP664</t>
  </si>
  <si>
    <t>AMP664</t>
  </si>
  <si>
    <t>Allied Moulded HFPP66,Allied Moulded AMP664CC,Allied Moulded AM664,Allied Moulded AMP664L,Allied Moulded AMHS075,Allied Moulded PLPVC66,Allied Moulded PL66,Allied Moulded PLA66,Allied Moulded AMU664</t>
  </si>
  <si>
    <t>Allied Moulded AMP664 POLYLINE AMP Series JIC Size Polycarbonate 6" x 6" x 4" (HxWxD) Approx. Inside Dimensions Lift-Off Screw Cover.</t>
  </si>
  <si>
    <t>Allied-Moulded-AMP664.jpg</t>
  </si>
  <si>
    <t>Allied Moulded AMP664F Enclosure 6" x 6" x 4"</t>
  </si>
  <si>
    <t>Allied Moulded AMP664F</t>
  </si>
  <si>
    <t>AMP664F</t>
  </si>
  <si>
    <t>Allied Moulded AMU664F,Allied Moulded HFPP66,Allied Moulded PLA66,Allied Moulded AMP664CCF,Allied Moulded AMP664LF,Allied Moulded PLPVC66,Allied Moulded AM664,Allied Moulded PL66,Allied Moulded AMHS075,Allied Moulded AMPOLEMNT6</t>
  </si>
  <si>
    <t>Allied Moulded AMP664F POLYLINE AMP Series JIC Size Polycarbonate 6" x 6" x 4" (HxWxD) Approx. Inside Dimensions Lift-Off Screw Cover.</t>
  </si>
  <si>
    <t>Allied-Moulded-AMP664F.jpg</t>
  </si>
  <si>
    <t>Allied Moulded AMP664H Enclosure 6" x 6" x 4"</t>
  </si>
  <si>
    <t>Allied Moulded AMP664H</t>
  </si>
  <si>
    <t>AMP664H</t>
  </si>
  <si>
    <t>Allied Moulded AMP664CCH,Allied Moulded AMU664H,Allied Moulded HFPP66,Allied Moulded PLPVC66,Allied Moulded PL66,Allied Moulded AMHS075,Allied Moulded PLA66,Allied Moulded AMP664L,Allied Moulded AM664H</t>
  </si>
  <si>
    <t>Allied Moulded AMP664H POLYLINE AMP Series JIC Size Polycarbonate 6" x 6" x 4" (HxWxD) Approx. Inside Dimensions Hinged Screw Cover.</t>
  </si>
  <si>
    <t>Allied-Moulded-AMP664H.jpg</t>
  </si>
  <si>
    <t>Allied Moulded AMP664HF Enclosure 6" x 6" x 4"</t>
  </si>
  <si>
    <t>Allied Moulded AMP664HF</t>
  </si>
  <si>
    <t>AMP664HF</t>
  </si>
  <si>
    <t>Allied Moulded PLPVC66,Allied Moulded AMHS075,Allied Moulded PL66,Allied Moulded PLA66,Allied Moulded AMPOLEMNT6,Allied Moulded AMP664CCHF,Allied Moulded AM664H,Allied Moulded HFPP66,Allied Moulded AMU664HF,Allied Moulded AMP664NLF</t>
  </si>
  <si>
    <t>Allied Moulded AMP664HF POLYLINE AMP Series JIC Size Polycarbonate 6" x 6" x 4" (HxWxD) Approx. Inside Dimensions Hinged Screw Cover.</t>
  </si>
  <si>
    <t>Allied-Moulded-AMP664HF.jpg</t>
  </si>
  <si>
    <t>Allied Moulded AMP664L Enclosure 6" x 6" x 4"</t>
  </si>
  <si>
    <t>Allied Moulded AMP664L</t>
  </si>
  <si>
    <t>AMP664L</t>
  </si>
  <si>
    <t>Allied Moulded AMHS075,Allied Moulded AMP664,Allied Moulded AM664L,Allied Moulded PLPVC66,Allied Moulded HFPP66,Allied Moulded PLA66,Allied Moulded AMU664L,Allied Moulded PL66,Allied Moulded AMP664CCL</t>
  </si>
  <si>
    <t>Allied Moulded AMP664L POLYLINE AMP Series JIC Size Polycarbonate 6" x 6" x 4" (HxWxD) Approx. Inside Dimensions Stainless Steel Lockable Snap Latch Hinged Cover.</t>
  </si>
  <si>
    <t>Allied-Moulded-AMP664L.jpg</t>
  </si>
  <si>
    <t>Allied Moulded AMP664LF Enclosure 6" x 6" x 4"</t>
  </si>
  <si>
    <t>Allied Moulded AMP664LF</t>
  </si>
  <si>
    <t>AMP664LF</t>
  </si>
  <si>
    <t>Allied Moulded HFPP66,Allied Moulded AMP664NLF,Allied Moulded AMPOLEMNT6,Allied Moulded PLA66,Allied Moulded PL66,Allied Moulded AMHS075,Allied Moulded PLPVC66,Allied Moulded AMU664LF,Allied Moulded AMP664CCLF,Allied Moulded AM664L</t>
  </si>
  <si>
    <t>Allied Moulded AMP664LF POLYLINE AMP Series JIC Size Polycarbonate 6" x 6" x 4" (HxWxD) Approx. Inside Dimensions Stainless Steel Lockable Snap Latch Hinged Cover.</t>
  </si>
  <si>
    <t>Allied-Moulded-AMP664LF.jpg</t>
  </si>
  <si>
    <t>Allied Moulded AMP664NL Enclosure 6" x 6" x 4"</t>
  </si>
  <si>
    <t>Allied Moulded AMP664NL</t>
  </si>
  <si>
    <t>AMP664NL</t>
  </si>
  <si>
    <t>Allied Moulded AMP664CCNL,Allied Moulded HFPP66,Allied Moulded PLPVC66,Allied Moulded AMHS075,Allied Moulded AMU664L,Allied Moulded AMP664L,Allied Moulded PLA66,Allied Moulded AM664L,Allied Moulded PL66</t>
  </si>
  <si>
    <t>Allied Moulded AMP664NL POLYLINE AMP Series JIC Size Polycarbonate 6" x 6" x 4" (HxWxD) Approx. Inside Dimensions Nonmetallic Snap Latch Hinged Cover.</t>
  </si>
  <si>
    <t>Allied-Moulded-AMP664NL.jpg</t>
  </si>
  <si>
    <t>Allied Moulded AMP664NLF Enclosure 6" x 6" x 4"</t>
  </si>
  <si>
    <t>Allied Moulded AMP664NLF</t>
  </si>
  <si>
    <t>AMP664NLF</t>
  </si>
  <si>
    <t>Allied Moulded AMPOLEMNT6,Allied Moulded PL66,Allied Moulded PLA66,Allied Moulded AMP664CCNLF,Allied Moulded AM664L,Allied Moulded AMHS075,Allied Moulded AMU664LF,Allied Moulded AMP664F,Allied Moulded HFPP66,Allied Moulded PLPVC66</t>
  </si>
  <si>
    <t>Allied Moulded AMP664NLF POLYLINE AMP Series JIC Size Polycarbonate 6" x 6" x 4" (HxWxD) Approx. Inside Dimensions Nonmetallic Snap Latch Hinged Cover.</t>
  </si>
  <si>
    <t>Allied-Moulded-AMP664NLF.jpg</t>
  </si>
  <si>
    <t>Allied Moulded AM864R Enclosure 8.00" x 6.00" x 5.75"</t>
  </si>
  <si>
    <t>Allied Moulded AM864R</t>
  </si>
  <si>
    <t>AM864R</t>
  </si>
  <si>
    <t>Allied Moulded AMPOLEMNT6,Allied Moulded PF86,Allied Moulded AM864RW,Allied Moulded PG86,Allied Moulded PLA86,Allied Moulded AMHS075,Allied Moulded AMP864,Allied Moulded HFP86,Allied Moulded AMU864,Allied Moulded PL86</t>
  </si>
  <si>
    <t>Allied Moulded AM864R AM-R Series JIC Size Fiberglass Enclosure 8.00" x 6.00" x 5.75" (HxWxD) Approx. Inside Dimensions Raised Lift-Off Screw Cover.</t>
  </si>
  <si>
    <t>Allied-Moulded-AM864R.jpg</t>
  </si>
  <si>
    <t>Allied Moulded AM864RH Enclosure 8.00" x 6.00" x 5.75"</t>
  </si>
  <si>
    <t>Allied Moulded AM864RH</t>
  </si>
  <si>
    <t>AM864RH</t>
  </si>
  <si>
    <t>Allied Moulded AM864RHW,Allied Moulded HFP86,Allied Moulded AMU864H,Allied Moulded AMPOLEMNT6,Allied Moulded AMP864H,Allied Moulded AMHS075,Allied Moulded PLA86,Allied Moulded PL86,Allied Moulded PF86,Allied Moulded PG86</t>
  </si>
  <si>
    <t>Allied Moulded AM864RH AM-R Series JIC Size Fiberglass Enclosure 8.00" x 6.00" x 5.75" (HxWxD) Approx. Inside Dimensions Raised Hinged Screw Cover.</t>
  </si>
  <si>
    <t>Allied-Moulded-AM864RH.jpg</t>
  </si>
  <si>
    <t>Allied Moulded AM864RL Enclosure 8.00" x 6.00" x 5.75"</t>
  </si>
  <si>
    <t>Allied Moulded AM864RL</t>
  </si>
  <si>
    <t>AM864RL</t>
  </si>
  <si>
    <t>Allied Moulded HFP86,Allied Moulded AM864RLW,Allied Moulded PF86,Allied Moulded PL86,Allied Moulded AMPOLEMNT6,Allied Moulded PLA86,Allied Moulded PG86,Allied Moulded AMP864L,Allied Moulded AMHS075,Allied Moulded AMU864L</t>
  </si>
  <si>
    <t>Allied Moulded AM864RL AM-R Series JIC Size Fiberglass Enclosure 8.00" x 6.00" x 5.75" (HxWxD) Approx. Inside Dimensions Raised Stainless Steel Lockable Snap Latch Hinged Cover.</t>
  </si>
  <si>
    <t>Allied-Moulded-AM864RL.jpg</t>
  </si>
  <si>
    <t>Allied Moulded AM864RT Enclosure 8.00" x 6.00" x 5.75"</t>
  </si>
  <si>
    <t>Allied Moulded AM864RT</t>
  </si>
  <si>
    <t>AM864RT</t>
  </si>
  <si>
    <t>Allied Moulded PL86,Allied Moulded AMPOLEMNT6,Allied Moulded AM864RTW,Allied Moulded AMP864L,Allied Moulded PG86,Allied Moulded PLA86,Allied Moulded AMU864T,Allied Moulded HFP86,Allied Moulded PF86,Allied Moulded AMHS075</t>
  </si>
  <si>
    <t>Allied Moulded AM864RT AM-R Series JIC Size Fiberglass Enclosure 8.00" x 6.00" x 5.75" (HxWxD) Approx. Inside Dimensions Raised Stainless Steel Lockable Twist Latch Hinged Cover.</t>
  </si>
  <si>
    <t>Allied-Moulded-AM864RT.jpg</t>
  </si>
  <si>
    <t>Allied Moulded AM864RW Enclosure 8.00" x 6.00" x 5.75"</t>
  </si>
  <si>
    <t>Allied Moulded AM864RW</t>
  </si>
  <si>
    <t>AM864RW</t>
  </si>
  <si>
    <t>Allied Moulded AMHS075,Allied Moulded PG86,Allied Moulded AM864R,Allied Moulded AMP864CC,Allied Moulded PF86,Allied Moulded PLA86,Allied Moulded PL86,Allied Moulded HFP86,Allied Moulded AMU864W,Allied Moulded AMPOLEMNT6</t>
  </si>
  <si>
    <t>Allied Moulded AM864RW AM-R Series JIC Size Fiberglass Enclosure with Windows 8.00" x 6.00" x 5.75" (HxWxD) Approx. Inside Dimensions Raised Lift-Off Screw Cover.</t>
  </si>
  <si>
    <t>Allied-Moulded-AM864RW.jpg</t>
  </si>
  <si>
    <t>Allied Moulded AM864RHW Enclosure 8.00" x 6.00" x 5.75"</t>
  </si>
  <si>
    <t>Allied Moulded AM864RHW</t>
  </si>
  <si>
    <t>AM864RHW</t>
  </si>
  <si>
    <t>Allied Moulded PG86,Allied Moulded AMPOLEMNT6,Allied Moulded PF86,Allied Moulded AMU864HW,Allied Moulded AMP864CCH,Allied Moulded PL86,Allied Moulded AM864RH,Allied Moulded HFP86,Allied Moulded AMHS075,Allied Moulded PLA86</t>
  </si>
  <si>
    <t>Allied Moulded AM864RHW AM-R Series JIC Size Fiberglass Enclosure with Windows 8.00" x 6.00" x 5.75" (HxWxD) Approx. Inside Dimensions Raised Hinged Screw Cover.</t>
  </si>
  <si>
    <t>Allied-Moulded-AM864RHW.jpg</t>
  </si>
  <si>
    <t>Allied Moulded AM864RLW Enclosure 8.00" x 6.00" x 5.75"</t>
  </si>
  <si>
    <t>Allied Moulded AM864RLW</t>
  </si>
  <si>
    <t>AM864RLW</t>
  </si>
  <si>
    <t>Allied Moulded PG86,Allied Moulded PLA86,Allied Moulded AMPOLEMNT6,Allied Moulded HFP86,Allied Moulded AM864RL,Allied Moulded AMHS075,Allied Moulded AMU864LW,Allied Moulded AMP864CCL,Allied Moulded PL86,Allied Moulded PF86</t>
  </si>
  <si>
    <t>Allied Moulded AM864RLW AM-R Series JIC Size Fiberglass Enclosure with Windows 8.00" x 6.00" x 5.75" (HxWxD) Approx. Inside Dimensions Raised Stainless Steel Lockable Snap Latch Hinged Cover.</t>
  </si>
  <si>
    <t>Allied-Moulded-AM864RLW.jpg</t>
  </si>
  <si>
    <t>Allied Moulded AM864RTW Enclosure 8.00" x 6.00" x 5.75"</t>
  </si>
  <si>
    <t>Allied Moulded AM864RTW</t>
  </si>
  <si>
    <t>AM864RTW</t>
  </si>
  <si>
    <t>Allied Moulded AM864RT,Allied Moulded AMPOLEMNT6,Allied Moulded PF86,Allied Moulded HFP86,Allied Moulded AMHS075,Allied Moulded AMP864CCL,Allied Moulded PG86,Allied Moulded PLA86,Allied Moulded PL86,Allied Moulded AMU864TW</t>
  </si>
  <si>
    <t>Allied Moulded AM864RTW AM-R Series JIC Size Fiberglass Enclosure with Windows 8.00" x 6.00" x 5.75" (HxWxD) Approx. Inside Dimensions Raised Lockable Twist Latch Hinged Cover.</t>
  </si>
  <si>
    <t>Allied-Moulded-AM864RTW.jpg</t>
  </si>
  <si>
    <t>Allied Moulded AM864 ULTRAGUARD Fiberglass reinforced polyester Type 4x Small Junction Box</t>
  </si>
  <si>
    <t>Allied Moulded AM864</t>
  </si>
  <si>
    <t>AM864</t>
  </si>
  <si>
    <t>Allied Moulded PLA86,Allied Moulded AMPOLEMNT6,Allied Moulded AMU864,Allied Moulded AM864RW,Allied Moulded PF86,Allied Moulded PL86,Allied Moulded AMHS075,Allied Moulded AMP864,Allied Moulded PG86</t>
  </si>
  <si>
    <t>Allied Moulded AM864 ULTRAGUARD Fiberglass reinforced polyester Type 4x Junction Box Enclosure 8" x 6" x 4" (HXWXD) Inside Dimension. Opaque cover with lift off 4 screw cover. 316 Stainless Steel external hardware and plated carbon steel internal hardware.</t>
  </si>
  <si>
    <t>Allied Moulded AM864 ULTRAGUARD Fiberglass reinforced polyester Type 4x Junction Box Enclosure 8" x 6" x 4" (HXWXD). Opaque cover with lift off 4 screw cover. 316 Stainless Steel external hardware and plated carbon steel internal hardware.</t>
  </si>
  <si>
    <t>Allied Moulded AM864 Non Metallic Polyester Enclosure</t>
  </si>
  <si>
    <t>Allied-Moulded-AM864.jpg</t>
  </si>
  <si>
    <t>Allied Moulded AM864H ULTRAGUARD Fiberglass reinforced polyester Type 4x Small Junction Box</t>
  </si>
  <si>
    <t>Allied Moulded AM864H</t>
  </si>
  <si>
    <t>AM864H</t>
  </si>
  <si>
    <t>Allied Moulded AMHS075,Allied Moulded PLA86,Allied Moulded AM864RHW,Allied Moulded AMP864H,Allied Moulded PG86,Allied Moulded PL86,Allied Moulded AMU864H,Allied Moulded PF86,Allied Moulded AMPOLEMNT6</t>
  </si>
  <si>
    <t>Allied Moulded AM864H ULTRAGUARD Fiberglass reinforced polyester Type 4x Junction Box Enclosure 8" x 6" x 4" (HXWXD) Inside Dimension. Opaque cover with hinged 2 screw cover. 316 Stainless Steel hinge, external hardware and plated carbon steel internal hardware.</t>
  </si>
  <si>
    <t>Allied Moulded AM864H ULTRAGUARD Fiberglass reinforced polyester Type 4x Junction Box Enclosure 8" x 6" x 4" (HXWXD). Opaque cover with hinged 2 screw cover. 316 Stainless Steel hinge, external hardware and plated carbon steel internal hardware.</t>
  </si>
  <si>
    <t>Allied Moulded AM864H Non Metallic Polyester Enclosure</t>
  </si>
  <si>
    <t>Allied-Moulded-AM864H.jpg</t>
  </si>
  <si>
    <t>Allied Moulded AM864L ULTRAGUARD Fiberglass reinforced polyester Type 4x Small Junction Box</t>
  </si>
  <si>
    <t>Allied Moulded AM864L</t>
  </si>
  <si>
    <t>AM864L</t>
  </si>
  <si>
    <t>Allied Moulded AMP864L,Allied Moulded AMPOLEMNT6,Allied Moulded PF86,Allied Moulded AMU864L,Allied Moulded AM864RLW,Allied Moulded PG86,Allied Moulded PLA86,Allied Moulded PL86,Allied Moulded AMHS075</t>
  </si>
  <si>
    <t>Allied Moulded AM864L ULTRAGUARD Fiberglass reinforced polyester Type 4x Junction Box Enclosure 8" x 6" x 4" (HXWXD) Inside Dimension. Opaque cover hinged with lockable clamp latch. 316 Stainless Steel hinge, latch, external hardware and plated carbon steel internal hardware.</t>
  </si>
  <si>
    <t>Allied Moulded AM864L ULTRAGUARD Fiberglass reinforced polyester Type 4x Junction Box Enclosure 8" x 6" x 4" (HXWXD). Opaque cover hinged with lockable clamp latch. 316 Stainless Steel hinge, latch, external hardware and plated carbon steel internal hardware.</t>
  </si>
  <si>
    <t>Allied Moulded AM864L Non Metallic Polyester Enclosure</t>
  </si>
  <si>
    <t>Allied-Moulded-AM864L.jpg</t>
  </si>
  <si>
    <t>Allied Moulded AM864T ULTRAGUARD Fiberglass reinforced polyester Type 4x Small Junction Box</t>
  </si>
  <si>
    <t>Allied Moulded AM864T</t>
  </si>
  <si>
    <t>AM864T</t>
  </si>
  <si>
    <t>Allied Moulded AMP864L,Allied Moulded PG86,Allied Moulded AMPOLEMNT6,Allied Moulded AMU864T,Allied Moulded AM864RTW,Allied Moulded PF86,Allied Moulded PLA86,Allied Moulded AMHS075,Allied Moulded PL86</t>
  </si>
  <si>
    <t>Allied Moulded AM864T ULTRAGUARD Fiberglass reinforced polyester Type 4x Junction Box Enclosure 8" x 6" x 4" (HXWXD) Inside Dimension. Opaque cover hinged with lockable twist latch. 316 Stainless Steel hinge, latch, external hardware and plated carbon steel internal hardware.</t>
  </si>
  <si>
    <t>Allied Moulded AM864T ULTRAGUARD Fiberglass reinforced polyester Type 4x Junction Box Enclosure 8" x 6" x 4" (HXWXD). Opaque cover hinged with lockable twist latch. 316 Stainless Steel hinge, latch, external hardware and plated carbon steel internal hardware.</t>
  </si>
  <si>
    <t>Allied Moulded AM864T Non Metallic Polyester Enclosure</t>
  </si>
  <si>
    <t>Allied-Moulded-AM864T.jpg</t>
  </si>
  <si>
    <t>Allied Moulded AM864W ULTRAGUARD Fiberglass reinforced polyester Type 4x Small Window Junction Box</t>
  </si>
  <si>
    <t>Allied Moulded AM864W</t>
  </si>
  <si>
    <t>AM864W</t>
  </si>
  <si>
    <t>Allied Moulded AMHS075,Allied Moulded PLA86,Allied Moulded PF86,Allied Moulded AMP864CC,Allied Moulded AMPOLEMNT6,Allied Moulded PL86,Allied Moulded PG86,Allied Moulded AM864R,Allied Moulded AMU864W</t>
  </si>
  <si>
    <t>Allied Moulded AM864W ULTRAGUARD Fiberglass reinforced polyester Type 4x Window Junction Box Enclosure 8" x 6" x 4" (HXWXD) Inside Dimension. Bonded clear polycarbonate cover with lift off 4 screw cover. 316 Stainless Steel external hardware and plated carbon steel internal hardware.</t>
  </si>
  <si>
    <t>Allied Moulded AM864W ULTRAGUARD Fiberglass reinforced polyester Type 4x Window Junction Box Enclosure 8" x 6" x 4" (HXWXD). Bonded clear polycarbonate cover with lift off 4 screw cover. 316 Stainless Steel external hardware and plated carbon steel internal hardware.</t>
  </si>
  <si>
    <t>Allied Moulded AM864W Non Metallic Polyester Window Enclosure</t>
  </si>
  <si>
    <t>Allied-Moulded-AM864W.jpg</t>
  </si>
  <si>
    <t>Allied Moulded AM864HW ULTRAGUARD Fiberglass reinforced polyester Type 4x Small Window Junction Box</t>
  </si>
  <si>
    <t>Allied Moulded AM864HW</t>
  </si>
  <si>
    <t>AM864HW</t>
  </si>
  <si>
    <t>Allied Moulded PF86,Allied Moulded PL86,Allied Moulded PLA86,Allied Moulded AMP864CCH,Allied Moulded AMU864HW,Allied Moulded AMPOLEMNT6,Allied Moulded AM864RH,Allied Moulded PG86,Allied Moulded AMHS075</t>
  </si>
  <si>
    <t>Allied Moulded AM864HW ULTRAGUARD Fiberglass reinforced polyester Type 4x Window Junction Box Enclosure 8" x 6" x 4" (HXWXD) Inside Dimension. Bonded clear polycarbonate cover with hinged 2 screw cover. 316 Stainless Steel hinge, external hardware and plated carbon steel internal hardware.</t>
  </si>
  <si>
    <t>Allied Moulded AM864HW ULTRAGUARD Fiberglass reinforced polyester Type 4x Window Junction Box Enclosure 8" x 6" x 4" (HXWXD). Bonded clear polycarbonate cover with hinged 2 screw cover. 316 Stainless Steel hinge, external hardware and plated carbon steel internal hardware.</t>
  </si>
  <si>
    <t>Allied Moulded AM864HW Non Metallic Polyester Window Enclosure</t>
  </si>
  <si>
    <t>Allied-Moulded-AM864HW.jpg</t>
  </si>
  <si>
    <t>Allied Moulded AM864LW ULTRAGUARD Fiberglass reinforced polyester Type 4x Small Window Junction Box</t>
  </si>
  <si>
    <t>Allied Moulded AM864LW</t>
  </si>
  <si>
    <t>AM864LW</t>
  </si>
  <si>
    <t>Allied Moulded PL86,Allied Moulded PF86,Allied Moulded PG86,Allied Moulded AMP864CCL,Allied Moulded AM864RL,Allied Moulded AMHS075,Allied Moulded PLA86,Allied Moulded AMPOLEMNT6,Allied Moulded AMU864LW</t>
  </si>
  <si>
    <t>Allied Moulded AM864LW ULTRAGUARD Fiberglass reinforced polyester Type 4x Window Junction Box Enclosure 8" x 6" x 4" (HXWXD) Inside Dimension. Bonded clear polycarbonate cover hinged with lockable clamp latch. 316 Stainless Steel hinge, latch, external hardware and plated carbon steel internal hardware.</t>
  </si>
  <si>
    <t>Allied Moulded AM864LW ULTRAGUARD Fiberglass reinforced polyester Type 4x Window Junction Box Enclosure 8" x 6" x 4" (HXWXD). Bonded clear polycarbonate cover hinged with lockable clamp latch. 316 Stainless Steel hinge, latch, external hardware and plated carbon steel internal hardware.</t>
  </si>
  <si>
    <t>Allied Moulded AM864LW Non Metallic Polyester Window Enclosure</t>
  </si>
  <si>
    <t>Allied-Moulded-AM864LW.jpg</t>
  </si>
  <si>
    <t>Allied Moulded AM864TW ULTRAGUARD Fiberglass reinforced polyester Type 4x Small Window Junction Box</t>
  </si>
  <si>
    <t>Allied Moulded AM864TW</t>
  </si>
  <si>
    <t>AM864TW</t>
  </si>
  <si>
    <t>Allied Moulded PLA86,Allied Moulded AM864RTW,Allied Moulded AMP864CCL,Allied Moulded AMPOLEMNT6,Allied Moulded PL86,Allied Moulded PG86,Allied Moulded PF86,Allied Moulded AMU864TW,Allied Moulded AMHS075</t>
  </si>
  <si>
    <t>Allied Moulded AM864TW ULTRAGUARD Fiberglass reinforced polyester Type 4x Window Junction Box Enclosure 8" x 6" x 4" (HXWXD) Inside Dimension. Bonded clear polycarbonate cover hinged with lockable twist latch. 316 Stainless Steel hinge, latch, external hardware and plated carbon steel internal hardware.</t>
  </si>
  <si>
    <t>Allied Moulded AM864TW ULTRAGUARD Fiberglass reinforced polyester Type 4x Window Junction Box Enclosure 8" x 6" x 4" (HXWXD). Bonded clear polycarbonate cover hinged with lockable twist latch. 316 Stainless Steel hinge, latch, external hardware and plated carbon steel internal hardware.</t>
  </si>
  <si>
    <t>Allied Moulded AM864TW Non Metallic Polyester Window Enclosure</t>
  </si>
  <si>
    <t>Allied-Moulded-AM864TW.jpg</t>
  </si>
  <si>
    <t>Allied Moulded AMU864 Enclosure 8" x 6" x 4"</t>
  </si>
  <si>
    <t>Allied Moulded AMU864</t>
  </si>
  <si>
    <t>AMU864</t>
  </si>
  <si>
    <t>Allied Moulded AMU864L,Allied Moulded PLA86,Allied Moulded AM864,Allied Moulded HFPU86,Allied Moulded PG86,Allied Moulded PF86,Allied Moulded AMHS075,Allied Moulded AMU864CC,Allied Moulded PL86,Allied Moulded AMP864</t>
  </si>
  <si>
    <t>Allied Moulded AMU864 ULTRALINE AMU Series JIC Size Fiberglass Enclosure 8" x 6" x 4" (HxWxD) Approx. Inside Dimensions Lift-Off Screw Cover.</t>
  </si>
  <si>
    <t>Allied-Moulded-AMU864.jpg</t>
  </si>
  <si>
    <t>Allied Moulded AMU864F Enclosure 8" x 6" x 4"</t>
  </si>
  <si>
    <t>Allied Moulded AMU864F</t>
  </si>
  <si>
    <t>AMU864F</t>
  </si>
  <si>
    <t>Allied Moulded AMU864CCF,Allied Moulded AMPOLEMNT6,Allied Moulded AMP864F,Allied Moulded AMHS075,Allied Moulded PF86,Allied Moulded PL86,Allied Moulded PLA86,Allied Moulded HFPU86,Allied Moulded PG86,Allied Moulded AM864,Allied Moulded AMU864TF</t>
  </si>
  <si>
    <t>Allied Moulded AMU864F ULTRALINE AMU Series JIC Size Fiberglass Enclosure 8" x 6" x 4" (HxWxD) Approx. Inside Dimensions Lift-Off Screw Cover.</t>
  </si>
  <si>
    <t>Allied-Moulded-AMU864F.jpg</t>
  </si>
  <si>
    <t>Allied Moulded AMU864H Enclosure 8" x 6" x 4"</t>
  </si>
  <si>
    <t>Allied Moulded AMU864H</t>
  </si>
  <si>
    <t>AMU864H</t>
  </si>
  <si>
    <t>Allied Moulded AM864H,Allied Moulded PG86,Allied Moulded AMU864L,Allied Moulded AMP864H,Allied Moulded AMU864CCH,Allied Moulded PF86,Allied Moulded HFPU86,Allied Moulded PL86,Allied Moulded PLA86,Allied Moulded AMHS075</t>
  </si>
  <si>
    <t>Allied Moulded AMU864H ULTRALINE AMU Series JIC Size Fiberglass Enclosure 8" x 6" x 4" (HxWxD) Approx. Inside Dimensions Hinged Screw Cover.</t>
  </si>
  <si>
    <t>Allied-Moulded-AMU864H.jpg</t>
  </si>
  <si>
    <t>Allied Moulded AMU864HF Enclosure 8" x 6" x 4"</t>
  </si>
  <si>
    <t>Allied Moulded AMU864HF</t>
  </si>
  <si>
    <t>AMU864HF</t>
  </si>
  <si>
    <t>Allied Moulded AMHS075,Allied Moulded PG86,Allied Moulded AM864H,Allied Moulded AMU864TF,Allied Moulded PF86,Allied Moulded HFPU86,Allied Moulded PLA86,Allied Moulded AMPOLEMNT6,Allied Moulded AMU864CCHF,Allied Moulded PL86,Allied Moulded AMP864HF</t>
  </si>
  <si>
    <t>Allied Moulded AMU864HF ULTRALINE AMU Series JIC Size Fiberglass Enclosure 8" x 6" x 4" (HxWxD) Approx. Inside Dimensions Hinged Screw Cover.</t>
  </si>
  <si>
    <t>Allied-Moulded-AMU864HF.jpg</t>
  </si>
  <si>
    <t>Allied Moulded AMU864L Enclosure 8" x 6" x 4"</t>
  </si>
  <si>
    <t>Allied Moulded AMU864L</t>
  </si>
  <si>
    <t>AMU864L</t>
  </si>
  <si>
    <t>Allied Moulded AMHS075,Allied Moulded HFPU86,Allied Moulded AM864L,Allied Moulded PG86,Allied Moulded PL86,Allied Moulded PLA86,Allied Moulded AMU864CCL,Allied Moulded AMP864L,Allied Moulded AMU864T,Allied Moulded PF86</t>
  </si>
  <si>
    <t>Allied Moulded AMU864L ULTRALINE AMU Series JIC Size Fiberglass Enclosure 8" x 6" x 4" (HxWxD) Approx. Inside Dimensions Metal Snap Latch Hinged Cover.</t>
  </si>
  <si>
    <t>Allied-Moulded-AMU864L.jpg</t>
  </si>
  <si>
    <t>Allied Moulded AMU864LF Enclosure 8" x 6" x 4"</t>
  </si>
  <si>
    <t>Allied Moulded AMU864LF</t>
  </si>
  <si>
    <t>AMU864LF</t>
  </si>
  <si>
    <t>Allied Moulded AM864L,Allied Moulded AMPOLEMNT6,Allied Moulded PF86,Allied Moulded AMU864CCLF,Allied Moulded AMHS075,Allied Moulded PLA86,Allied Moulded HFPU86,Allied Moulded PG86,Allied Moulded AMU864TF,Allied Moulded PL86,Allied Moulded AMP864LF</t>
  </si>
  <si>
    <t>Allied Moulded AMU864LF ULTRALINE AMU Series JIC Size Fiberglass Enclosure 8" x 6" x 4" (HxWxD) Approx. Inside Dimensions Metal Snap Latch Hinged Cover.</t>
  </si>
  <si>
    <t>Allied-Moulded-AMU864LF.jpg</t>
  </si>
  <si>
    <t>Allied Moulded AMU864NL Enclosure 8" x 6" x 4"</t>
  </si>
  <si>
    <t>Allied Moulded AMU864NL</t>
  </si>
  <si>
    <t>AMU864NL</t>
  </si>
  <si>
    <t>Allied Moulded AMP864L,Allied Moulded PF86,Allied Moulded AMU864T,Allied Moulded PL86,Allied Moulded AM864L,Allied Moulded PG86,Allied Moulded AMHS075,Allied Moulded AMU864CCL,Allied Moulded PLA86,Allied Moulded HFPU86</t>
  </si>
  <si>
    <t>Allied Moulded AMU864NL ULTRALINE AMU Series JIC Size Fiberglass Enclosure 8" x 6" x 4" (HxWxD) Approx. Inside Dimensions Nonmetallic Snap Latch Hinged Cover.</t>
  </si>
  <si>
    <t>Allied-Moulded-AMU864NL.jpg</t>
  </si>
  <si>
    <t>Allied Moulded AMU864NLF Enclosure 8" x 6" x 4"</t>
  </si>
  <si>
    <t>Allied Moulded AMU864NLF</t>
  </si>
  <si>
    <t>AMU864NLF</t>
  </si>
  <si>
    <t>Allied Moulded AMPOLEMNT6,Allied Moulded PG86,Allied Moulded AM864L,Allied Moulded PLA86,Allied Moulded AMHS075,Allied Moulded HFPU86,Allied Moulded PL86,Allied Moulded PF86,Allied Moulded AMU864TF,Allied Moulded AMU864CCLF,Allied Moulded AMP864LF</t>
  </si>
  <si>
    <t>Allied Moulded AMU864NLF ULTRALINE AMU Series JIC Size Fiberglass Enclosure 8" x 6" x 4" (HxWxD) Approx. Inside Dimensions Nonmetallic Snap Latch Hinged Cover.</t>
  </si>
  <si>
    <t>Allied-Moulded-AMU864NLF.jpg</t>
  </si>
  <si>
    <t>Allied Moulded AMU864T Enclosure 8" x 6" x 4"</t>
  </si>
  <si>
    <t>Allied Moulded AMU864T</t>
  </si>
  <si>
    <t>AMU864T</t>
  </si>
  <si>
    <t>Allied Moulded PG86,Allied Moulded AMP864L,Allied Moulded AMU864CCT,Allied Moulded PLA86,Allied Moulded AMU864L,Allied Moulded AMHS075,Allied Moulded PF86,Allied Moulded PL86,Allied Moulded HFPU86,Allied Moulded AM864T</t>
  </si>
  <si>
    <t>Allied Moulded AMU864T ULTRALINE AMU Series JIC Size Fiberglass Enclosure 8" x 6" x 4" (HxWxD) Approx. Inside Dimensions Lockable Twist Latch Hinged Cover.</t>
  </si>
  <si>
    <t>Allied-Moulded-AMU864T.jpg</t>
  </si>
  <si>
    <t>Allied Moulded AMU864TF Enclosure 8" x 6" x 4"</t>
  </si>
  <si>
    <t>Allied Moulded AMU864TF</t>
  </si>
  <si>
    <t>AMU864TF</t>
  </si>
  <si>
    <t>Allied Moulded HFPU86,Allied Moulded PL86,Allied Moulded PG86,Allied Moulded PF86,Allied Moulded PLA86,Allied Moulded AM864T,Allied Moulded AMU864LF,Allied Moulded AMHS075,Allied Moulded AMP864LF,Allied Moulded AMU864CCTF,Allied Moulded AMPOLEMNT6</t>
  </si>
  <si>
    <t>Allied Moulded AMU864TF ULTRALINE AMU Series JIC Size Fiberglass Enclosure 8" x 6" x 4" (HxWxD) Approx. Inside Dimensions Lockable Twist Latch Hinged Cover.</t>
  </si>
  <si>
    <t>Allied-Moulded-AMU864TF.jpg</t>
  </si>
  <si>
    <t>Allied Moulded AMU864W Enclosure 8" x 6" x 4"</t>
  </si>
  <si>
    <t>Allied Moulded AMU864W</t>
  </si>
  <si>
    <t>AMU864W</t>
  </si>
  <si>
    <t>Allied Moulded AMP864CC,Allied Moulded PL86,Allied Moulded AMU864CC,Allied Moulded PF86,Allied Moulded AMU864LW,Allied Moulded AMHS075,Allied Moulded AM864W,Allied Moulded PLA86,Allied Moulded PG86,Allied Moulded HFPU86</t>
  </si>
  <si>
    <t>Allied Moulded AMU864W ULTRALINE AMU Series JIC Size Fiberglass Enclosure 8" x 6" x 4" (HxWxD) Approx. Inside Dimensions Lift-Off Screw Cover.</t>
  </si>
  <si>
    <t>Allied-Moulded-AMU864W.jpg</t>
  </si>
  <si>
    <t>Allied Moulded AMU864WF Enclosure 8" x 6" x 4"</t>
  </si>
  <si>
    <t>Allied Moulded AMU864WF</t>
  </si>
  <si>
    <t>AMU864WF</t>
  </si>
  <si>
    <t>Allied Moulded AMP864CCF,Allied Moulded PL86,Allied Moulded HFPU86,Allied Moulded AMU864CCF,Allied Moulded AMHS075,Allied Moulded AMPOLEMNT6,Allied Moulded PF86,Allied Moulded PLA86,Allied Moulded AM864W,Allied Moulded AMU864TWF,Allied Moulded PG86</t>
  </si>
  <si>
    <t>Allied Moulded AMU864WF ULTRALINE AMU Series JIC Size Fiberglass Enclosure 8" x 6" x 4" (HxWxD) Approx. Inside Dimensions Lift-Off Screw Cover.</t>
  </si>
  <si>
    <t>Allied-Moulded-AMU864WF.jpg</t>
  </si>
  <si>
    <t>Allied Moulded AMU864HW Enclosure 8" x 6" x 4"</t>
  </si>
  <si>
    <t>Allied Moulded AMU864HW</t>
  </si>
  <si>
    <t>AMU864HW</t>
  </si>
  <si>
    <t>Allied Moulded PLA86,Allied Moulded HFPU86,Allied Moulded AMU864CCH,Allied Moulded AMP864CCH,Allied Moulded PF86,Allied Moulded PG86,Allied Moulded PL86,Allied Moulded AMU864LW,Allied Moulded AM864H,Allied Moulded AMHS075</t>
  </si>
  <si>
    <t>Allied Moulded AMU864HW ULTRALINE AMU Series JIC Size Fiberglass Enclosure 8" x 6" x 4" (HxWxD) Approx. Inside Dimensions Hinged Screw Cover.</t>
  </si>
  <si>
    <t>Allied-Moulded-AMU864HW.jpg</t>
  </si>
  <si>
    <t>Allied Moulded AMU864HWF Enclosure 8" x 6" x 4"</t>
  </si>
  <si>
    <t>Allied Moulded AMU864HWF</t>
  </si>
  <si>
    <t>AMU864HWF</t>
  </si>
  <si>
    <t>Allied Moulded AMHS075,Allied Moulded HFPU86,Allied Moulded AM864HW,Allied Moulded AMPOLEMNT6,Allied Moulded PF86,Allied Moulded PL86,Allied Moulded AMU864TWF,Allied Moulded AMU864CCHF,Allied Moulded PG86,Allied Moulded AMP864CCHF,Allied Moulded PLA86</t>
  </si>
  <si>
    <t>Allied Moulded AMU864HWF ULTRALINE AMU Series JIC Size Fiberglass Enclosure 8" x 6" x 4" (HxWxD) Approx. Inside Dimensions Hinged Screw Cover.</t>
  </si>
  <si>
    <t>Allied-Moulded-AMU864HWF.jpg</t>
  </si>
  <si>
    <t>Allied Moulded AMU864LW Enclosure 8" x 6" x 4"</t>
  </si>
  <si>
    <t>Allied Moulded AMU864LW</t>
  </si>
  <si>
    <t>AMU864LW</t>
  </si>
  <si>
    <t>Allied Moulded AMU864TW,Allied Moulded AMP864CCL,Allied Moulded PG86,Allied Moulded PF86,Allied Moulded PL86,Allied Moulded AM864LW,Allied Moulded HFPU86,Allied Moulded PLA86,Allied Moulded AMHS075,Allied Moulded AMU864CCL</t>
  </si>
  <si>
    <t>Allied Moulded AMU864LW ULTRALINE AMU Series JIC Size Fiberglass Enclosure 8" x 6" x 4" (HxWxD) Approx. Inside Dimensions Metal Snap Latch Hinged Cover.</t>
  </si>
  <si>
    <t>Allied-Moulded-AMU864LW.jpg</t>
  </si>
  <si>
    <t>Allied Moulded AMU864LWF Enclosure 8" x 6" x 4"</t>
  </si>
  <si>
    <t>Allied Moulded AMU864LWF</t>
  </si>
  <si>
    <t>AMU864LWF</t>
  </si>
  <si>
    <t>Allied Moulded AMPOLEMNT6,Allied Moulded AMHS075,Allied Moulded AMU864TWF,Allied Moulded PG86,Allied Moulded AM864LW,Allied Moulded PLA86,Allied Moulded HFPU86,Allied Moulded PF86,Allied Moulded AMP864CCLF,Allied Moulded AMU864CCLF,Allied Moulded PL86</t>
  </si>
  <si>
    <t>Allied Moulded AMU864LWF ULTRALINE AMU Series JIC Size Fiberglass Enclosure 8" x 6" x 4" (HxWxD) Approx. Inside Dimensions Metal Snap Latch Hinged Cover.</t>
  </si>
  <si>
    <t>Allied-Moulded-AMU864LWF.jpg</t>
  </si>
  <si>
    <t>Allied Moulded AMU864NLW Enclosure 8" x 6" x 4"</t>
  </si>
  <si>
    <t>Allied Moulded AMU864NLW</t>
  </si>
  <si>
    <t>AMU864NLW</t>
  </si>
  <si>
    <t>Allied Moulded PLA86,Allied Moulded PF86,Allied Moulded AM864LW,Allied Moulded AMHS075,Allied Moulded AMU864CCL,Allied Moulded HFPU86,Allied Moulded PG86,Allied Moulded PL86,Allied Moulded AMP864CCL,Allied Moulded AMU864TW</t>
  </si>
  <si>
    <t>Allied Moulded AMU864NLW ULTRALINE AMU Series JIC Size Fiberglass Enclosure with Windows 8" x 6" x 4" (HxWxD) Approx. Inside Dimensions Nonmetallic Snap Latch Hinged Cover.</t>
  </si>
  <si>
    <t>Allied-Moulded-AMU864NLW.jpg</t>
  </si>
  <si>
    <t>Allied Moulded AMU864NLWF Enclosure 8" x 6" x 4"</t>
  </si>
  <si>
    <t>Allied Moulded AMU864NLWF</t>
  </si>
  <si>
    <t>AMU864NLWF</t>
  </si>
  <si>
    <t>Allied Moulded PLA86,Allied Moulded AMHS075,Allied Moulded PL86,Allied Moulded AMU864CCLF,Allied Moulded AM864LW,Allied Moulded AMPOLEMNT6,Allied Moulded PG86,Allied Moulded PF86,Allied Moulded HFPU86,Allied Moulded AMU864TWF,Allied Moulded AMP864CCLF</t>
  </si>
  <si>
    <t>Allied Moulded AMU864NLWF ULTRALINE AMU Series JIC Size Fiberglass Enclosure with Windows 8" x 6" x 4" (HxWxD) Approx. Inside Dimensions Nonmetallic Snap Latch Hinged Cover.</t>
  </si>
  <si>
    <t>Allied-Moulded-AMU864NLWF.jpg</t>
  </si>
  <si>
    <t>Allied Moulded AMU864TW Enclosure 8" x 6" x 4"</t>
  </si>
  <si>
    <t>Allied Moulded AMU864TW</t>
  </si>
  <si>
    <t>AMU864TW</t>
  </si>
  <si>
    <t>Allied Moulded AMU864CCT,Allied Moulded AMU864LW,Allied Moulded PG86,Allied Moulded PLA86,Allied Moulded PL86,Allied Moulded AMP864CCL,Allied Moulded HFPU86,Allied Moulded PF86,Allied Moulded AM864TW,Allied Moulded AMHS075</t>
  </si>
  <si>
    <t>Allied Moulded AMU864TW ULTRALINE AMU Series JIC Size Fiberglass Enclosure with Windows 8" x 6" x 4" (HxWxD) Approx. Inside Dimensions Lockable Twist Latch Hinged Cover.</t>
  </si>
  <si>
    <t>Allied-Moulded-AMU864TW.jpg</t>
  </si>
  <si>
    <t>Allied Moulded AMU864TWF Enclosure 8" x 6" x 4"</t>
  </si>
  <si>
    <t>Allied Moulded AMU864TWF</t>
  </si>
  <si>
    <t>AMU864TWF</t>
  </si>
  <si>
    <t>Allied Moulded AMU864LWF,Allied Moulded PG86,Allied Moulded PL86,Allied Moulded AMU864CCTF,Allied Moulded AMPOLEMNT6,Allied Moulded PLA86,Allied Moulded HFPU86,Allied Moulded AMHS075,Allied Moulded PF86,Allied Moulded AM864TW,Allied Moulded AMP864CCLF</t>
  </si>
  <si>
    <t>Allied Moulded AMU864TWF ULTRALINE AMU Series JIC Size Fiberglass Enclosure with Windows 8" x 6" x 4" (HxWxD) Approx. Inside Dimensions Lockable Twist Latch Hinged Cover.</t>
  </si>
  <si>
    <t>Allied-Moulded-AMU864TWF.jpg</t>
  </si>
  <si>
    <t>Allied Moulded AMU864CC Enclosure 8" x 6" x 4"</t>
  </si>
  <si>
    <t>Allied Moulded AMU864CC</t>
  </si>
  <si>
    <t>AMU864CC</t>
  </si>
  <si>
    <t>Allied Moulded AMU864,Allied Moulded AMU864CCT,Allied Moulded PL86,Allied Moulded PLA86,Allied Moulded AM864W,Allied Moulded AMP864CC,Allied Moulded HFPU86,Allied Moulded AMHS075,Allied Moulded PG86,Allied Moulded PF86</t>
  </si>
  <si>
    <t>Allied Moulded AMU864CC ULTRALINE AMU Series JIC Size Fiberglass Enclosure with Clear Covers 8" x 6" x 4" (HxWxD) Approx. Inside Dimensions Lift-Off Screw Cover.</t>
  </si>
  <si>
    <t>Allied-Moulded-AMU864CC.jpg</t>
  </si>
  <si>
    <t>Allied Moulded AMU864CCF Enclosure 8" x 6" x 4"</t>
  </si>
  <si>
    <t>Allied Moulded AMU864CCF</t>
  </si>
  <si>
    <t>AMU864CCF</t>
  </si>
  <si>
    <t>Allied Moulded AMU864F,Allied Moulded AM864W,Allied Moulded AMP864CCF,Allied Moulded AMPOLEMNT6,Allied Moulded PG86,Allied Moulded HFPU86,Allied Moulded PLA86,Allied Moulded AMU864CCLF,Allied Moulded AMHS075,Allied Moulded PL86,Allied Moulded PF86</t>
  </si>
  <si>
    <t>Allied Moulded AMU864CCF ULTRALINE AMU Series JIC Size Fiberglass Enclosure with Clear Covers 8" x 6" x 4" (HxWxD) Approx. Inside Dimensions Lift-Off Screw Cover.</t>
  </si>
  <si>
    <t>Allied-Moulded-AMU864CCF.jpg</t>
  </si>
  <si>
    <t>Allied Moulded AMU864CCH Enclosure 8" x 6" x 4"</t>
  </si>
  <si>
    <t>Allied Moulded AMU864CCH</t>
  </si>
  <si>
    <t>AMU864CCH</t>
  </si>
  <si>
    <t>Allied Moulded PLA86,Allied Moulded AMU864CCT,Allied Moulded AMP864CCH,Allied Moulded PG86,Allied Moulded AMHS075,Allied Moulded PF86,Allied Moulded AMU864H,Allied Moulded PL86,Allied Moulded HFPU86,Allied Moulded AM864HW</t>
  </si>
  <si>
    <t>Allied Moulded AMU864CCH ULTRALINE AMU Series JIC Size Fiberglass Enclosure with Clear Covers 8" x 6" x 4" (HxWxD) Approx. Inside Dimensions Hinged Screw Cover.</t>
  </si>
  <si>
    <t>Allied-Moulded-AMU864CCH.jpg</t>
  </si>
  <si>
    <t>Allied Moulded AMU864CCHF Enclosure 8" x 6" x 4"</t>
  </si>
  <si>
    <t>Allied Moulded AMU864CCHF</t>
  </si>
  <si>
    <t>AMU864CCHF</t>
  </si>
  <si>
    <t>Allied Moulded AMPOLEMNT6,Allied Moulded PLA86,Allied Moulded AMU864HF,Allied Moulded PF86,Allied Moulded AMU864CCLF,Allied Moulded AMP864CCHF,Allied Moulded PL86,Allied Moulded AM864HW,Allied Moulded PG86,Allied Moulded HFPU86,Allied Moulded AMHS075</t>
  </si>
  <si>
    <t>Allied Moulded AMU864CCHF ULTRALINE AMU Series JIC Size Fiberglass Enclosure with Clear Covers 8" x 6" x 4" (HxWxD) Approx. Inside Dimensions Hinged Screw Cover.</t>
  </si>
  <si>
    <t>Allied-Moulded-AMU864CCHF.jpg</t>
  </si>
  <si>
    <t>Allied Moulded AMU864CCL Enclosure 8" x 6" x 4"</t>
  </si>
  <si>
    <t>Allied Moulded AMU864CCL</t>
  </si>
  <si>
    <t>AMU864CCL</t>
  </si>
  <si>
    <t>Allied Moulded PF86,Allied Moulded PLA86,Allied Moulded AMHS075,Allied Moulded AMP864CCL,Allied Moulded AMU864L,Allied Moulded AM864LW,Allied Moulded AMU864CCT,Allied Moulded PL86,Allied Moulded PG86,Allied Moulded HFPU86</t>
  </si>
  <si>
    <t>Allied Moulded AMU864CCL ULTRALINE AMU Series JIC Size Fiberglass Enclosure with Clear Covers 8" x 6" x 4" (HxWxD) Approx. Inside Dimensions Metal Snap Latch Hinged Cover.</t>
  </si>
  <si>
    <t>Allied-Moulded-AMU864CCL.jpg</t>
  </si>
  <si>
    <t>Allied Moulded AMU864CCLF Enclosure 8" x 6" x 4"</t>
  </si>
  <si>
    <t>Allied Moulded AMU864CCLF</t>
  </si>
  <si>
    <t>AMU864CCLF</t>
  </si>
  <si>
    <t>Allied Moulded HFPU86,Allied Moulded AMP864CCLF,Allied Moulded AMU864CCTF,Allied Moulded AMPOLEMNT6,Allied Moulded AM864L,Allied Moulded PG86,Allied Moulded AMHS075,Allied Moulded AMU864LF,Allied Moulded PLA86,Allied Moulded PF86,Allied Moulded PL86</t>
  </si>
  <si>
    <t>Allied Moulded AMU864CCLF ULTRALINE AMU Series JIC Size Fiberglass Enclosure with Clear Covers 8" x 6" x 4" (HxWxD) Approx. Inside Dimensions Metal Snap Latch Hinged Cover.</t>
  </si>
  <si>
    <t>Allied-Moulded-AMU864CCLF.jpg</t>
  </si>
  <si>
    <t>Allied Moulded AMU864CCNL Enclosure 8" x 6" x 4"</t>
  </si>
  <si>
    <t>Allied Moulded AMU864CCNL</t>
  </si>
  <si>
    <t>AMU864CCNL</t>
  </si>
  <si>
    <t>Allied Moulded AMP864CCL,Allied Moulded HFPU86,Allied Moulded PLA86,Allied Moulded AMU864CCT,Allied Moulded AMHS075,Allied Moulded PF86,Allied Moulded PG86,Allied Moulded AMU864L,Allied Moulded PL86,Allied Moulded AM864LW</t>
  </si>
  <si>
    <t>Allied Moulded AMU864CCNL ULTRALINE AMU Series JIC Size Fiberglass Enclosure with Clear Covers 8" x 6" x 4" (HxWxD) Approx. Inside Dimensions Nonmetallic Snap Latch Hinged Cover.</t>
  </si>
  <si>
    <t>Allied-Moulded-AMU864CCNL.jpg</t>
  </si>
  <si>
    <t>Allied Moulded AMU864CCNLF Enclosure 8" x 6" x 4"</t>
  </si>
  <si>
    <t>Allied Moulded AMU864CCNLF</t>
  </si>
  <si>
    <t>AMU864CCNLF</t>
  </si>
  <si>
    <t>Allied Moulded PL86,Allied Moulded HFPU86,Allied Moulded PG86,Allied Moulded AMPOLEMNT6,Allied Moulded AMP864CCLF,Allied Moulded AMU864LF,Allied Moulded PLA86,Allied Moulded PF86,Allied Moulded AM864L,Allied Moulded AMHS075,Allied Moulded AMU864CCTF</t>
  </si>
  <si>
    <t>Allied Moulded AMU864CCNLF ULTRALINE AMU Series JIC Size Fiberglass Enclosure with Clear Covers 8" x 6" x 4" (HxWxD) Approx. Inside Dimensions Nonmetallic Snap Latch Hinged Cover.</t>
  </si>
  <si>
    <t>Allied-Moulded-AMU864CCNLF.jpg</t>
  </si>
  <si>
    <t>Allied Moulded AMU864CCT Enclosure 8" x 6" x 4"</t>
  </si>
  <si>
    <t>Allied Moulded AMU864CCT</t>
  </si>
  <si>
    <t>AMU864CCT</t>
  </si>
  <si>
    <t>Allied Moulded AMHS075,Allied Moulded HFPU86,Allied Moulded PF86,Allied Moulded AMP864CCL,Allied Moulded PLA86,Allied Moulded AM864T,Allied Moulded AMU864CCH,Allied Moulded AMU864T,Allied Moulded PG86,Allied Moulded PL86</t>
  </si>
  <si>
    <t>Allied Moulded AMU864CCT ULTRALINE AMU Series JIC Size Fiberglass Enclosure with Clear Covers 8" x 6" x 4" (HxWxD) Approx. Inside Dimensions Lockable Twist Latch Hinged Cover.</t>
  </si>
  <si>
    <t>Allied-Moulded-AMU864CCT.jpg</t>
  </si>
  <si>
    <t>Allied Moulded AMU864CCTF Enclosure 8" x 6" x 4"</t>
  </si>
  <si>
    <t>Allied Moulded AMU864CCTF</t>
  </si>
  <si>
    <t>AMU864CCTF</t>
  </si>
  <si>
    <t>Allied Moulded AMPOLEMNT6,Allied Moulded PL86,Allied Moulded HFPU86,Allied Moulded PG86,Allied Moulded AMU864TF,Allied Moulded AMP864CCLF,Allied Moulded AMHS075,Allied Moulded PLA86,Allied Moulded AMU864CCLF,Allied Moulded PF86,Allied Moulded AM864T</t>
  </si>
  <si>
    <t>Allied Moulded AMU864CCTF ULTRALINE AMU Series JIC Size Fiberglass Enclosure with Clear Covers 8" x 6" x 4" (HxWxD) Approx. Inside Dimensions Lockable Twist Latch Hinged Cover.</t>
  </si>
  <si>
    <t>Allied-Moulded-AMU864CCTF.jpg</t>
  </si>
  <si>
    <t>Allied Moulded AMP884CCNL Enclosure 8" x 6" x 4"</t>
  </si>
  <si>
    <t>Allied Moulded AMP884CCNL</t>
  </si>
  <si>
    <t>AMP884CCNL</t>
  </si>
  <si>
    <t>Allied Moulded AMP884CCNLF,Allied Moulded PL88,Allied Moulded HFPP88,Allied Moulded AMP884H,Allied Moulded PLPVC88,Allied Moulded PLA88,Allied Moulded AMP884NL,Allied Moulded AMHS075</t>
  </si>
  <si>
    <t>Allied Moulded AMP884CCNL POLYLINE AMP Series JIC Size Polycarbonate Enclosure with Clear Covers 8" x 6" x 4" (HxWxD) Approx. Inside Dimensions Nonmetallic Snap Latch Hinged Cover.</t>
  </si>
  <si>
    <t>Allied-Moulded-AMP884CCNL.jpg</t>
  </si>
  <si>
    <t>Allied Moulded AMP864CC Enclosure 8" x 6" x 4"</t>
  </si>
  <si>
    <t>Allied Moulded AMP864CC</t>
  </si>
  <si>
    <t>AMP864CC</t>
  </si>
  <si>
    <t>Allied Moulded AMP864,Allied Moulded AMP864CCNL,Allied Moulded PLPVC86,Allied Moulded PL86,Allied Moulded AMU864CC,Allied Moulded AMHS075,Allied Moulded AM864W,Allied Moulded PLA86,Allied Moulded HFPP86</t>
  </si>
  <si>
    <t>Allied Moulded AMP864CC POLYLINE AMP Series JIC Size Polycarbonate Enclosure with Clear Covers 8" x 6" x 4" (HxWxD) Approx. Inside Dimensions Lift-Off Screw Cover.</t>
  </si>
  <si>
    <t>Allied-Moulded-AMP864CC.jpg</t>
  </si>
  <si>
    <t>Allied Moulded AMP864CCF Enclosure 8" x 6" x 4"</t>
  </si>
  <si>
    <t>Allied Moulded AMP864CCF</t>
  </si>
  <si>
    <t>AMP864CCF</t>
  </si>
  <si>
    <t>Allied Moulded AM864W,Allied Moulded PLA86,Allied Moulded AMP864F,Allied Moulded PLPVC86,Allied Moulded AMHS075,Allied Moulded AMPOLEMNT6,Allied Moulded AMU864CCF,Allied Moulded HFPP86,Allied Moulded PL86,Allied Moulded AMP864CCLF</t>
  </si>
  <si>
    <t>Allied Moulded AMP864CCF POLYLINE AMP Series JIC Size Polycarbonate Enclosure with Clear Covers 8" x 6" x 4" (HxWxD) Approx. Inside Dimensions Lift-Off Screw Cover.</t>
  </si>
  <si>
    <t>Allied-Moulded-AMP864CCF.jpg</t>
  </si>
  <si>
    <t>Allied Moulded AMP864CCH Enclosure 8" x 6" x 4"</t>
  </si>
  <si>
    <t>Allied Moulded AMP864CCH</t>
  </si>
  <si>
    <t>AMP864CCH</t>
  </si>
  <si>
    <t>Allied Moulded AMHS075,Allied Moulded AMP864CCNL,Allied Moulded AMU864CCH,Allied Moulded AM864HW,Allied Moulded AMP864H,Allied Moulded PLPVC86,Allied Moulded HFPP86,Allied Moulded PLA86,Allied Moulded PL86</t>
  </si>
  <si>
    <t>Allied Moulded AMP864CCH POLYLINE AMP Series JIC Size Polycarbonate Enclosure with Clear Covers 8" x 6" x 4" (HxWxD) Approx. Inside Dimensions Hinged Screw Cover.</t>
  </si>
  <si>
    <t>Allied-Moulded-AMP864CCH.jpg</t>
  </si>
  <si>
    <t>Allied Moulded AMP864CCHF Enclosure 8" x 6" x 4"</t>
  </si>
  <si>
    <t>Allied Moulded AMP864CCHF</t>
  </si>
  <si>
    <t>AMP864CCHF</t>
  </si>
  <si>
    <t>Allied Moulded HFPP86,Allied Moulded PLPVC86,Allied Moulded PL86,Allied Moulded AMPOLEMNT6,Allied Moulded AMU864CCHF,Allied Moulded AM864H,Allied Moulded AMP864CCLF,Allied Moulded AMP864HF,Allied Moulded PLA86,Allied Moulded AMHS075</t>
  </si>
  <si>
    <t>Allied Moulded AMP864CCHF POLYLINE AMP Series JIC Size Polycarbonate Enclosure with Clear Covers 8" x 6" x 4" (HxWxD) Approx. Inside Dimensions Hinged Screw Cover.</t>
  </si>
  <si>
    <t>Allied-Moulded-AMP864CCHF.jpg</t>
  </si>
  <si>
    <t>Allied Moulded AMP864CCL Enclosure 8" x 6" x 4"</t>
  </si>
  <si>
    <t>Allied Moulded AMP864CCL</t>
  </si>
  <si>
    <t>AMP864CCL</t>
  </si>
  <si>
    <t>Allied Moulded HFPP86,Allied Moulded PL86,Allied Moulded PLA86,Allied Moulded AM864LW,Allied Moulded AMU864CCL,Allied Moulded AMHS075,Allied Moulded PLPVC86,Allied Moulded AM864L,Allied Moulded AMP864CCNL</t>
  </si>
  <si>
    <t>Allied Moulded AMP864CCL POLYLINE AMP Series JIC Size Polycarbonate Enclosure with Clear Covers 8" x 6" x 4" (HxWxD) Approx. Inside Dimensions Stainless Steel Lockable Snap Latch Hinged Cover.</t>
  </si>
  <si>
    <t>Allied-Moulded-AMP864CCL.jpg</t>
  </si>
  <si>
    <t>Allied Moulded AMP864CCLF Enclosure 8" x 6" x 4"</t>
  </si>
  <si>
    <t>Allied Moulded AMP864CCLF</t>
  </si>
  <si>
    <t>AMP864CCLF</t>
  </si>
  <si>
    <t>Allied Moulded PL86,Allied Moulded PLPVC86,Allied Moulded AM864LW,Allied Moulded AMHS075,Allied Moulded PLA86,Allied Moulded AMPOLEMNT6,Allied Moulded AMP864CCNLF,Allied Moulded AMU864LF,Allied Moulded AMP864LF,Allied Moulded HFPP86</t>
  </si>
  <si>
    <t>Allied Moulded AMP864CCLF POLYLINE AMP Series JIC Size Polycarbonate Enclosure with Clear Covers 8" x 6" x 4" (HxWxD) Approx. Inside Dimensions Stainless Steel Lockable Snap Latch Hinged Cover.</t>
  </si>
  <si>
    <t>Allied-Moulded-AMP864CCLF.jpg</t>
  </si>
  <si>
    <t>Allied Moulded AMP864CCNLF Enclosure 8" x 6" x 4"</t>
  </si>
  <si>
    <t>Allied Moulded AMP864CCNLF</t>
  </si>
  <si>
    <t>AMP864CCNLF</t>
  </si>
  <si>
    <t>Allied Moulded AMHS075,Allied Moulded AMU864CCLF,Allied Moulded AMP864CCF,Allied Moulded PLA86,Allied Moulded AMP864NLF,Allied Moulded HFPP86,Allied Moulded PLPVC86,Allied Moulded AM864LW,Allied Moulded AMPOLEMNT6,Allied Moulded PL86</t>
  </si>
  <si>
    <t>Allied Moulded AMP864CCNLF POLYLINE AMP Series JIC Size Polycarbonate Enclosure with Clear Covers 8" x 6" x 4" (HxWxD) Approx. Inside Dimensions Nonmetallic Snap Latch Hinged Cover.</t>
  </si>
  <si>
    <t>Allied-Moulded-AMP864CCNLF.jpg</t>
  </si>
  <si>
    <t>Allied Moulded AMP864 Enclosure 8" x 6" x 4"</t>
  </si>
  <si>
    <t>Allied Moulded AMP864</t>
  </si>
  <si>
    <t>AMP864</t>
  </si>
  <si>
    <t>Allied Moulded AMP864L,Allied Moulded AMU864,Allied Moulded AM864,Allied Moulded AMHS075,Allied Moulded AMP864CC,Allied Moulded PLPVC86,Allied Moulded PL86,Allied Moulded HFPP86,Allied Moulded PLA86</t>
  </si>
  <si>
    <t>Allied Moulded AMP864 POLYLINE AMP Series JIC Size Polycarbonate 8" x 6" x 4" (HxWxD) Approx. Inside Dimensions Lift-Off Screw Cover.</t>
  </si>
  <si>
    <t>Allied-Moulded-AMP864.jpg</t>
  </si>
  <si>
    <t>Allied Moulded AMP864F Enclosure 8" x 6" x 4"</t>
  </si>
  <si>
    <t>Allied Moulded AMP864F</t>
  </si>
  <si>
    <t>AMP864F</t>
  </si>
  <si>
    <t>Allied Moulded AMU864F,Allied Moulded AM864,Allied Moulded PLPVC86,Allied Moulded AMP864LF,Allied Moulded HFPP86,Allied Moulded AMPOLEMNT6,Allied Moulded AMP864CCF,Allied Moulded PLA86,Allied Moulded AMHS075,Allied Moulded PL86</t>
  </si>
  <si>
    <t>Allied Moulded AMP864F POLYLINE AMP Series JIC Size Polycarbonate 8" x 6" x 4" (HxWxD) Approx. Inside Dimensions Lift-Off Screw Cover.</t>
  </si>
  <si>
    <t>Allied-Moulded-AMP864F.jpg</t>
  </si>
  <si>
    <t>Allied Moulded AMP864H Enclosure 8" x 6" x 4"</t>
  </si>
  <si>
    <t>Allied Moulded AMP864H</t>
  </si>
  <si>
    <t>AMP864H</t>
  </si>
  <si>
    <t>Allied Moulded AMHS075,Allied Moulded HFPP86,Allied Moulded PLA86,Allied Moulded AM864H,Allied Moulded AMP864CCH,Allied Moulded AMU864H,Allied Moulded PL86,Allied Moulded PLPVC86,Allied Moulded AMP864L</t>
  </si>
  <si>
    <t>Allied Moulded AMP864H POLYLINE AMP Series JIC Size Polycarbonate 8" x 6" x 4" (HxWxD) Approx. Inside Dimensions Hinged Screw Cover.</t>
  </si>
  <si>
    <t>Allied-Moulded-AMP864H.jpg</t>
  </si>
  <si>
    <t>Allied Moulded AMP864HF Enclosure 8" x 6" x 4"</t>
  </si>
  <si>
    <t>Allied Moulded AMP864HF</t>
  </si>
  <si>
    <t>AMP864HF</t>
  </si>
  <si>
    <t>Allied Moulded PL86,Allied Moulded PLA86,Allied Moulded AM864H,Allied Moulded AMPOLEMNT6,Allied Moulded AMU864HF,Allied Moulded AMHS075,Allied Moulded PLPVC86,Allied Moulded AMP864NLF,Allied Moulded HFPP86,Allied Moulded AMP864CCHF</t>
  </si>
  <si>
    <t>Allied Moulded AMP864HF POLYLINE AMP Series JIC Size Polycarbonate 8" x 6" x 4" (HxWxD) Approx. Inside Dimensions Hinged Screw Cover.</t>
  </si>
  <si>
    <t>Allied-Moulded-AMP864HF.jpg</t>
  </si>
  <si>
    <t>Allied Moulded AMP864L Enclosure 8" x 6" x 4"</t>
  </si>
  <si>
    <t>Allied Moulded AMP864L</t>
  </si>
  <si>
    <t>AMP864L</t>
  </si>
  <si>
    <t>Allied Moulded PL86,Allied Moulded AMP864,Allied Moulded AM864L,Allied Moulded AMHS075,Allied Moulded HFPP86,Allied Moulded AMP864CCL,Allied Moulded PLPVC86,Allied Moulded AMU864L,Allied Moulded PLA86</t>
  </si>
  <si>
    <t>Allied Moulded AMP864L POLYLINE AMP Series JIC Size Polycarbonate 8" x 6" x 4" (HxWxD) Approx. Inside Dimensions Stainless Steel Lockable Snap Latch Hinged Cover.</t>
  </si>
  <si>
    <t>Allied-Moulded-AMP864L.jpg</t>
  </si>
  <si>
    <t>Allied Moulded AMP864LF Enclosure 8" x 6" x 4"</t>
  </si>
  <si>
    <t>Allied Moulded AMP864LF</t>
  </si>
  <si>
    <t>AMP864LF</t>
  </si>
  <si>
    <t>Allied Moulded AMHS075,Allied Moulded AMP864NLF,Allied Moulded AMP864CCLF,Allied Moulded AMPOLEMNT6,Allied Moulded PLPVC86,Allied Moulded AM864L,Allied Moulded PL86,Allied Moulded HFPP86,Allied Moulded PLA86,Allied Moulded AMU864LF</t>
  </si>
  <si>
    <t>Allied Moulded AMP864LF POLYLINE AMP Series JIC Size Polycarbonate 8" x 6" x 4" (HxWxD) Approx. Inside Dimensions Stainless Steel Lockable Snap Latch Hinged Cover.</t>
  </si>
  <si>
    <t>Allied-Moulded-AMP864LF.jpg</t>
  </si>
  <si>
    <t>Allied Moulded AMP864NL Enclosure 8" x 6" x 4"</t>
  </si>
  <si>
    <t>Allied Moulded AMP864NL</t>
  </si>
  <si>
    <t>AMP864NL</t>
  </si>
  <si>
    <t>Allied Moulded AMP864L,Allied Moulded PLPVC86,Allied Moulded PL86,Allied Moulded AMHS075,Allied Moulded AM864L,Allied Moulded AMU864L,Allied Moulded HFPP86,Allied Moulded PLA86,Allied Moulded AMP864CCNL</t>
  </si>
  <si>
    <t>Allied Moulded AMP864NL POLYLINE AMP Series JIC Size Polycarbonate 8" x 6" x 4" (HxWxD) Approx. Inside Dimensions Nonmetallic Snap Latch Hinged Cover.</t>
  </si>
  <si>
    <t>Allied-Moulded-AMP864NL.jpg</t>
  </si>
  <si>
    <t>Allied Moulded AMP864NLF Enclosure 8" x 6" x 4"</t>
  </si>
  <si>
    <t>Allied Moulded AMP864NLF</t>
  </si>
  <si>
    <t>AMP864NLF</t>
  </si>
  <si>
    <t>Allied Moulded PLA86,Allied Moulded AMP864CCNLF,Allied Moulded PLPVC86,Allied Moulded AMP864F,Allied Moulded AMHS075,Allied Moulded AM864L,Allied Moulded PL86,Allied Moulded AMU864LF,Allied Moulded AMPOLEMNT6,Allied Moulded HFPP86</t>
  </si>
  <si>
    <t>Allied Moulded AMP864NLF POLYLINE AMP Series JIC Size Polycarbonate 8" x 6" x 4" (HxWxD) Approx. Inside Dimensions Nonmetallic Snap Latch Hinged Cover.</t>
  </si>
  <si>
    <t>Allied-Moulded-AMP864NLF.jpg</t>
  </si>
  <si>
    <t>Allied Moulded AM1086RT Enclosure 10.00" x 8.00" x 7.75"</t>
  </si>
  <si>
    <t>Allied Moulded AM1086RT</t>
  </si>
  <si>
    <t>AM1086RT</t>
  </si>
  <si>
    <t>Allied Moulded AMHS075,Allied Moulded PL108,Allied Moulded PG108,Allied Moulded PF108,Allied Moulded AMP1084L,Allied Moulded AMU1084T,Allied Moulded AMPOLEMNT8,Allied Moulded PLA108,Allied Moulded HFP108,Allied Moulded AM1086RTW</t>
  </si>
  <si>
    <t>Allied Moulded AM1086RT AM-R Series JIC Size Fiberglass Enclosure 10.00" x 8.00" x 7.75" (HxWxD) Approx. Inside Dimensions Raised Stainless Steel Lockable Twist Latch Hinged Cover.</t>
  </si>
  <si>
    <t>Allied-Moulded-AM1086RT.jpg</t>
  </si>
  <si>
    <t>Allied Moulded AM1084RW Enclosure 10.00" x 8.00" x 5.75"</t>
  </si>
  <si>
    <t>Allied Moulded AM1084RW</t>
  </si>
  <si>
    <t>AM1084RW</t>
  </si>
  <si>
    <t>Allied Moulded AM1084R,Allied Moulded AMU1084W,Allied Moulded HFP108,Allied Moulded PF108,Allied Moulded AMHS075,Allied Moulded PG108,Allied Moulded PLA108,Allied Moulded PL108,Allied Moulded AMPOLEMNT8,Allied Moulded AMP1084CC</t>
  </si>
  <si>
    <t>Allied Moulded AM1084RW AM-R Series JIC Size Fiberglass Enclosure with Windows 10.00" x 8.00" x 5.75" (HxWxD) Approx. Inside Dimensions Raised Lift-Off Screw Cover.</t>
  </si>
  <si>
    <t>Allied-Moulded-AM1084RW.jpg</t>
  </si>
  <si>
    <t>Allied Moulded AM1086RW Enclosure 10.00" x 8.00" x 7.75"</t>
  </si>
  <si>
    <t>Allied Moulded AM1086RW</t>
  </si>
  <si>
    <t>AM1086RW</t>
  </si>
  <si>
    <t>Allied Moulded AMP1084CC,Allied Moulded PF108,Allied Moulded HFP108,Allied Moulded PG108,Allied Moulded AMU1084W,Allied Moulded AMHS075,Allied Moulded PLA108,Allied Moulded AMPOLEMNT8,Allied Moulded AM1086R,Allied Moulded PL108</t>
  </si>
  <si>
    <t>Allied Moulded AM1086RW AM-R Series JIC Size Fiberglass Enclosure with Windows 10.00" x 8.00" x 7.75" (HxWxD) Approx. Inside Dimensions Raised Lift-Off Screw Cover.</t>
  </si>
  <si>
    <t>Allied-Moulded-AM1086RW.jpg</t>
  </si>
  <si>
    <t>Allied Moulded AM1084RHW Enclosure 10.00" x 8.00" x 5.75"</t>
  </si>
  <si>
    <t>Allied Moulded AM1084RHW</t>
  </si>
  <si>
    <t>AM1084RHW</t>
  </si>
  <si>
    <t>Allied Moulded AMPOLEMNT8,Allied Moulded AMU1084HW,Allied Moulded AM1084RH,Allied Moulded PF108,Allied Moulded HFP108,Allied Moulded PLA108,Allied Moulded PG108,Allied Moulded PL108,Allied Moulded AMHS075,Allied Moulded AMP1084CCH</t>
  </si>
  <si>
    <t>Allied Moulded AM1084RHW AM-R Series JIC Size Fiberglass Enclosure with Windows 10.00" x 8.00" x 5.75" (HxWxD) Approx. Inside Dimensions Raised Hinged Screw Cover.</t>
  </si>
  <si>
    <t>Allied-Moulded-AM1084RHW.jpg</t>
  </si>
  <si>
    <t>Allied Moulded AM1086RHW Enclosure 10.00" x 8.00" x 7.75"</t>
  </si>
  <si>
    <t>Allied Moulded AM1086RHW</t>
  </si>
  <si>
    <t>AM1086RHW</t>
  </si>
  <si>
    <t>Allied Moulded PF108,Allied Moulded PL108,Allied Moulded AMP1084CCH,Allied Moulded PG108,Allied Moulded AMPOLEMNT8,Allied Moulded AM1086RH,Allied Moulded AMU1084HW,Allied Moulded PLA108,Allied Moulded HFP108,Allied Moulded AMHS075</t>
  </si>
  <si>
    <t>Allied Moulded AM1086RHW AM-R Series JIC Size Fiberglass Enclosure with Windows 10.00" x 8.00" x 7.75" (HxWxD) Approx. Inside Dimensions Raised Hinged Screw Cover.</t>
  </si>
  <si>
    <t>Allied-Moulded-AM1086RHW.jpg</t>
  </si>
  <si>
    <t>Allied Moulded AM1084RLW Enclosure 10.00" x 8.00" x 5.75"</t>
  </si>
  <si>
    <t>Allied Moulded AM1084RLW</t>
  </si>
  <si>
    <t>AM1084RLW</t>
  </si>
  <si>
    <t>Allied Moulded AMPOLEMNT8,Allied Moulded PF108,Allied Moulded AM1084RL,Allied Moulded AMU1084LW,Allied Moulded AMHS075,Allied Moulded PL108,Allied Moulded PLA108,Allied Moulded AMP1084CCL,Allied Moulded HFP108,Allied Moulded PG108</t>
  </si>
  <si>
    <t>Allied Moulded AM1084RLW AM-R Series JIC Size Fiberglass Enclosure with Windows 10.00" x 8.00" x 5.75" (HxWxD) Approx. Inside Dimensions Raised Stainless Steel Lockable Snap Latch Hinged Cover.</t>
  </si>
  <si>
    <t>Allied-Moulded-AM1084RLW.jpg</t>
  </si>
  <si>
    <t>Allied Moulded AM1086RLW Enclosure 10.00" x 8.00" x 7.75"</t>
  </si>
  <si>
    <t>Allied Moulded AM1086RLW</t>
  </si>
  <si>
    <t>AM1086RLW</t>
  </si>
  <si>
    <t>Allied Moulded AMHS075,Allied Moulded PG108,Allied Moulded AMU1084LW,Allied Moulded PLA108,Allied Moulded HFP108,Allied Moulded PF108,Allied Moulded AMP1084CCL,Allied Moulded AMPOLEMNT8,Allied Moulded AM1086RL,Allied Moulded PL108</t>
  </si>
  <si>
    <t>Allied Moulded AM1086RLW AM-R Series JIC Size Fiberglass Enclosure with Windows 10.00" x 8.00" x 7.75" (HxWxD) Approx. Inside Dimensions Raised Stainless Steel Lockable Snap Latch Hinged Cover.</t>
  </si>
  <si>
    <t>Allied-Moulded-AM1086RLW.jpg</t>
  </si>
  <si>
    <t>Allied Moulded AM1084RTW Enclosure 10.00" x 8.00" x 5.75"</t>
  </si>
  <si>
    <t>Allied Moulded AM1084RTW</t>
  </si>
  <si>
    <t>AM1084RTW</t>
  </si>
  <si>
    <t>Allied Moulded AMHS075,Allied Moulded AMPOLEMNT8,Allied Moulded AMU1084TW,Allied Moulded PLA108,Allied Moulded AM1084RT,Allied Moulded PF108,Allied Moulded PL108,Allied Moulded PG108,Allied Moulded HFP108,Allied Moulded AMP1084CCL</t>
  </si>
  <si>
    <t>Allied Moulded AM1084RTW AM-R Series JIC Size Fiberglass Enclosure with Windows 10.00" x 8.00" x 5.75" (HxWxD) Approx. Inside Dimensions Raised Lockable Twist Latch Hinged Cover.</t>
  </si>
  <si>
    <t>Allied-Moulded-AM1084RTW.jpg</t>
  </si>
  <si>
    <t>Allied Moulded AM1086RTW Enclosure 10.00" x 8.00" x 7.75"</t>
  </si>
  <si>
    <t>Allied Moulded AM1086RTW</t>
  </si>
  <si>
    <t>AM1086RTW</t>
  </si>
  <si>
    <t>Allied Moulded AMP1084CCL,Allied Moulded PG108,Allied Moulded AMHS075,Allied Moulded AM1086RT,Allied Moulded AMU1084TW,Allied Moulded HFP108,Allied Moulded PL108,Allied Moulded PLA108,Allied Moulded AMPOLEMNT8,Allied Moulded PF108</t>
  </si>
  <si>
    <t>Allied Moulded AM1086RTW AM-R Series JIC Size Fiberglass Enclosure with Windows 10.00" x 8.00" x 7.75" (HxWxD) Approx. Inside Dimensions Raised Lockable Twist Latch Hinged Cover.</t>
  </si>
  <si>
    <t>Allied-Moulded-AM1086RTW.jpg</t>
  </si>
  <si>
    <t>Allied Moulded AM1086 ULTRAGUARD Fiberglass reinforced polyester Type 4x Small Junction Box</t>
  </si>
  <si>
    <t>Allied Moulded AM1086</t>
  </si>
  <si>
    <t>AM1086</t>
  </si>
  <si>
    <t>Allied Moulded AMP1084,Allied Moulded PL108,Allied Moulded AMU1084,Allied Moulded PG108,Allied Moulded PLA108,Allied Moulded AMPOLEMNT8,Allied Moulded PF108,Allied Moulded AM1086RW,Allied Moulded AMHS075</t>
  </si>
  <si>
    <t>Allied Moulded AM1086 ULTRAGUARD Fiberglass reinforced polyester Type 4x Junction Box Enclosure 10" x 8" x 6" (HXWXD) Inside Dimension. Opaque cover with lift off 4 screw cover. 316 Stainless Steel external hardware and plated carbon steel internal hardware.</t>
  </si>
  <si>
    <t>Allied Moulded AM1086 ULTRAGUARD Fiberglass reinforced polyester Type 4x Junction Box Enclosure 10" x 8" x 6" (HXWXD). Opaque cover with lift off 4 screw cover. 316 Stainless Steel external hardware and plated carbon steel internal hardware.</t>
  </si>
  <si>
    <t>Allied Moulded AM1086 Non Metallic Polyester Enclosure</t>
  </si>
  <si>
    <t>Allied-Moulded-AM1086.jpg</t>
  </si>
  <si>
    <t>Allied Moulded AM1086H ULTRAGUARD Fiberglass reinforced polyester Type 4x Small Junction Box</t>
  </si>
  <si>
    <t>Allied Moulded AM1086H</t>
  </si>
  <si>
    <t>AM1086H</t>
  </si>
  <si>
    <t>Allied Moulded AMHS075,Allied Moulded AMP1084H,Allied Moulded PL108,Allied Moulded PLA108,Allied Moulded AM1086RHW,Allied Moulded PG108,Allied Moulded AMPOLEMNT8,Allied Moulded PF108,Allied Moulded AMU1084H</t>
  </si>
  <si>
    <t>Allied Moulded AM1086H ULTRAGUARD Fiberglass reinforced polyester Type 4x Junction Box Enclosure 10" x 8" x 6" (HXWXD) Inside Dimension. Opaque cover with hinged 2 screw cover. 316 Stainless Steel hinge, external hardware and plated carbon steel internal hardware.</t>
  </si>
  <si>
    <t>Allied Moulded AM1086H ULTRAGUARD Fiberglass reinforced polyester Type 4x Junction Box Enclosure 10" x 8" x 6" (HXWXD). Opaque cover with hinged 2 screw cover. 316 Stainless Steel hinge, external hardware and plated carbon steel internal hardware.</t>
  </si>
  <si>
    <t>Allied Moulded AM1086H Non Metallic Polyester Enclosure</t>
  </si>
  <si>
    <t>Allied-Moulded-AM1086H.jpg</t>
  </si>
  <si>
    <t>Allied Moulded AM1086L ULTRAGUARD Fiberglass reinforced polyester Type 4x Small Junction Box</t>
  </si>
  <si>
    <t>Allied Moulded AM1086L</t>
  </si>
  <si>
    <t>AM1086L</t>
  </si>
  <si>
    <t>Allied Moulded AMPOLEMNT8,Allied Moulded PLA108,Allied Moulded AMP1084L,Allied Moulded PG108,Allied Moulded AM1086RLW,Allied Moulded AMU1084L,Allied Moulded PF108,Allied Moulded AMHS075,Allied Moulded PL108</t>
  </si>
  <si>
    <t>Allied Moulded AM1086L ULTRAGUARD Fiberglass reinforced polyester Type 4x Junction Box Enclosure 10" x 8" x 6" (HXWXD) Inside Dimension. Opaque cover hinged with lockable clamp latch. 316 Stainless Steel hinge, latch, external hardware and plated carbon steel internal hardware.</t>
  </si>
  <si>
    <t>Allied Moulded AM1086L ULTRAGUARD Fiberglass reinforced polyester Type 4x Junction Box Enclosure 10" x 8" x 6" (HXWXD). Opaque cover hinged with lockable clamp latch. 316 Stainless Steel hinge, latch, external hardware and plated carbon steel internal hardware.</t>
  </si>
  <si>
    <t>Allied Moulded AM1086L Non Metallic Polyester Enclosure</t>
  </si>
  <si>
    <t>Allied-Moulded-AM1086L.jpg</t>
  </si>
  <si>
    <t>Allied Moulded AM1086T ULTRAGUARD Fiberglass reinforced polyester Type 4x Small Junction Box</t>
  </si>
  <si>
    <t>Allied Moulded AM1086T</t>
  </si>
  <si>
    <t>AM1086T</t>
  </si>
  <si>
    <t>Allied Moulded PL108,Allied Moulded AMPOLEMNT8,Allied Moulded AMHS075,Allied Moulded AMU1084T,Allied Moulded PLA108,Allied Moulded AMP1084L,Allied Moulded AM1086RTW,Allied Moulded PG108,Allied Moulded PF108</t>
  </si>
  <si>
    <t>Allied Moulded AM1086T ULTRAGUARD Fiberglass reinforced polyester Type 4x Junction Box Enclosure 10" x 8" x 6" (HXWXD) Inside Dimension. Opaque cover hinged with lockable twist latch. 316 Stainless Steel hinge, latch, external hardware and plated carbon steel internal hardware.</t>
  </si>
  <si>
    <t>Allied Moulded AM1086T ULTRAGUARD Fiberglass reinforced polyester Type 4x Junction Box Enclosure 10" x 8" x 6" (HXWXD). Opaque cover hinged with lockable twist latch. 316 Stainless Steel hinge, latch, external hardware and plated carbon steel internal hardware.</t>
  </si>
  <si>
    <t>Allied Moulded AM1086T Non Metallic Polyester Enclosure</t>
  </si>
  <si>
    <t>Allied-Moulded-AM1086T.jpg</t>
  </si>
  <si>
    <t>Allied Moulded AM1084W ULTRAGUARD Fiberglass reinforced polyester Type 4x Small Window Junction Box</t>
  </si>
  <si>
    <t>Allied Moulded AM1084W</t>
  </si>
  <si>
    <t>AM1084W</t>
  </si>
  <si>
    <t>Allied Moulded PF108,Allied Moulded AMP1084CC,Allied Moulded AMHS075,Allied Moulded AMU1084W,Allied Moulded PG108,Allied Moulded PLA108,Allied Moulded PL108,Allied Moulded AMPOLEMNT8,Allied Moulded AM1084R</t>
  </si>
  <si>
    <t>Allied Moulded AM1084W ULTRAGUARD Fiberglass reinforced polyester Type 4x Window Junction Box Enclosure 10" x 8" x 4" (HXWXD) Inside Dimension. Bonded clear polycarbonate cover with lift off 4 screw cover. 316 Stainless Steel external hardware and plated carbon steel internal hardware.</t>
  </si>
  <si>
    <t>Allied Moulded AM1084W ULTRAGUARD Fiberglass reinforced polyester Type 4x Window Junction Box Enclosure 10" x 8" x 4" (HXWXD). Bonded clear polycarbonate cover with lift off 4 screw cover. 316 Stainless Steel external hardware and plated carbon steel internal hardware.</t>
  </si>
  <si>
    <t>Allied Moulded AM1084W Non Metallic Polyester Window Enclosure</t>
  </si>
  <si>
    <t>Allied-Moulded-AM1084W.jpg</t>
  </si>
  <si>
    <t>Allied Moulded AM1086W ULTRAGUARD Fiberglass reinforced polyester Type 4x Small Window Junction Box</t>
  </si>
  <si>
    <t>Allied Moulded AM1086W</t>
  </si>
  <si>
    <t>AM1086W</t>
  </si>
  <si>
    <t>Allied Moulded PF108,Allied Moulded AM1086R,Allied Moulded AMPOLEMNT8,Allied Moulded PG108,Allied Moulded AMU1084W,Allied Moulded PL108,Allied Moulded AMHS075,Allied Moulded AMP1084CC,Allied Moulded PLA108</t>
  </si>
  <si>
    <t>Allied Moulded AM1086W ULTRAGUARD Fiberglass reinforced polyester Type 4x Window Junction Box Enclosure 10" x 8" x 6" (HXWXD) Inside Dimension. Bonded clear polycarbonate cover with lift off 4 screw cover. 316 Stainless Steel external hardware and plated carbon steel internal hardware.</t>
  </si>
  <si>
    <t>Allied Moulded AM1086W ULTRAGUARD Fiberglass reinforced polyester Type 4x Window Junction Box Enclosure 10" x 8" x 6" (HXWXD). Bonded clear polycarbonate cover with lift off 4 screw cover. 316 Stainless Steel external hardware and plated carbon steel internal hardware.</t>
  </si>
  <si>
    <t>Allied Moulded AM1086W Non Metallic Polyester Window Enclosure</t>
  </si>
  <si>
    <t>Allied-Moulded-AM1086W.jpg</t>
  </si>
  <si>
    <t>Allied Moulded AM1084HW ULTRAGUARD Fiberglass reinforced polyester Type 4x Small Window Junction Box</t>
  </si>
  <si>
    <t>Allied Moulded AM1084HW</t>
  </si>
  <si>
    <t>AM1084HW</t>
  </si>
  <si>
    <t>Allied Moulded PL108,Allied Moulded PG108,Allied Moulded PF108,Allied Moulded AM1084RH,Allied Moulded AMHS075,Allied Moulded AMP1084CCH,Allied Moulded AMU1084HW,Allied Moulded PLA108,Allied Moulded AMPOLEMNT8</t>
  </si>
  <si>
    <t>Allied Moulded AM1084HW ULTRAGUARD Fiberglass reinforced polyester Type 4x Window Junction Box Enclosure 10" x 8" x 4" (HXWXD) Inside Dimension. Bonded clear polycarbonate cover with hinged 2 screw cover. 316 Stainless Steel hinge, external hardware and plated carbon steel internal hardware.</t>
  </si>
  <si>
    <t>Allied Moulded AM1084HW ULTRAGUARD Fiberglass reinforced polyester Type 4x Window Junction Box Enclosure 10" x 8" x 4" (HXWXD). Bonded clear polycarbonate cover with hinged 2 screw cover. 316 Stainless Steel hinge, external hardware and plated carbon steel internal hardware.</t>
  </si>
  <si>
    <t>Allied Moulded AM1084HW Non Metallic Polyester Window Enclosure</t>
  </si>
  <si>
    <t>Allied-Moulded-AM1084HW.jpg</t>
  </si>
  <si>
    <t>Allied Moulded AM1086HW ULTRAGUARD Fiberglass reinforced polyester Type 4x Small Window Junction Box</t>
  </si>
  <si>
    <t>Allied Moulded AM1086HW</t>
  </si>
  <si>
    <t>AM1086HW</t>
  </si>
  <si>
    <t>Allied Moulded AM1086RH,Allied Moulded AMP1084CCH,Allied Moulded AMU1084HW,Allied Moulded PG108,Allied Moulded PLA108,Allied Moulded PL108,Allied Moulded AMPOLEMNT8,Allied Moulded PF108,Allied Moulded AMHS075</t>
  </si>
  <si>
    <t>Allied Moulded AM1086HW ULTRAGUARD Fiberglass reinforced polyester Type 4x Window Junction Box Enclosure 10" x 8" x 6" (HXWXD) Inside Dimension. Bonded clear polycarbonate cover with hinged 2 screw cover. 316 Stainless Steel hinge, external hardware and plated carbon steel internal hardware.</t>
  </si>
  <si>
    <t>Allied Moulded AM1086HW ULTRAGUARD Fiberglass reinforced polyester Type 4x Window Junction Box Enclosure 10" x 8" x 6" (HXWXD). Bonded clear polycarbonate cover with hinged 2 screw cover. 316 Stainless Steel hinge, external hardware and plated carbon steel internal hardware.</t>
  </si>
  <si>
    <t>Allied Moulded AM1086HW Non Metallic Polyester Window Enclosure</t>
  </si>
  <si>
    <t>Allied-Moulded-AM1086HW.jpg</t>
  </si>
  <si>
    <t>Allied Moulded AM1084LW ULTRAGUARD Fiberglass reinforced polyester Type 4x Small Window Junction Box</t>
  </si>
  <si>
    <t>Allied Moulded AM1084LW</t>
  </si>
  <si>
    <t>AM1084LW</t>
  </si>
  <si>
    <t>Allied Moulded AMHS075,Allied Moulded PL108,Allied Moulded AM1084L,Allied Moulded AMPOLEMNT8,Allied Moulded AMP1084CCL,Allied Moulded PF108,Allied Moulded PG108,Allied Moulded AMU1084LW,Allied Moulded PLA108</t>
  </si>
  <si>
    <t>Allied Moulded AM1084LW ULTRAGUARD Fiberglass reinforced polyester Type 4x Window Junction Box Enclosure 10" x 8" x 4" (HXWXD) Inside Dimension. Bonded clear polycarbonate cover hinged with lockable clamp latch. 316 Stainless Steel hinge, latch, external hardware and plated carbon steel internal hardware.</t>
  </si>
  <si>
    <t>Allied Moulded AM1084LW ULTRAGUARD Fiberglass reinforced polyester Type 4x Window Junction Box Enclosure 10" x 8" x 4" (HXWXD). Bonded clear polycarbonate cover hinged with lockable clamp latch. 316 Stainless Steel hinge, latch, external hardware and plated carbon steel internal hardware.</t>
  </si>
  <si>
    <t>Allied Moulded AM1084LW Non Metallic Polyester Window Enclosure</t>
  </si>
  <si>
    <t>Allied-Moulded-AM1084LW.jpg</t>
  </si>
  <si>
    <t>Allied Moulded AM1086LW ULTRAGUARD Fiberglass reinforced polyester Type 4x Small Window Junction Box</t>
  </si>
  <si>
    <t>Allied Moulded AM1086LW</t>
  </si>
  <si>
    <t>AM1086LW</t>
  </si>
  <si>
    <t>Allied Moulded AMU1084LW,Allied Moulded PG108,Allied Moulded PLA108,Allied Moulded AMPOLEMNT8,Allied Moulded PF108,Allied Moulded AMP1084CCL,Allied Moulded PL108,Allied Moulded AMHS075,Allied Moulded AM1086L</t>
  </si>
  <si>
    <t>Allied Moulded AM1086LW ULTRAGUARD Fiberglass reinforced polyester Type 4x Window Junction Box Enclosure 10" x 8" x 6" (HXWXD) Inside Dimension. Bonded clear polycarbonate cover hinged with lockable clamp latch. 316 Stainless Steel hinge, latch, external hardware and plated carbon steel internal hardware.</t>
  </si>
  <si>
    <t>Allied Moulded AM1086LW ULTRAGUARD Fiberglass reinforced polyester Type 4x Window Junction Box Enclosure 10" x 8" x 6" (HXWXD). Bonded clear polycarbonate cover hinged with lockable clamp latch. 316 Stainless Steel hinge, latch, external hardware and plated carbon steel internal hardware.</t>
  </si>
  <si>
    <t>Allied Moulded AM1086LW Non Metallic Polyester Window Enclosure</t>
  </si>
  <si>
    <t>Allied-Moulded-AM1086LW.jpg</t>
  </si>
  <si>
    <t>Allied Moulded AM1084TW ULTRAGUARD Fiberglass reinforced polyester Type 4x Small Window Junction Box</t>
  </si>
  <si>
    <t>Allied Moulded AM1084TW</t>
  </si>
  <si>
    <t>AM1084TW</t>
  </si>
  <si>
    <t>Allied Moulded AM1084RTW,Allied Moulded AMU1084TW,Allied Moulded PF108,Allied Moulded AMHS075,Allied Moulded PL108,Allied Moulded PG108,Allied Moulded AMP1084CCL,Allied Moulded PLA108,Allied Moulded AMPOLEMNT8</t>
  </si>
  <si>
    <t>Allied Moulded AM1084TW ULTRAGUARD Fiberglass reinforced polyester Type 4x Window Junction Box Enclosure 10" x 8" x 4" (HXWXD) Inside Dimension. Bonded clear polycarbonate cover hinged with lockable twist latch. 316 Stainless Steel hinge, latch, external hardware and plated carbon steel internal hardware.</t>
  </si>
  <si>
    <t>Allied Moulded AM1084TW ULTRAGUARD Fiberglass reinforced polyester Type 4x Window Junction Box Enclosure 10" x 8" x 4" (HXWXD). Bonded clear polycarbonate cover hinged with lockable twist latch. 316 Stainless Steel hinge, latch, external hardware and plated carbon steel internal hardware.</t>
  </si>
  <si>
    <t>Allied Moulded AM1084TW Non Metallic Polyester Window Enclosure</t>
  </si>
  <si>
    <t>Allied-Moulded-AM1084TW.jpg</t>
  </si>
  <si>
    <t>Allied Moulded AM1086TW ULTRAGUARD Fiberglass reinforced polyester Type 4x Small Window Junction Box</t>
  </si>
  <si>
    <t>Allied Moulded AM1086TW</t>
  </si>
  <si>
    <t>AM1086TW</t>
  </si>
  <si>
    <t>Allied Moulded AMPOLEMNT8,Allied Moulded AMU1084TW,Allied Moulded PLA108,Allied Moulded AMHS075,Allied Moulded PF108,Allied Moulded PG108,Allied Moulded PL108,Allied Moulded AM1086RTW,Allied Moulded AMP1084CCL</t>
  </si>
  <si>
    <t>Allied Moulded AM1086TW ULTRAGUARD Fiberglass reinforced polyester Type 4x Window Junction Box Enclosure 10" x 8" x 6" (HXWXD) Inside Dimension. Bonded clear polycarbonate cover hinged with lockable twist latch. 316 Stainless Steel hinge, latch, external hardware and plated carbon steel internal hardware.</t>
  </si>
  <si>
    <t>Allied Moulded AM1086TW ULTRAGUARD Fiberglass reinforced polyester Type 4x Window Junction Box Enclosure 10" x 8" x 6" (HXWXD). Bonded clear polycarbonate cover hinged with lockable twist latch. 316 Stainless Steel hinge, latch, external hardware and plated carbon steel internal hardware.</t>
  </si>
  <si>
    <t>Allied Moulded AM1086TW Non Metallic Polyester Window Enclosure</t>
  </si>
  <si>
    <t>Allied-Moulded-AM1086TW.jpg</t>
  </si>
  <si>
    <t>Allied Moulded AM1084R Enclosure 10.00" x 8.00" x 5.75"</t>
  </si>
  <si>
    <t>Allied Moulded AM1084R</t>
  </si>
  <si>
    <t>AM1084R</t>
  </si>
  <si>
    <t>Allied Moulded PL108,Allied Moulded AM1084RW,Allied Moulded PF108,Allied Moulded AMHS075,Allied Moulded PLA108,Allied Moulded AMP1084,Allied Moulded AMPOLEMNT8,Allied Moulded PG108,Allied Moulded HFP108,Allied Moulded AMU1084</t>
  </si>
  <si>
    <t>Allied Moulded AM1084R AM-R Series JIC Size Fiberglass Enclosure 10.00" x 8.00" x 5.75" (HxWxD) Approx. Inside Dimensions Raised Lift-Off Screw Cover.</t>
  </si>
  <si>
    <t>Allied-Moulded-AM1084R.jpg</t>
  </si>
  <si>
    <t>Allied Moulded AM1086R Enclosure 10.00" x 8.00" x 7.75"</t>
  </si>
  <si>
    <t>Allied Moulded AM1086R</t>
  </si>
  <si>
    <t>AM1086R</t>
  </si>
  <si>
    <t>Allied Moulded PL108,Allied Moulded AMHS075,Allied Moulded AMP1084,Allied Moulded AMPOLEMNT8,Allied Moulded PLA108,Allied Moulded HFP108,Allied Moulded AM1086RW,Allied Moulded PG108,Allied Moulded AMU1084,Allied Moulded PF108</t>
  </si>
  <si>
    <t>Allied Moulded AM1086R AM-R Series JIC Size Fiberglass Enclosure 10.00" x 8.00" x 7.75" (HxWxD) Approx. Inside Dimensions Raised Lift-Off Screw Cover.</t>
  </si>
  <si>
    <t>Allied-Moulded-AM1086R.jpg</t>
  </si>
  <si>
    <t>Allied Moulded AM1084RH Enclosure 10.00" x 8.00" x 5.75"</t>
  </si>
  <si>
    <t>Allied Moulded AM1084RH</t>
  </si>
  <si>
    <t>AM1084RH</t>
  </si>
  <si>
    <t>Allied Moulded HFP108,Allied Moulded PF108,Allied Moulded PG108,Allied Moulded AM1084RHW,Allied Moulded PL108,Allied Moulded AMPOLEMNT8,Allied Moulded PLA108,Allied Moulded AMU1084H,Allied Moulded AMHS075,Allied Moulded AMP1084H</t>
  </si>
  <si>
    <t>Allied Moulded AM1084RH AM-R Series JIC Size Fiberglass Enclosure 10.00" x 8.00" x 5.75" (HxWxD) Approx. Inside Dimensions Raised Hinged Screw Cover.</t>
  </si>
  <si>
    <t>Allied-Moulded-AM1084RH.jpg</t>
  </si>
  <si>
    <t>Allied Moulded AM1086RH Enclosure 10.00" x 8.00" x 7.75"</t>
  </si>
  <si>
    <t>Allied Moulded AM1086RH</t>
  </si>
  <si>
    <t>AM1086RH</t>
  </si>
  <si>
    <t>Allied Moulded AMP1084H,Allied Moulded PF108,Allied Moulded AM1086RHW,Allied Moulded HFP108,Allied Moulded AMU1084H,Allied Moulded PG108,Allied Moulded AMHS075,Allied Moulded AMPOLEMNT8,Allied Moulded PL108,Allied Moulded PLA108</t>
  </si>
  <si>
    <t>Allied Moulded AM1086RH AM-R Series JIC Size Fiberglass Enclosure 10.00" x 8.00" x 7.75" (HxWxD) Approx. Inside Dimensions Raised Hinged Screw Cover.</t>
  </si>
  <si>
    <t>Allied-Moulded-AM1086RH.jpg</t>
  </si>
  <si>
    <t>Allied Moulded AM1084RL Enclosure 10.00" x 8.00" x 5.75"</t>
  </si>
  <si>
    <t>Allied Moulded AM1084RL</t>
  </si>
  <si>
    <t>AM1084RL</t>
  </si>
  <si>
    <t>Allied Moulded AMP1084L,Allied Moulded AMPOLEMNT8,Allied Moulded PG108,Allied Moulded AMU1084L,Allied Moulded PF108,Allied Moulded PL108,Allied Moulded PLA108,Allied Moulded HFP108,Allied Moulded AMHS075,Allied Moulded AM1084RLW</t>
  </si>
  <si>
    <t>Allied Moulded AM1084RL AM-R Series JIC Size Fiberglass Enclosure 10.00" x 8.00" x 5.75" (HxWxD) Approx. Inside Dimensions Raised Stainless Steel Lockable Snap Latch Hinged Cover.</t>
  </si>
  <si>
    <t>Allied-Moulded-AM1084RL.jpg</t>
  </si>
  <si>
    <t>Allied Moulded AM1086RL Enclosure 10.00" x 8.00" x 7.75"</t>
  </si>
  <si>
    <t>Allied Moulded AM1086RL</t>
  </si>
  <si>
    <t>AM1086RL</t>
  </si>
  <si>
    <t>Allied Moulded PLA108,Allied Moulded PL108,Allied Moulded PF108,Allied Moulded AMP1084L,Allied Moulded AM1086RLW,Allied Moulded AMPOLEMNT8,Allied Moulded AMHS075,Allied Moulded AMU1084L,Allied Moulded PG108,Allied Moulded HFP108</t>
  </si>
  <si>
    <t>Allied Moulded AM1086RL AM-R Series JIC Size Fiberglass Enclosure 10.00" x 8.00" x 7.75" (HxWxD) Approx. Inside Dimensions Raised Stainless Steel Lockable Snap Latch Hinged Cover.</t>
  </si>
  <si>
    <t>Allied-Moulded-AM1086RL.jpg</t>
  </si>
  <si>
    <t>Allied Moulded AM1084RT Enclosure 10.00" x 8.00" x 5.75"</t>
  </si>
  <si>
    <t>Allied Moulded AM1084RT</t>
  </si>
  <si>
    <t>AM1084RT</t>
  </si>
  <si>
    <t>Allied Moulded AMPOLEMNT8,Allied Moulded AMHS075,Allied Moulded AM1084RTW,Allied Moulded AMU1084T,Allied Moulded PLA108,Allied Moulded PL108,Allied Moulded PF108,Allied Moulded HFP108,Allied Moulded AMP1084L,Allied Moulded PG108</t>
  </si>
  <si>
    <t>Allied Moulded AM1084RT AM-R Series JIC Size Fiberglass Enclosure 10.00" x 8.00" x 5.75" (HxWxD) Approx. Inside Dimensions Raised Stainless Steel Lockable Twist Latch Hinged Cover.</t>
  </si>
  <si>
    <t>Allied-Moulded-AM1084RT.jpg</t>
  </si>
  <si>
    <t>Allied Moulded AM1084 ULTRAGUARD Fiberglass reinforced polyester Type 4x Small Junction Box</t>
  </si>
  <si>
    <t>Allied Moulded AM1084</t>
  </si>
  <si>
    <t>AM1084</t>
  </si>
  <si>
    <t>Allied Moulded PG108,Allied Moulded AMHS075,Allied Moulded AMP1084,Allied Moulded PLA108,Allied Moulded AMU1084,Allied Moulded PL108,Allied Moulded AM1084RW,Allied Moulded AMPOLEMNT8,Allied Moulded PF108</t>
  </si>
  <si>
    <t>Allied Moulded AM1084 ULTRAGUARD Fiberglass reinforced polyester Type 4x Junction Box Enclosure 10" x 8" x 4" (HXWXD) Inside Dimension. Opaque cover with lift off 4 screw cover. 316 Stainless Steel external hardware and plated carbon steel internal hardware.</t>
  </si>
  <si>
    <t>Allied Moulded AM1084 ULTRAGUARD Fiberglass reinforced polyester Type 4x Junction Box Enclosure 10" x 8" x 4" (HXWXD). Opaque cover with lift off 4 screw cover. 316 Stainless Steel external hardware and plated carbon steel internal hardware.</t>
  </si>
  <si>
    <t>Allied Moulded AM1084 Non Metallic Polyester Enclosure</t>
  </si>
  <si>
    <t>Allied-Moulded-AM1084.jpg</t>
  </si>
  <si>
    <t>Allied Moulded AM1084H ULTRAGUARD Fiberglass reinforced polyester Type 4x Small Junction Box</t>
  </si>
  <si>
    <t>Allied Moulded AM1084H</t>
  </si>
  <si>
    <t>AM1084H</t>
  </si>
  <si>
    <t>Allied Moulded PG108,Allied Moulded PL108,Allied Moulded AMHS075,Allied Moulded AMPOLEMNT8,Allied Moulded AMU1084H,Allied Moulded AM1084RHW,Allied Moulded PLA108,Allied Moulded PF108,Allied Moulded AMP1084H</t>
  </si>
  <si>
    <t>Allied Moulded AM1084H ULTRAGUARD Fiberglass reinforced polyester Type 4x Junction Box Enclosure 10" x 8" x 4" (HXWXD) Inside Dimension. Opaque cover with hinged 2 screw cover. 316 Stainless Steel hinge, external hardware and plated carbon steel internal hardware.</t>
  </si>
  <si>
    <t>Allied Moulded AM1084H ULTRAGUARD Fiberglass reinforced polyester Type 4x Junction Box Enclosure 10" x 8" x 4" (HXWXD). Opaque cover with hinged 2 screw cover. 316 Stainless Steel hinge, external hardware and plated carbon steel internal hardware.</t>
  </si>
  <si>
    <t>Allied Moulded AM1084H Non Metallic Polyester Enclosure</t>
  </si>
  <si>
    <t>Allied-Moulded-AM1084H.jpg</t>
  </si>
  <si>
    <t>Allied Moulded AM1084L ULTRAGUARD Fiberglass reinforced polyester Type 4x Small Junction Box</t>
  </si>
  <si>
    <t>Allied Moulded AM1084L</t>
  </si>
  <si>
    <t>AM1084L</t>
  </si>
  <si>
    <t>Allied Moulded PF108,Allied Moulded AMU1084L,Allied Moulded AM1084RLW,Allied Moulded AMPOLEMNT8,Allied Moulded AMHS075,Allied Moulded PG108,Allied Moulded PLA108,Allied Moulded AMP1084L,Allied Moulded PL108</t>
  </si>
  <si>
    <t>Allied Moulded AM1084L ULTRAGUARD Fiberglass reinforced polyester Type 4x Junction Box Enclosure 10" x 8" x 4" (HXWXD) Inside Dimension. Opaque cover hinged with lockable clamp latch. 316 Stainless Steel hinge, latch, external hardware and plated carbon steel internal hardware.</t>
  </si>
  <si>
    <t>Allied Moulded AM1084L ULTRAGUARD Fiberglass reinforced polyester Type 4x Junction Box Enclosure 10" x 8" x 4" (HXWXD). Opaque cover hinged with lockable clamp latch. 316 Stainless Steel hinge, latch, external hardware and plated carbon steel internal hardware.</t>
  </si>
  <si>
    <t>Allied Moulded AM1084L Non Metallic Polyester Enclosure</t>
  </si>
  <si>
    <t>Allied-Moulded-AM1084L.jpg</t>
  </si>
  <si>
    <t>Allied Moulded AM1084T ULTRAGUARD Fiberglass reinforced polyester Type 4x Small Junction Box</t>
  </si>
  <si>
    <t>Allied Moulded AM1084T</t>
  </si>
  <si>
    <t>AM1084T</t>
  </si>
  <si>
    <t>Allied Moulded PF108,Allied Moulded AMU1084T,Allied Moulded PL108,Allied Moulded AMHS075,Allied Moulded PG108,Allied Moulded PLA108,Allied Moulded AM1084RTW,Allied Moulded AMP1084L,Allied Moulded AMPOLEMNT8</t>
  </si>
  <si>
    <t>Allied Moulded AM1084T ULTRAGUARD Fiberglass reinforced polyester Type 4x Junction Box Enclosure 10" x 8" x 4" (HXWXD) Inside Dimension. Opaque cover hinged with lockable twist latch. 316 Stainless Steel hinge, latch, external hardware and plated carbon steel internal hardware.</t>
  </si>
  <si>
    <t>Allied Moulded AM1084T ULTRAGUARD Fiberglass reinforced polyester Type 4x Junction Box Enclosure 10" x 8" x 4" (HXWXD). Opaque cover hinged with lockable twist latch. 316 Stainless Steel hinge, latch, external hardware and plated carbon steel internal hardware.</t>
  </si>
  <si>
    <t>Allied Moulded AM1084T Non Metallic Polyester Enclosure</t>
  </si>
  <si>
    <t>Allied-Moulded-AM1084T.jpg</t>
  </si>
  <si>
    <t>Allied Moulded AMU1086 Enclosure 10" x 8" x 6"</t>
  </si>
  <si>
    <t>Allied Moulded AMU1086</t>
  </si>
  <si>
    <t>AMU1086</t>
  </si>
  <si>
    <t>Allied Moulded PF108,Allied Moulded AMHS075,Allied Moulded HFPU108,Allied Moulded PG108,Allied Moulded PL108,Allied Moulded AM1086,Allied Moulded AMP1086,Allied Moulded AMU1086CC,Allied Moulded AMU1086L,Allied Moulded PLA108</t>
  </si>
  <si>
    <t>Allied Moulded AMU1086 ULTRALINE AMU Series JIC Size Fiberglass Enclosure 10" x 8" x 6" (HxWxD) Approx. Inside Dimensions Lift-Off Screw Cover.</t>
  </si>
  <si>
    <t>Allied-Moulded-AMU1086.jpg</t>
  </si>
  <si>
    <t>Allied Moulded AMU1086F Enclosure 10" x 8" x 6"</t>
  </si>
  <si>
    <t>Allied Moulded AMU1086F</t>
  </si>
  <si>
    <t>AMU1086F</t>
  </si>
  <si>
    <t>Allied Moulded PL108,Allied Moulded AMP1086F,Allied Moulded HFPU108,Allied Moulded AMHS075,Allied Moulded AMU1086CCF,Allied Moulded PG108,Allied Moulded PF108,Allied Moulded PLA108,Allied Moulded AMPOLEMNT8,Allied Moulded AMU1086TF,Allied Moulded AM1086</t>
  </si>
  <si>
    <t>Allied Moulded AMU1086F ULTRALINE AMU Series JIC Size Fiberglass Enclosure 10" x 8" x 6" (HxWxD) Approx. Inside Dimensions Lift-Off Screw Cover.</t>
  </si>
  <si>
    <t>Allied-Moulded-AMU1086F.jpg</t>
  </si>
  <si>
    <t>Allied Moulded AMU1086H Enclosure 10" x 8" x 6"</t>
  </si>
  <si>
    <t>Allied Moulded AMU1086H</t>
  </si>
  <si>
    <t>AMU1086H</t>
  </si>
  <si>
    <t>Allied Moulded PG108,Allied Moulded PL108,Allied Moulded AMP1086H,Allied Moulded AMU1086CCH,Allied Moulded HFPU108,Allied Moulded AMHS075,Allied Moulded PLA108,Allied Moulded PF108,Allied Moulded AM1086H,Allied Moulded AMU1086L</t>
  </si>
  <si>
    <t>Allied Moulded AMU1086H ULTRALINE AMU Series JIC Size Fiberglass Enclosure 10" x 8" x 6" (HxWxD) Approx. Inside Dimensions Hinged Screw Cover.</t>
  </si>
  <si>
    <t>Allied-Moulded-AMU1086H.jpg</t>
  </si>
  <si>
    <t>Allied Moulded AMU1086HF Enclosure 10" x 8" x 6"</t>
  </si>
  <si>
    <t>Allied Moulded AMU1086HF</t>
  </si>
  <si>
    <t>AMU1086HF</t>
  </si>
  <si>
    <t>Allied Moulded AMHS075,Allied Moulded HFPU108,Allied Moulded AMP1086HF,Allied Moulded PG108,Allied Moulded AMPOLEMNT8,Allied Moulded AM1086H,Allied Moulded PL108,Allied Moulded PF108,Allied Moulded PLA108,Allied Moulded AMU1086TF,Allied Moulded AMU1086CCHF</t>
  </si>
  <si>
    <t>Allied Moulded AMU1086HF ULTRALINE AMU Series JIC Size Fiberglass Enclosure 10" x 8" x 6" (HxWxD) Approx. Inside Dimensions Hinged Screw Cover.</t>
  </si>
  <si>
    <t>Allied-Moulded-AMU1086HF.jpg</t>
  </si>
  <si>
    <t>Allied Moulded AMU1086L Enclosure 10" x 8" x 6"</t>
  </si>
  <si>
    <t>Allied Moulded AMU1086L</t>
  </si>
  <si>
    <t>AMU1086L</t>
  </si>
  <si>
    <t>Allied Moulded PF108,Allied Moulded AMP1086L,Allied Moulded AMU1086CCL,Allied Moulded AM1086L,Allied Moulded HFPU108,Allied Moulded AMHS075,Allied Moulded PG108,Allied Moulded PLA108,Allied Moulded PL108,Allied Moulded AMU1086T</t>
  </si>
  <si>
    <t>Allied Moulded AMU1086L ULTRALINE AMU Series JIC Size Fiberglass Enclosure 10" x 8" x 6" (HxWxD) Approx. Inside Dimensions Metal Snap Latch Hinged Cover.</t>
  </si>
  <si>
    <t>Allied-Moulded-AMU1086L.jpg</t>
  </si>
  <si>
    <t>Allied Moulded AMU1086LF Enclosure 10" x 8" x 6"</t>
  </si>
  <si>
    <t>Allied Moulded AMU1086LF</t>
  </si>
  <si>
    <t>AMU1086LF</t>
  </si>
  <si>
    <t>Allied Moulded PG108,Allied Moulded PF108,Allied Moulded PL108,Allied Moulded HFPU108,Allied Moulded AMU1086CCLF,Allied Moulded AMPOLEMNT8,Allied Moulded AMP1086LF,Allied Moulded AMHS075,Allied Moulded PLA108,Allied Moulded AMU1086TF,Allied Moulded AM1086L</t>
  </si>
  <si>
    <t>Allied Moulded AMU1086LF ULTRALINE AMU Series JIC Size Fiberglass Enclosure 10" x 8" x 6" (HxWxD) Approx. Inside Dimensions Metal Snap Latch Hinged Cover.</t>
  </si>
  <si>
    <t>Allied-Moulded-AMU1086LF.jpg</t>
  </si>
  <si>
    <t>Allied Moulded AMU1086NL Enclosure 10" x 8" x 6"</t>
  </si>
  <si>
    <t>Allied Moulded AMU1086NL</t>
  </si>
  <si>
    <t>AMU1086NL</t>
  </si>
  <si>
    <t>Allied Moulded PL108,Allied Moulded AMU1086T,Allied Moulded AM1086L,Allied Moulded AMP1086L,Allied Moulded AMU1086CCL,Allied Moulded HFPU108,Allied Moulded PF108,Allied Moulded PLA108,Allied Moulded PG108,Allied Moulded AMHS075</t>
  </si>
  <si>
    <t>Allied Moulded AMU1086NL ULTRALINE AMU Series JIC Size Fiberglass Enclosure 10" x 8" x 6" (HxWxD) Approx. Inside Dimensions Nonmetallic Snap Latch Hinged Cover.</t>
  </si>
  <si>
    <t>Allied-Moulded-AMU1086NL.jpg</t>
  </si>
  <si>
    <t>Allied Moulded AMU1086NLF Enclosure 10" x 8" x 6"</t>
  </si>
  <si>
    <t>Allied Moulded AMU1086NLF</t>
  </si>
  <si>
    <t>AMU1086NLF</t>
  </si>
  <si>
    <t>Allied Moulded PF108,Allied Moulded AMHS075,Allied Moulded AMU1086TF,Allied Moulded AMU1086CCLF,Allied Moulded AMP1084LF,Allied Moulded PL108,Allied Moulded HFPU108,Allied Moulded AMU1084CCLF,Allied Moulded AMPOLEMNT8,Allied Moulded PG108,Allied Moulded AMP1086LF,Allied Moulded AM1084L,Allied Moulded AMU1084TF,Allied Moulded PLA108,Allied Moulded AM1086L</t>
  </si>
  <si>
    <t>Allied Moulded AMU1086NLF ULTRALINE AMU Series JIC Size Fiberglass Enclosure 10" x 8" x 6" (HxWxD) Approx. Inside Dimensions Nonmetallic Snap Latch Hinged Cover.</t>
  </si>
  <si>
    <t>Allied-Moulded-AMU1086NLF.jpg</t>
  </si>
  <si>
    <t>Allied Moulded AMU1086T Enclosure 10" x 8" x 6"</t>
  </si>
  <si>
    <t>Allied Moulded AMU1086T</t>
  </si>
  <si>
    <t>AMU1086T</t>
  </si>
  <si>
    <t>Allied Moulded AM1086T,Allied Moulded HFPU108,Allied Moulded PF108,Allied Moulded PLA108,Allied Moulded AMU1086CCT,Allied Moulded PL108,Allied Moulded AMHS075,Allied Moulded PG108,Allied Moulded AMU1086L,Allied Moulded AMP1086L</t>
  </si>
  <si>
    <t>Allied Moulded AMU1086T ULTRALINE AMU Series JIC Size Fiberglass Enclosure 10" x 8" x 6" (HxWxD) Approx. Inside Dimensions Lockable Twist Latch Hinged Cover.</t>
  </si>
  <si>
    <t>Allied-Moulded-AMU1086T.jpg</t>
  </si>
  <si>
    <t>Allied Moulded AMU1086TF Enclosure 10" x 8" x 6"</t>
  </si>
  <si>
    <t>Allied Moulded AMU1086TF</t>
  </si>
  <si>
    <t>AMU1086TF</t>
  </si>
  <si>
    <t>Allied Moulded PG108,Allied Moulded PL108,Allied Moulded HFPU108,Allied Moulded AM1086T,Allied Moulded AMU1086CCTF,Allied Moulded AMHS075,Allied Moulded PF108,Allied Moulded AMP1086LF,Allied Moulded PLA108,Allied Moulded AMPOLEMNT8,Allied Moulded AMU1086LF</t>
  </si>
  <si>
    <t>Allied Moulded AMU1086TF ULTRALINE AMU Series JIC Size Fiberglass Enclosure 10" x 8" x 6" (HxWxD) Approx. Inside Dimensions Lockable Twist Latch Hinged Cover.</t>
  </si>
  <si>
    <t>Allied-Moulded-AMU1086TF.jpg</t>
  </si>
  <si>
    <t>Allied Moulded AMU1086W Enclosure 10" x 8" x 6"</t>
  </si>
  <si>
    <t>Allied Moulded AMU1086W</t>
  </si>
  <si>
    <t>AMU1086W</t>
  </si>
  <si>
    <t>Allied Moulded PL108,Allied Moulded AM1086W,Allied Moulded PLA108,Allied Moulded AMU1086CC,Allied Moulded AMP1086CC,Allied Moulded PG108,Allied Moulded PF108,Allied Moulded HFPU108,Allied Moulded AMU1086LW,Allied Moulded AMHS075</t>
  </si>
  <si>
    <t>Allied Moulded AMU1086W ULTRALINE AMU Series JIC Size Fiberglass Enclosure 10" x 8" x 6" (HxWxD) Approx. Inside Dimensions Lift-Off Screw Cover.</t>
  </si>
  <si>
    <t>Allied-Moulded-AMU1086W.jpg</t>
  </si>
  <si>
    <t>Allied Moulded AMU1086WF Enclosure 10" x 8" x 6"</t>
  </si>
  <si>
    <t>Allied Moulded AMU1086WF</t>
  </si>
  <si>
    <t>AMU1086WF</t>
  </si>
  <si>
    <t>Allied Moulded AMU1206CCF,Allied Moulded HFPU108,Allied Moulded PG108,Allied Moulded PF108,Allied Moulded AMP1086CCF,Allied Moulded PL108,Allied Moulded AM1086W,Allied Moulded PLA108,Allied Moulded AMHS075,Allied Moulded AMPOLEMNT8</t>
  </si>
  <si>
    <t>Allied Moulded AMU1086WF ULTRALINE AMU Series JIC Size Fiberglass Enclosure 10" x 8" x 6" (HxWxD) Approx. Inside Dimensions Lift-Off Screw Cover.</t>
  </si>
  <si>
    <t>Allied-Moulded-AMU1086WF.jpg</t>
  </si>
  <si>
    <t>Allied Moulded AMU1086HW Enclosure 10" x 8" x 6"</t>
  </si>
  <si>
    <t>Allied Moulded AMU1086HW</t>
  </si>
  <si>
    <t>AMU1086HW</t>
  </si>
  <si>
    <t>Allied Moulded PG108,Allied Moulded AMU1086LW,Allied Moulded PF108,Allied Moulded HFPU108,Allied Moulded PL108,Allied Moulded AM1086H,Allied Moulded AMU1086CCH,Allied Moulded AMP1086CCH,Allied Moulded AMHS075,Allied Moulded PLA108</t>
  </si>
  <si>
    <t>Allied Moulded AMU1086HW ULTRALINE AMU Series JIC Size Fiberglass Enclosure 10" x 8" x 6" (HxWxD) Approx. Inside Dimensions Hinged Screw Cover.</t>
  </si>
  <si>
    <t>Allied-Moulded-AMU1086HW.jpg</t>
  </si>
  <si>
    <t>Allied Moulded AMU1086HWF Enclosure 10" x 8" x 6"</t>
  </si>
  <si>
    <t>Allied Moulded AMU1086HWF</t>
  </si>
  <si>
    <t>AMU1086HWF</t>
  </si>
  <si>
    <t>Allied Moulded AMU1086CCHF,Allied Moulded AMP1086CCHF,Allied Moulded PF108,Allied Moulded AMU1086TWF,Allied Moulded AMHS075,Allied Moulded PL108,Allied Moulded PLA108,Allied Moulded AMPOLEMNT8,Allied Moulded PG108,Allied Moulded HFPU108,Allied Moulded AM1086HW</t>
  </si>
  <si>
    <t>Allied Moulded AMU1086HWF ULTRALINE AMU Series JIC Size Fiberglass Enclosure 10" x 8" x 6" (HxWxD) Approx. Inside Dimensions Hinged Screw Cover.</t>
  </si>
  <si>
    <t>Allied-Moulded-AMU1086HWF.jpg</t>
  </si>
  <si>
    <t>Allied Moulded AMU1086LW Enclosure 10" x 8" x 6"</t>
  </si>
  <si>
    <t>Allied Moulded AMU1086LW</t>
  </si>
  <si>
    <t>AMU1086LW</t>
  </si>
  <si>
    <t>Allied Moulded AMHS075,Allied Moulded HFPU108,Allied Moulded PG108,Allied Moulded PLA108,Allied Moulded PL108,Allied Moulded PF108,Allied Moulded AMP1086CCL,Allied Moulded AM1086LW,Allied Moulded AMU1086TW,Allied Moulded AMU1086CCL</t>
  </si>
  <si>
    <t>Allied Moulded AMU1086LW ULTRALINE AMU Series JIC Size Fiberglass Enclosure 10" x 8" x 6" (HxWxD) Approx. Inside Dimensions Metal Snap Latch Hinged Cover.</t>
  </si>
  <si>
    <t>Allied-Moulded-AMU1086LW.jpg</t>
  </si>
  <si>
    <t>Allied Moulded AMU1086LWF Enclosure 10" x 8" x 6"</t>
  </si>
  <si>
    <t>Allied Moulded AMU1086LWF</t>
  </si>
  <si>
    <t>AMU1086LWF</t>
  </si>
  <si>
    <t>Allied Moulded HFPU108,Allied Moulded PG108,Allied Moulded AMHS075,Allied Moulded AMP1086CCLF,Allied Moulded PL108,Allied Moulded AMU1086TWF,Allied Moulded AMU1086CCLF,Allied Moulded AM1086LW,Allied Moulded AMPOLEMNT8,Allied Moulded PLA108,Allied Moulded PF108</t>
  </si>
  <si>
    <t>Allied Moulded AMU1086LWF ULTRALINE AMU Series JIC Size Fiberglass Enclosure 10" x 8" x 6" (HxWxD) Approx. Inside Dimensions Metal Snap Latch Hinged Cover.</t>
  </si>
  <si>
    <t>Allied-Moulded-AMU1086LWF.jpg</t>
  </si>
  <si>
    <t>Allied Moulded AMU1086NLW Enclosure 10" x 8" x 6"</t>
  </si>
  <si>
    <t>Allied Moulded AMU1086NLW</t>
  </si>
  <si>
    <t>AMU1086NLW</t>
  </si>
  <si>
    <t>Allied Moulded AMU1086TW,Allied Moulded PG108,Allied Moulded HFPU108,Allied Moulded AMHS075,Allied Moulded PL108,Allied Moulded PLA108,Allied Moulded AM1086LW,Allied Moulded AMP1086CCL,Allied Moulded AMU1086CCL,Allied Moulded PF108</t>
  </si>
  <si>
    <t>Allied Moulded AMU1086NLW ULTRALINE AMU Series JIC Size Fiberglass Enclosure with Windows 10" x 8" x 6" (HxWxD) Approx. Inside Dimensions Nonmetallic Snap Latch Hinged Cover.</t>
  </si>
  <si>
    <t>Allied-Moulded-AMU1086NLW.jpg</t>
  </si>
  <si>
    <t>Allied Moulded AMU1086NLWF Enclosure 10" x 8" x 6"</t>
  </si>
  <si>
    <t>Allied Moulded AMU1086NLWF</t>
  </si>
  <si>
    <t>AMU1086NLWF</t>
  </si>
  <si>
    <t>Allied Moulded AMPOLEMNT8,Allied Moulded PG108,Allied Moulded AMU1086TWF,Allied Moulded HFPU108,Allied Moulded PF108,Allied Moulded PLA108,Allied Moulded AMP1086CCLF,Allied Moulded PL108,Allied Moulded AMU1086CCLF,Allied Moulded AM1086LW,Allied Moulded AMHS075</t>
  </si>
  <si>
    <t>Allied Moulded AMU1086NLWF ULTRALINE AMU Series JIC Size Fiberglass Enclosure with Windows 10" x 8" x 6" (HxWxD) Approx. Inside Dimensions Nonmetallic Snap Latch Hinged Cover.</t>
  </si>
  <si>
    <t>Allied-Moulded-AMU1086NLWF.jpg</t>
  </si>
  <si>
    <t>Allied Moulded AMU1086TW Enclosure 10" x 8" x 6"</t>
  </si>
  <si>
    <t>Allied Moulded AMU1086TW</t>
  </si>
  <si>
    <t>AMU1086TW</t>
  </si>
  <si>
    <t>Allied Moulded AMU1086LW,Allied Moulded PL108,Allied Moulded PLA108,Allied Moulded AMP1086CCL,Allied Moulded PG108,Allied Moulded AMU1086CCT,Allied Moulded HFPU108,Allied Moulded AMHS075,Allied Moulded PF108,Allied Moulded AM1086TW</t>
  </si>
  <si>
    <t>Allied Moulded AMU1086TW ULTRALINE AMU Series JIC Size Fiberglass Enclosure with Windows 10" x 8" x 6" (HxWxD) Approx. Inside Dimensions Lockable Twist Latch Hinged Cover.</t>
  </si>
  <si>
    <t>Allied-Moulded-AMU1086TW.jpg</t>
  </si>
  <si>
    <t>Allied Moulded AMU1086TWF Enclosure 10" x 8" x 6"</t>
  </si>
  <si>
    <t>Allied Moulded AMU1086TWF</t>
  </si>
  <si>
    <t>AMU1086TWF</t>
  </si>
  <si>
    <t>Allied Moulded AMU1086LWF,Allied Moulded PG108,Allied Moulded PL108,Allied Moulded HFPU108,Allied Moulded AMPOLEMNT8,Allied Moulded AMHS075,Allied Moulded PLA108,Allied Moulded AMU1086CCTF,Allied Moulded AM1086TW,Allied Moulded AMP1086CCLF,Allied Moulded PF108</t>
  </si>
  <si>
    <t>Allied Moulded AMU1086TWF ULTRALINE AMU Series JIC Size Fiberglass Enclosure with Windows 10" x 8" x 6" (HxWxD) Approx. Inside Dimensions Lockable Twist Latch Hinged Cover.</t>
  </si>
  <si>
    <t>Allied-Moulded-AMU1086TWF.jpg</t>
  </si>
  <si>
    <t>Allied Moulded AMU1086CC Enclosure 10" x 8" x 6"</t>
  </si>
  <si>
    <t>Allied Moulded AMU1086CC</t>
  </si>
  <si>
    <t>AMU1086CC</t>
  </si>
  <si>
    <t>Allied Moulded AM1086W,Allied Moulded AMU1086CCT,Allied Moulded PG108,Allied Moulded AMU1086,Allied Moulded PL108,Allied Moulded AMHS075,Allied Moulded PF108,Allied Moulded PLA108,Allied Moulded HFPU108,Allied Moulded AMP1086CC</t>
  </si>
  <si>
    <t>Allied Moulded AMU1086CC ULTRALINE AMU Series JIC Size Fiberglass Enclosure with Clear Covers 10" x 8" x 6" (HxWxD) Approx. Inside Dimensions Lift-Off Screw Cover.</t>
  </si>
  <si>
    <t>Allied-Moulded-AMU1086CC.jpg</t>
  </si>
  <si>
    <t>Allied Moulded AMU1086CCF Enclosure 10" x 8" x 6"</t>
  </si>
  <si>
    <t>Allied Moulded AMU1086CCF</t>
  </si>
  <si>
    <t>AMU1086CCF</t>
  </si>
  <si>
    <t>Allied Moulded AMPOLEMNT8,Allied Moulded PLA108,Allied Moulded AMU1086CCLF,Allied Moulded AMU1086F,Allied Moulded HFPU108,Allied Moulded PG108,Allied Moulded AM1086W,Allied Moulded AMHS075,Allied Moulded PL108,Allied Moulded PF108</t>
  </si>
  <si>
    <t>Allied Moulded AMU1086CCF ULTRALINE AMU Series JIC Size Fiberglass Enclosure with Clear Covers 10" x 8" x 6" (HxWxD) Approx. Inside Dimensions Lift-Off Screw Cover.</t>
  </si>
  <si>
    <t>Allied-Moulded-AMU1086CCF.jpg</t>
  </si>
  <si>
    <t>Allied Moulded AMU1086CCH Enclosure 10" x 8" x 6"</t>
  </si>
  <si>
    <t>Allied Moulded AMU1086CCH</t>
  </si>
  <si>
    <t>AMU1086CCH</t>
  </si>
  <si>
    <t>Allied Moulded PG108,Allied Moulded AMU1086CCT,Allied Moulded AMHS075,Allied Moulded AMP1086CCH,Allied Moulded PLA108,Allied Moulded AMU1086H,Allied Moulded AM1086HW,Allied Moulded PL108,Allied Moulded HFPU108,Allied Moulded PF108</t>
  </si>
  <si>
    <t>Allied Moulded AMU1086CCH ULTRALINE AMU Series JIC Size Fiberglass Enclosure with Clear Covers 10" x 8" x 6" (HxWxD) Approx. Inside Dimensions Hinged Screw Cover.</t>
  </si>
  <si>
    <t>Allied-Moulded-AMU1086CCH.jpg</t>
  </si>
  <si>
    <t>Allied Moulded AMU1086CCHF Enclosure 10" x 8" x 6"</t>
  </si>
  <si>
    <t>Allied Moulded AMU1086CCHF</t>
  </si>
  <si>
    <t>AMU1086CCHF</t>
  </si>
  <si>
    <t>Allied Moulded HFPU108,Allied Moulded PLA108,Allied Moulded AM1086HW,Allied Moulded PG108,Allied Moulded AMU1086CCLF,Allied Moulded AMPOLEMNT8,Allied Moulded PF108,Allied Moulded PL108,Allied Moulded AMHS075,Allied Moulded AMP1086CCHF,Allied Moulded AMU1086HF</t>
  </si>
  <si>
    <t>Allied Moulded AMU1086CCHF ULTRALINE AMU Series JIC Size Fiberglass Enclosure with Clear Covers 10" x 8" x 6" (HxWxD) Approx. Inside Dimensions Hinged Screw Cover.</t>
  </si>
  <si>
    <t>Allied-Moulded-AMU1086CCHF.jpg</t>
  </si>
  <si>
    <t>Allied Moulded AMU1086CCL Enclosure 10" x 8" x 6"</t>
  </si>
  <si>
    <t>Allied Moulded AMU1086CCL</t>
  </si>
  <si>
    <t>AMU1086CCL</t>
  </si>
  <si>
    <t>Allied Moulded HFPU108,Allied Moulded AMHS075,Allied Moulded PF108,Allied Moulded AM1086LW,Allied Moulded AMP1086CCL,Allied Moulded PL108,Allied Moulded PG108,Allied Moulded AMU1086CCT,Allied Moulded AMU1086L,Allied Moulded PLA108</t>
  </si>
  <si>
    <t>Allied Moulded AMU1086CCL ULTRALINE AMU Series JIC Size Fiberglass Enclosure with Clear Covers 10" x 8" x 6" (HxWxD) Approx. Inside Dimensions Metal Snap Latch Hinged Cover.</t>
  </si>
  <si>
    <t>Allied-Moulded-AMU1086CCL.jpg</t>
  </si>
  <si>
    <t>Allied Moulded AMU1086CCLF Enclosure 10" x 8" x 6"</t>
  </si>
  <si>
    <t>Allied Moulded AMU1086CCLF</t>
  </si>
  <si>
    <t>AMU1086CCLF</t>
  </si>
  <si>
    <t>Allied Moulded PLA108,Allied Moulded AMHS075,Allied Moulded AMU1086LF,Allied Moulded PF108,Allied Moulded AMP1086CCLF,Allied Moulded PL108,Allied Moulded HFPU108,Allied Moulded AM1086L,Allied Moulded PG108,Allied Moulded AMPOLEMNT8,Allied Moulded AMU1086CCTF</t>
  </si>
  <si>
    <t>Allied Moulded AMU1086CCLF ULTRALINE AMU Series JIC Size Fiberglass Enclosure with Clear Covers 10" x 8" x 6" (HxWxD) Approx. Inside Dimensions Metal Snap Latch Hinged Cover.</t>
  </si>
  <si>
    <t>Allied-Moulded-AMU1086CCLF.jpg</t>
  </si>
  <si>
    <t>Allied Moulded AMU1086CCNL Enclosure 10" x 8" x 6"</t>
  </si>
  <si>
    <t>Allied Moulded AMU1086CCNL</t>
  </si>
  <si>
    <t>AMU1086CCNL</t>
  </si>
  <si>
    <t>Allied Moulded PL108,Allied Moulded AMP1086CCL,Allied Moulded PF108,Allied Moulded AMU1086NL,Allied Moulded AM1086LW,Allied Moulded PLA108,Allied Moulded AMU1086CCT,Allied Moulded PG108,Allied Moulded AMHS075,Allied Moulded HFPU108</t>
  </si>
  <si>
    <t>Allied Moulded AMU1086CCNL ULTRALINE AMU Series JIC Size Fiberglass Enclosure with Clear Covers 10" x 8" x 6" (HxWxD) Approx. Inside Dimensions Nonmetallic Snap Latch Hinged Cover.</t>
  </si>
  <si>
    <t>Allied-Moulded-AMU1086CCNL.jpg</t>
  </si>
  <si>
    <t>Allied Moulded AMU1086CCNLF Enclosure 10" x 8" x 6"</t>
  </si>
  <si>
    <t>Allied Moulded AMU1086CCNLF</t>
  </si>
  <si>
    <t>AMU1086CCNLF</t>
  </si>
  <si>
    <t>Allied Moulded PG108,Allied Moulded HFPU108,Allied Moulded PF108,Allied Moulded AM1086L,Allied Moulded AMPOLEMNT8,Allied Moulded AMU1086CCTF,Allied Moulded AMP1086CCLF,Allied Moulded PLA108,Allied Moulded AMU1086NLF,Allied Moulded AMHS075,Allied Moulded PL108</t>
  </si>
  <si>
    <t>Allied Moulded AMU1086CCNLF ULTRALINE AMU Series JIC Size Fiberglass Enclosure with Clear Covers 10" x 8" x 6" (HxWxD) Approx. Inside Dimensions Nonmetallic Snap Latch Hinged Cover.</t>
  </si>
  <si>
    <t>Allied-Moulded-AMU1086CCNLF.jpg</t>
  </si>
  <si>
    <t>Allied Moulded AMU1086CCT Enclosure 10" x 8" x 6"</t>
  </si>
  <si>
    <t>Allied Moulded AMU1086CCT</t>
  </si>
  <si>
    <t>AMU1086CCT</t>
  </si>
  <si>
    <t>Allied Moulded PL108,Allied Moulded AM1086TW,Allied Moulded PF108,Allied Moulded AMU1086CCH,Allied Moulded PG108,Allied Moulded AMP1086CCL,Allied Moulded AMHS075,Allied Moulded AMU1086T,Allied Moulded HFPU108,Allied Moulded PLA108</t>
  </si>
  <si>
    <t>Allied Moulded AMU1086CCT ULTRALINE AMU Series JIC Size Fiberglass Enclosure with Clear Covers 10" x 8" x 6" (HxWxD) Approx. Inside Dimensions Lockable Twist Latch Hinged Cover.</t>
  </si>
  <si>
    <t>Allied-Moulded-AMU1086CCT.jpg</t>
  </si>
  <si>
    <t>Allied Moulded AMU1086CCTF Enclosure 10" x 8" x 6"</t>
  </si>
  <si>
    <t>Allied Moulded AMU1086CCTF</t>
  </si>
  <si>
    <t>AMU1086CCTF</t>
  </si>
  <si>
    <t>Allied Moulded PG108,Allied Moulded AMP1086CCLF,Allied Moulded PL108,Allied Moulded AMU1086TF,Allied Moulded PLA108,Allied Moulded AMU1086CCLF,Allied Moulded AM1086TW,Allied Moulded AMHS075,Allied Moulded AMPOLEMNT8,Allied Moulded HFPU108,Allied Moulded PF108</t>
  </si>
  <si>
    <t>Allied Moulded AMU1086CCTF ULTRALINE AMU Series JIC Size Fiberglass Enclosure with Clear Covers 10" x 8" x 6" (HxWxD) Approx. Inside Dimensions Lockable Twist Latch Hinged Cover.</t>
  </si>
  <si>
    <t>Allied-Moulded-AMU1086CCTF.jpg</t>
  </si>
  <si>
    <t>Allied Moulded AMP1204CCNL Enclosure 10" x 8" x 6"</t>
  </si>
  <si>
    <t>Allied Moulded AMP1204CCNL</t>
  </si>
  <si>
    <t>AMP1204CCNL</t>
  </si>
  <si>
    <t>Allied Moulded HFPP120,Allied Moulded AMHS075,Allied Moulded PLA120,Allied Moulded PL120,Allied Moulded AMP1204NL,Allied Moulded AMP1204CCNLF</t>
  </si>
  <si>
    <t>Allied Moulded AMP1204CCNL POLYLINE AMP Series JIC Size Polycarbonate Enclosure with Clear Covers 10" x 8" x 6" (HxWxD) Approx. Inside Dimensions Nonmetallic Snap Latch Hinged Cover.</t>
  </si>
  <si>
    <t>Allied-Moulded-AMP1204CCNL.jpg</t>
  </si>
  <si>
    <t>Allied Moulded AMU1084 Enclosure 10" x 8" x 4"</t>
  </si>
  <si>
    <t>Allied Moulded AMU1084</t>
  </si>
  <si>
    <t>AMU1084</t>
  </si>
  <si>
    <t>Allied Moulded AM1084,Allied Moulded AMU1084CC,Allied Moulded AMP1084,Allied Moulded PLA108,Allied Moulded PG108,Allied Moulded AMU1084L,Allied Moulded AMHS075,Allied Moulded PL108,Allied Moulded HFPU108,Allied Moulded PF108</t>
  </si>
  <si>
    <t>Allied Moulded AMU1084 ULTRALINE AMU Series JIC Size Fiberglass Enclosure 10" x 8" x 4" (HxWxD) Approx. Inside Dimensions Lift-Off Screw Cover.</t>
  </si>
  <si>
    <t>Allied-Moulded-AMU1084.jpg</t>
  </si>
  <si>
    <t>Allied Moulded AMU1084F Enclosure 10" x 8" x 4"</t>
  </si>
  <si>
    <t>Allied Moulded AMU1084F</t>
  </si>
  <si>
    <t>AMU1084F</t>
  </si>
  <si>
    <t>Allied Moulded AMPOLEMNT8,Allied Moulded PG108,Allied Moulded AMU1084CCF,Allied Moulded PL108,Allied Moulded AMU1084TF,Allied Moulded AMP1084F,Allied Moulded PLA108,Allied Moulded AM1084,Allied Moulded PF108,Allied Moulded AMHS075,Allied Moulded HFPU108</t>
  </si>
  <si>
    <t>Allied Moulded AMU1084F ULTRALINE AMU Series JIC Size Fiberglass Enclosure 10" x 8" x 4" (HxWxD) Approx. Inside Dimensions Lift-Off Screw Cover.</t>
  </si>
  <si>
    <t>Allied-Moulded-AMU1084F.jpg</t>
  </si>
  <si>
    <t>Allied Moulded AMU1084H Enclosure 10" x 8" x 4"</t>
  </si>
  <si>
    <t>Allied Moulded AMU1084H</t>
  </si>
  <si>
    <t>AMU1084H</t>
  </si>
  <si>
    <t>Allied Moulded AMHS075,Allied Moulded PL108,Allied Moulded PF108,Allied Moulded HFPU108,Allied Moulded AMP1084H,Allied Moulded PLA108,Allied Moulded AM1084H,Allied Moulded PG108,Allied Moulded AMU1084L,Allied Moulded AMU1084CCH</t>
  </si>
  <si>
    <t>Allied Moulded AMU1084H ULTRALINE AMU Series JIC Size Fiberglass Enclosure 10" x 8" x 4" (HxWxD) Approx. Inside Dimensions Hinged Screw Cover.</t>
  </si>
  <si>
    <t>Allied-Moulded-AMU1084H.jpg</t>
  </si>
  <si>
    <t>Allied Moulded AMU1084HF Enclosure 10" x 8" x 4"</t>
  </si>
  <si>
    <t>Allied Moulded AMU1084HF</t>
  </si>
  <si>
    <t>AMU1084HF</t>
  </si>
  <si>
    <t>Allied Moulded AMHS075,Allied Moulded AMPOLEMNT8,Allied Moulded HFPU108,Allied Moulded AMU1084TF,Allied Moulded PL108,Allied Moulded AM1084H,Allied Moulded AMP1084HF,Allied Moulded AMU1084CCHF,Allied Moulded PLA108,Allied Moulded PG108,Allied Moulded PF108</t>
  </si>
  <si>
    <t>Allied Moulded AMU1084HF ULTRALINE AMU Series JIC Size Fiberglass Enclosure 10" x 8" x 4" (HxWxD) Approx. Inside Dimensions Hinged Screw Cover.</t>
  </si>
  <si>
    <t>Allied-Moulded-AMU1084HF.jpg</t>
  </si>
  <si>
    <t>Allied Moulded AMU1084L Enclosure 10" x 8" x 4"</t>
  </si>
  <si>
    <t>Allied Moulded AMU1084L</t>
  </si>
  <si>
    <t>AMU1084L</t>
  </si>
  <si>
    <t>Allied Moulded PG108,Allied Moulded AMP1084L,Allied Moulded HFPU108,Allied Moulded AMHS075,Allied Moulded AMU1084T,Allied Moulded AMU1084CCL,Allied Moulded PL108,Allied Moulded AM1084L,Allied Moulded PLA108,Allied Moulded PF108</t>
  </si>
  <si>
    <t>Allied Moulded AMU1084L ULTRALINE AMU Series JIC Size Fiberglass Enclosure 10" x 8" x 4" (HxWxD) Approx. Inside Dimensions Metal Snap Latch Hinged Cover.</t>
  </si>
  <si>
    <t>Allied-Moulded-AMU1084L.jpg</t>
  </si>
  <si>
    <t>Allied Moulded AMU1084LF Enclosure 10" x 8" x 4"</t>
  </si>
  <si>
    <t>Allied Moulded AMU1084LF</t>
  </si>
  <si>
    <t>AMU1084LF</t>
  </si>
  <si>
    <t>Allied Moulded AMU1084TF,Allied Moulded PLA108,Allied Moulded PG108,Allied Moulded PF108,Allied Moulded HFPU108,Allied Moulded AMU1084CCLF,Allied Moulded AMPOLEMNT8,Allied Moulded PL108,Allied Moulded AMP1084LF,Allied Moulded AMHS075,Allied Moulded AM1084L</t>
  </si>
  <si>
    <t>Allied Moulded AMU1084LF ULTRALINE AMU Series JIC Size Fiberglass Enclosure 10" x 8" x 4" (HxWxD) Approx. Inside Dimensions Metal Snap Latch Hinged Cover.</t>
  </si>
  <si>
    <t>Allied-Moulded-AMU1084LF.jpg</t>
  </si>
  <si>
    <t>Allied Moulded AMU1084NL Enclosure 10" x 8" x 4"</t>
  </si>
  <si>
    <t>Allied Moulded AMU1084NL</t>
  </si>
  <si>
    <t>AMU1084NL</t>
  </si>
  <si>
    <t>Allied Moulded PG108,Allied Moulded AM1084L,Allied Moulded PL108,Allied Moulded PF108,Allied Moulded PLA108,Allied Moulded HFPU108,Allied Moulded AMU1084CCL,Allied Moulded AMHS075,Allied Moulded AMU1084T,Allied Moulded AMP1084L</t>
  </si>
  <si>
    <t>Allied Moulded AMU1084NL ULTRALINE AMU Series JIC Size Fiberglass Enclosure 10" x 8" x 4" (HxWxD) Approx. Inside Dimensions Nonmetallic Snap Latch Hinged Cover.</t>
  </si>
  <si>
    <t>Allied-Moulded-AMU1084NL.jpg</t>
  </si>
  <si>
    <t>Allied Moulded AMU1084NLF Enclosure 10" x 8" x 4"</t>
  </si>
  <si>
    <t>Allied Moulded AMU1084NLF</t>
  </si>
  <si>
    <t>AMU1084NLF</t>
  </si>
  <si>
    <t>Allied Moulded AMHS075,Allied Moulded AMPOLEMNT8,Allied Moulded AM1084L,Allied Moulded PL108,Allied Moulded HFPU108,Allied Moulded PG108,Allied Moulded AMU1084TF,Allied Moulded PLA108,Allied Moulded PF108,Allied Moulded AMP1084LF,Allied Moulded AMU1084CCLF</t>
  </si>
  <si>
    <t>Allied Moulded AMU1084NLF ULTRALINE AMU Series JIC Size Fiberglass Enclosure 10" x 8" x 4" (HxWxD) Approx. Inside Dimensions Nonmetallic Snap Latch Hinged Cover.</t>
  </si>
  <si>
    <t>Allied-Moulded-AMU1084NLF.jpg</t>
  </si>
  <si>
    <t>Allied Moulded AMU1084T Enclosure 10" x 8" x 4"</t>
  </si>
  <si>
    <t>Allied Moulded AMU1084T</t>
  </si>
  <si>
    <t>AMU1084T</t>
  </si>
  <si>
    <t>Allied Moulded HFPU108,Allied Moulded AMP1084L,Allied Moulded AMU1084CCT,Allied Moulded AMHS075,Allied Moulded AM1084T,Allied Moulded PF108,Allied Moulded PL108,Allied Moulded PG108,Allied Moulded AMU1084L,Allied Moulded PLA108</t>
  </si>
  <si>
    <t>Allied Moulded AMU1084T ULTRALINE AMU Series JIC Size Fiberglass Enclosure 10" x 8" x 4" (HxWxD) Approx. Inside Dimensions Lockable Twist Latch Hinged Cover.</t>
  </si>
  <si>
    <t>Allied-Moulded-AMU1084T.jpg</t>
  </si>
  <si>
    <t>Allied Moulded AMU1084TF Enclosure 10" x 8" x 4"</t>
  </si>
  <si>
    <t>Allied Moulded AMU1084TF</t>
  </si>
  <si>
    <t>AMU1084TF</t>
  </si>
  <si>
    <t>Allied Moulded AMU1084CCTF,Allied Moulded PF108,Allied Moulded PG108,Allied Moulded AMP1084LF,Allied Moulded AMPOLEMNT8,Allied Moulded AMU1084LF,Allied Moulded AM1084T,Allied Moulded AMHS075,Allied Moulded PLA108,Allied Moulded HFPU108,Allied Moulded PL108</t>
  </si>
  <si>
    <t>Allied Moulded AMU1084TF ULTRALINE AMU Series JIC Size Fiberglass Enclosure 10" x 8" x 4" (HxWxD) Approx. Inside Dimensions Lockable Twist Latch Hinged Cover.</t>
  </si>
  <si>
    <t>Allied-Moulded-AMU1084TF.jpg</t>
  </si>
  <si>
    <t>Allied Moulded AMU1084W Enclosure 10" x 8" x 4"</t>
  </si>
  <si>
    <t>Allied Moulded AMU1084W</t>
  </si>
  <si>
    <t>AMU1084W</t>
  </si>
  <si>
    <t>Allied Moulded AMHS075,Allied Moulded AMP1084CC,Allied Moulded PG108,Allied Moulded AMU1084LW,Allied Moulded PF108,Allied Moulded AM1084W,Allied Moulded PLA108,Allied Moulded HFPU108,Allied Moulded AMU1084CC,Allied Moulded PL108</t>
  </si>
  <si>
    <t>Allied Moulded AMU1084W ULTRALINE AMU Series JIC Size Fiberglass Enclosure 10" x 8" x 4" (HxWxD) Approx. Inside Dimensions Lift-Off Screw Cover.</t>
  </si>
  <si>
    <t>Allied-Moulded-AMU1084W.jpg</t>
  </si>
  <si>
    <t>Allied Moulded AMU1084WF Enclosure 10" x 8" x 4"</t>
  </si>
  <si>
    <t>Allied Moulded AMU1084WF</t>
  </si>
  <si>
    <t>AMU1084WF</t>
  </si>
  <si>
    <t>Allied Moulded AMU1084TWF,Allied Moulded HFPU108,Allied Moulded PG108,Allied Moulded AMPOLEMNT8,Allied Moulded AMP1084CCF,Allied Moulded AMHS075,Allied Moulded PLA108,Allied Moulded AM1084W,Allied Moulded AMU1084CCF,Allied Moulded PF108,Allied Moulded PL108</t>
  </si>
  <si>
    <t>Allied Moulded AMU1084WF ULTRALINE AMU Series JIC Size Fiberglass Enclosure 10" x 8" x 4" (HxWxD) Approx. Inside Dimensions Lift-Off Screw Cover.</t>
  </si>
  <si>
    <t>Allied-Moulded-AMU1084WF.jpg</t>
  </si>
  <si>
    <t>Allied Moulded AMU1084HW Enclosure 10" x 8" x 4"</t>
  </si>
  <si>
    <t>Allied Moulded AMU1084HW</t>
  </si>
  <si>
    <t>AMU1084HW</t>
  </si>
  <si>
    <t>Allied Moulded PF108,Allied Moulded PLA108,Allied Moulded PL108,Allied Moulded AMU1084CCH,Allied Moulded PG108,Allied Moulded AMHS075,Allied Moulded AMP1084CCH,Allied Moulded AM1084H,Allied Moulded AMU1084LW,Allied Moulded HFPU108</t>
  </si>
  <si>
    <t>Allied Moulded AMU1084HW ULTRALINE AMU Series JIC Size Fiberglass Enclosure 10" x 8" x 4" (HxWxD) Approx. Inside Dimensions Hinged Screw Cover.</t>
  </si>
  <si>
    <t>Allied-Moulded-AMU1084HW.jpg</t>
  </si>
  <si>
    <t>Allied Moulded AMU1084HWF Enclosure 10" x 8" x 4"</t>
  </si>
  <si>
    <t>Allied Moulded AMU1084HWF</t>
  </si>
  <si>
    <t>AMU1084HWF</t>
  </si>
  <si>
    <t>Allied Moulded PF108,Allied Moulded AMU1084TWF,Allied Moulded AMU1084CCHF,Allied Moulded AMHS075,Allied Moulded PLA108,Allied Moulded AMP1084CCHF,Allied Moulded PG108,Allied Moulded HFPU108,Allied Moulded AM1084HW,Allied Moulded AMPOLEMNT8,Allied Moulded PL108</t>
  </si>
  <si>
    <t>Allied Moulded AMU1084HWF ULTRALINE AMU Series JIC Size Fiberglass Enclosure 10" x 8" x 4" (HxWxD) Approx. Inside Dimensions Hinged Screw Cover.</t>
  </si>
  <si>
    <t>Allied-Moulded-AMU1084HWF.jpg</t>
  </si>
  <si>
    <t>Allied Moulded AMU1084LW Enclosure 10" x 8" x 4"</t>
  </si>
  <si>
    <t>Allied Moulded AMU1084LW</t>
  </si>
  <si>
    <t>AMU1084LW</t>
  </si>
  <si>
    <t>Allied Moulded PF108,Allied Moulded PL108,Allied Moulded PG108,Allied Moulded AMU1084CCL,Allied Moulded PLA108,Allied Moulded AM1084LW,Allied Moulded AMP1084CCL,Allied Moulded AMU1084TW,Allied Moulded AMHS075,Allied Moulded HFPU108</t>
  </si>
  <si>
    <t>Allied Moulded AMU1084LW ULTRALINE AMU Series JIC Size Fiberglass Enclosure 10" x 8" x 4" (HxWxD) Approx. Inside Dimensions Metal Snap Latch Hinged Cover.</t>
  </si>
  <si>
    <t>Allied-Moulded-AMU1084LW.jpg</t>
  </si>
  <si>
    <t>Allied Moulded AMU1084LWF Enclosure 10" x 8" x 4"</t>
  </si>
  <si>
    <t>Allied Moulded AMU1084LWF</t>
  </si>
  <si>
    <t>AMU1084LWF</t>
  </si>
  <si>
    <t>Allied Moulded HFPU108,Allied Moulded AMPOLEMNT8,Allied Moulded PLA108,Allied Moulded AMHS075,Allied Moulded AM1084LW,Allied Moulded AMU1084CCLF,Allied Moulded PL108,Allied Moulded AMU1084TWF,Allied Moulded PF108,Allied Moulded AMP1084CCLF,Allied Moulded PG108</t>
  </si>
  <si>
    <t>Allied Moulded AMU1084LWF ULTRALINE AMU Series JIC Size Fiberglass Enclosure 10" x 8" x 4" (HxWxD) Approx. Inside Dimensions Metal Snap Latch Hinged Cover.</t>
  </si>
  <si>
    <t>Allied-Moulded-AMU1084LWF.jpg</t>
  </si>
  <si>
    <t>Allied Moulded AMU1084NLW Enclosure 10" x 8" x 4"</t>
  </si>
  <si>
    <t>Allied Moulded AMU1084NLW</t>
  </si>
  <si>
    <t>AMU1084NLW</t>
  </si>
  <si>
    <t>Allied Moulded AMU1084CCL,Allied Moulded PL108,Allied Moulded HFPU108,Allied Moulded AMHS075,Allied Moulded PF108,Allied Moulded PG108,Allied Moulded AM1084LW,Allied Moulded AMP1084CCL,Allied Moulded PLA108,Allied Moulded AMU1084TW</t>
  </si>
  <si>
    <t>Allied Moulded AMU1084NLW ULTRALINE AMU Series JIC Size Fiberglass Enclosure with Windows 10" x 8" x 4" (HxWxD) Approx. Inside Dimensions Nonmetallic Snap Latch Hinged Cover.</t>
  </si>
  <si>
    <t>Allied-Moulded-AMU1084NLW.jpg</t>
  </si>
  <si>
    <t>Allied Moulded AMU1084NLWF Enclosure 10" x 8" x 4"</t>
  </si>
  <si>
    <t>Allied Moulded AMU1084NLWF</t>
  </si>
  <si>
    <t>AMU1084NLWF</t>
  </si>
  <si>
    <t>Allied Moulded AM1084LW,Allied Moulded PG108,Allied Moulded PLA108,Allied Moulded AMHS075,Allied Moulded AMP1084CCLF,Allied Moulded PF108,Allied Moulded PL108,Allied Moulded HFPU108,Allied Moulded AMU1084CCLF,Allied Moulded AMU1084TWF,Allied Moulded AMPOLEMNT8</t>
  </si>
  <si>
    <t>Allied Moulded AMU1084NLWF ULTRALINE AMU Series JIC Size Fiberglass Enclosure with Windows 10" x 8" x 4" (HxWxD) Approx. Inside Dimensions Nonmetallic Snap Latch Hinged Cover.</t>
  </si>
  <si>
    <t>Allied-Moulded-AMU1084NLWF.jpg</t>
  </si>
  <si>
    <t>Allied Moulded AMU1084TW Enclosure 10" x 8" x 4"</t>
  </si>
  <si>
    <t>Allied Moulded AMU1084TW</t>
  </si>
  <si>
    <t>AMU1084TW</t>
  </si>
  <si>
    <t>Allied Moulded HFPU108,Allied Moulded PF108,Allied Moulded AMP1084CCL,Allied Moulded AMU1084LW,Allied Moulded AMHS075,Allied Moulded PG108,Allied Moulded PL108,Allied Moulded AM1084TW,Allied Moulded PLA108,Allied Moulded AMU1084CCT</t>
  </si>
  <si>
    <t>Allied Moulded AMU1084TW ULTRALINE AMU Series JIC Size Fiberglass Enclosure with Windows 10" x 8" x 4" (HxWxD) Approx. Inside Dimensions Lockable Twist Latch Hinged Cover.</t>
  </si>
  <si>
    <t>Allied-Moulded-AMU1084TW.jpg</t>
  </si>
  <si>
    <t>Allied Moulded AMU1084TWF Enclosure 10" x 8" x 4"</t>
  </si>
  <si>
    <t>Allied Moulded AMU1084TWF</t>
  </si>
  <si>
    <t>AMU1084TWF</t>
  </si>
  <si>
    <t>Allied Moulded AM1084TW,Allied Moulded HFPU108,Allied Moulded PG108,Allied Moulded PLA108,Allied Moulded PL108,Allied Moulded AMU1084CCTF,Allied Moulded AMP1084CCLF,Allied Moulded AMHS075,Allied Moulded AMU1084LWF,Allied Moulded AMPOLEMNT8,Allied Moulded PF108</t>
  </si>
  <si>
    <t>Allied Moulded AMU1084TWF ULTRALINE AMU Series JIC Size Fiberglass Enclosure with Windows 10" x 8" x 4" (HxWxD) Approx. Inside Dimensions Lockable Twist Latch Hinged Cover.</t>
  </si>
  <si>
    <t>Allied-Moulded-AMU1084TWF.jpg</t>
  </si>
  <si>
    <t>Allied Moulded AMU1084CC Enclosure 10" x 8" x 4"</t>
  </si>
  <si>
    <t>Allied Moulded AMU1084CC</t>
  </si>
  <si>
    <t>AMU1084CC</t>
  </si>
  <si>
    <t>Allied Moulded PL108,Allied Moulded AMP1084CC,Allied Moulded HFPU108,Allied Moulded PG108,Allied Moulded AMHS075,Allied Moulded AMU1084,Allied Moulded PLA108,Allied Moulded AMU1084CCT,Allied Moulded PF108,Allied Moulded AM1084W</t>
  </si>
  <si>
    <t>Allied Moulded AMU1084CC ULTRALINE AMU Series JIC Size Fiberglass Enclosure with Clear Covers 10" x 8" x 4" (HxWxD) Approx. Inside Dimensions Lift-Off Screw Cover.</t>
  </si>
  <si>
    <t>Allied-Moulded-AMU1084CC.jpg</t>
  </si>
  <si>
    <t>Allied Moulded AMU1084CCF Enclosure 10" x 8" x 4"</t>
  </si>
  <si>
    <t>Allied Moulded AMU1084CCF</t>
  </si>
  <si>
    <t>AMU1084CCF</t>
  </si>
  <si>
    <t>Allied Moulded AM1084W,Allied Moulded PL108,Allied Moulded HFPU108,Allied Moulded PLA108,Allied Moulded AMP1084CCF,Allied Moulded PG108,Allied Moulded AMU1084CCLF,Allied Moulded AMU1084F,Allied Moulded AMPOLEMNT8,Allied Moulded AMHS075,Allied Moulded PF108</t>
  </si>
  <si>
    <t>Allied Moulded AMU1084CCF ULTRALINE AMU Series JIC Size Fiberglass Enclosure with Clear Covers 10" x 8" x 4" (HxWxD) Approx. Inside Dimensions Lift-Off Screw Cover.</t>
  </si>
  <si>
    <t>Allied-Moulded-AMU1084CCF.jpg</t>
  </si>
  <si>
    <t>Allied Moulded AMU1084CCH Enclosure 10" x 8" x 4"</t>
  </si>
  <si>
    <t>Allied Moulded AMU1084CCH</t>
  </si>
  <si>
    <t>AMU1084CCH</t>
  </si>
  <si>
    <t>Allied Moulded AMU1084CCT,Allied Moulded AMHS075,Allied Moulded PG108,Allied Moulded AMU1084H,Allied Moulded AMP1084CCH,Allied Moulded AM1084HW,Allied Moulded HFPU108,Allied Moulded PF108,Allied Moulded PLA108,Allied Moulded PL108</t>
  </si>
  <si>
    <t>Allied Moulded AMU1084CCH ULTRALINE AMU Series JIC Size Fiberglass Enclosure with Clear Covers 10" x 8" x 4" (HxWxD) Approx. Inside Dimensions Hinged Screw Cover.</t>
  </si>
  <si>
    <t>Allied-Moulded-AMU1084CCH.jpg</t>
  </si>
  <si>
    <t>Allied Moulded AMU1084CCHF Enclosure 10" x 8" x 4"</t>
  </si>
  <si>
    <t>Allied Moulded AMU1084CCHF</t>
  </si>
  <si>
    <t>AMU1084CCHF</t>
  </si>
  <si>
    <t>Allied Moulded HFPU108,Allied Moulded AM1084HW,Allied Moulded PG108,Allied Moulded AMU1084HF,Allied Moulded PF108,Allied Moulded PLA108,Allied Moulded AMP1084CCHF,Allied Moulded AMPOLEMNT8,Allied Moulded AMU1084CCLF,Allied Moulded AMHS075,Allied Moulded PL108</t>
  </si>
  <si>
    <t>Allied Moulded AMU1084CCHF ULTRALINE AMU Series JIC Size Fiberglass Enclosure with Clear Covers 10" x 8" x 4" (HxWxD) Approx. Inside Dimensions Hinged Screw Cover.</t>
  </si>
  <si>
    <t>Allied-Moulded-AMU1084CCHF.jpg</t>
  </si>
  <si>
    <t>Allied Moulded AMU1084CCL Enclosure 10" x 8" x 4"</t>
  </si>
  <si>
    <t>Allied Moulded AMU1084CCL</t>
  </si>
  <si>
    <t>AMU1084CCL</t>
  </si>
  <si>
    <t>Allied Moulded PLA108,Allied Moulded AMU1084CCT,Allied Moulded HFPU108,Allied Moulded AMP1084CCL,Allied Moulded AMU1084L,Allied Moulded PG108,Allied Moulded PL108,Allied Moulded AMHS075,Allied Moulded PF108,Allied Moulded AM1084LW</t>
  </si>
  <si>
    <t>Allied Moulded AMU1084CCL ULTRALINE AMU Series JIC Size Fiberglass Enclosure with Clear Covers 10" x 8" x 4" (HxWxD) Approx. Inside Dimensions Metal Snap Latch Hinged Cover.</t>
  </si>
  <si>
    <t>Allied-Moulded-AMU1084CCL.jpg</t>
  </si>
  <si>
    <t>Allied Moulded AMU1084CCLF Enclosure 10" x 8" x 4"</t>
  </si>
  <si>
    <t>Allied Moulded AMU1084CCLF</t>
  </si>
  <si>
    <t>AMU1084CCLF</t>
  </si>
  <si>
    <t>Allied Moulded PF108,Allied Moulded AMPOLEMNT8,Allied Moulded HFPU108,Allied Moulded AMP1084CCLF,Allied Moulded AM1084L,Allied Moulded AMHS075,Allied Moulded PG108,Allied Moulded PLA108,Allied Moulded PL108,Allied Moulded AMU1084LF,Allied Moulded AMU1084CCTF</t>
  </si>
  <si>
    <t>Allied Moulded AMU1084CCLF ULTRALINE AMU Series JIC Size Fiberglass Enclosure with Clear Covers 10" x 8" x 4" (HxWxD) Approx. Inside Dimensions Metal Snap Latch Hinged Cover.</t>
  </si>
  <si>
    <t>Allied-Moulded-AMU1084CCLF.jpg</t>
  </si>
  <si>
    <t>Allied Moulded AMU1084CCNL Enclosure 10" x 8" x 4"</t>
  </si>
  <si>
    <t>Allied Moulded AMU1084CCNL</t>
  </si>
  <si>
    <t>AMU1084CCNL</t>
  </si>
  <si>
    <t>Allied Moulded PLA108,Allied Moulded AMHS075,Allied Moulded PG108,Allied Moulded PL108,Allied Moulded AM1084LW,Allied Moulded PF108,Allied Moulded HFPU108,Allied Moulded AMU1084CCT,Allied Moulded AMU1084L,Allied Moulded AMP1084CCL</t>
  </si>
  <si>
    <t>Allied Moulded AMU1084CCNL ULTRALINE AMU Series JIC Size Fiberglass Enclosure with Clear Covers 10" x 8" x 4" (HxWxD) Approx. Inside Dimensions Nonmetallic Snap Latch Hinged Cover.</t>
  </si>
  <si>
    <t>Allied-Moulded-AMU1084CCNL.jpg</t>
  </si>
  <si>
    <t>Allied Moulded AMU1084CCNLF Enclosure 10" x 8" x 4"</t>
  </si>
  <si>
    <t>Allied Moulded AMU1084CCNLF</t>
  </si>
  <si>
    <t>AMU1084CCNLF</t>
  </si>
  <si>
    <t>Allied Moulded AMP1084CCLF,Allied Moulded HFPU108,Allied Moulded AMPOLEMNT8,Allied Moulded PL108,Allied Moulded AMHS075,Allied Moulded AM1084L,Allied Moulded PF108,Allied Moulded AMU1084CCTF,Allied Moulded PLA108,Allied Moulded PG108,Allied Moulded AMU1084LF</t>
  </si>
  <si>
    <t>Allied Moulded AMU1084CCNLF ULTRALINE AMU Series JIC Size Fiberglass Enclosure with Clear Covers 10" x 8" x 4" (HxWxD) Approx. Inside Dimensions Nonmetallic Snap Latch Hinged Cover.</t>
  </si>
  <si>
    <t>Allied-Moulded-AMU1084CCNLF.jpg</t>
  </si>
  <si>
    <t>Allied Moulded AMU1084CCT Enclosure 10" x 8" x 4"</t>
  </si>
  <si>
    <t>Allied Moulded AMU1084CCT</t>
  </si>
  <si>
    <t>AMU1084CCT</t>
  </si>
  <si>
    <t>Allied Moulded PLA108,Allied Moulded AMHS075,Allied Moulded AM1084T,Allied Moulded PF108,Allied Moulded AMU1084T,Allied Moulded AMP1084CCL,Allied Moulded HFPU108,Allied Moulded PL108,Allied Moulded AMU1084CCH,Allied Moulded PG108</t>
  </si>
  <si>
    <t>Allied Moulded AMU1084CCT ULTRALINE AMU Series JIC Size Fiberglass Enclosure with Clear Covers 10" x 8" x 4" (HxWxD) Approx. Inside Dimensions Lockable Twist Latch Hinged Cover.</t>
  </si>
  <si>
    <t>Allied-Moulded-AMU1084CCT.jpg</t>
  </si>
  <si>
    <t>Allied Moulded AMU1084CCTF Enclosure 10" x 8" x 4"</t>
  </si>
  <si>
    <t>Allied Moulded AMU1084CCTF</t>
  </si>
  <si>
    <t>AMU1084CCTF</t>
  </si>
  <si>
    <t>Allied Moulded AMU1084CCLF,Allied Moulded AMPOLEMNT8,Allied Moulded AMP1084CCLF,Allied Moulded AM1084T,Allied Moulded AMHS075,Allied Moulded PLA108,Allied Moulded AMU1084TF,Allied Moulded HFPU108,Allied Moulded PL108,Allied Moulded PG108,Allied Moulded PF108</t>
  </si>
  <si>
    <t>Allied Moulded AMU1084CCTF ULTRALINE AMU Series JIC Size Fiberglass Enclosure with Clear Covers 10" x 8" x 4" (HxWxD) Approx. Inside Dimensions Lockable Twist Latch Hinged Cover.</t>
  </si>
  <si>
    <t>Allied-Moulded-AMU1084CCTF.jpg</t>
  </si>
  <si>
    <t>Allied Moulded AMP1086CC Enclosure 10" x 8" x 6"</t>
  </si>
  <si>
    <t>Allied Moulded AMP1086CC</t>
  </si>
  <si>
    <t>AMP1086CC</t>
  </si>
  <si>
    <t>Allied Moulded AM1086W,Allied Moulded AMP1086,Allied Moulded PLA108,Allied Moulded AMHS075,Allied Moulded PLPVC108,Allied Moulded PL108,Allied Moulded HFPP108,Allied Moulded AMP1086CCF</t>
  </si>
  <si>
    <t>Allied Moulded AMP1086CC POLYLINE AMP Series JIC Size Polycarbonate Enclosure with Clear Covers 10" x 8" x 6" (HxWxD) Approx. Inside Dimensions Lift-Off Screw Cover.</t>
  </si>
  <si>
    <t>Allied-Moulded-AMP1086CC.jpg</t>
  </si>
  <si>
    <t>Allied Moulded AMP1086CCF Enclosure 10" x 8" x 6"</t>
  </si>
  <si>
    <t>Allied Moulded AMP1086CCF</t>
  </si>
  <si>
    <t>AMP1086CCF</t>
  </si>
  <si>
    <t>Allied Moulded HFPP108,Allied Moulded AMHS075,Allied Moulded PLPVC108,Allied Moulded AMP1086F,Allied Moulded AMPOLEMNT8,Allied Moulded AMP1086CC,Allied Moulded PLA108,Allied Moulded AM1086W,Allied Moulded PL108</t>
  </si>
  <si>
    <t>Allied Moulded AMP1086CCF POLYLINE AMP Series JIC Size Polycarbonate Enclosure with Clear Covers 10" x 8" x 6" (HxWxD) Approx. Inside Dimensions Lift-Off Screw Cover.</t>
  </si>
  <si>
    <t>Allied-Moulded-AMP1086CCF.jpg</t>
  </si>
  <si>
    <t>Allied Moulded AMP1086CCH Enclosure 10" x 8" x 6"</t>
  </si>
  <si>
    <t>Allied Moulded AMP1086CCH</t>
  </si>
  <si>
    <t>AMP1086CCH</t>
  </si>
  <si>
    <t>Allied Moulded PLPVC108,Allied Moulded AMP1086CCHF,Allied Moulded AM1086HW,Allied Moulded AMHS075,Allied Moulded HFPP108,Allied Moulded PLA108,Allied Moulded PL108,Allied Moulded AMP1086H</t>
  </si>
  <si>
    <t>Allied Moulded AMP1086CCH POLYLINE AMP Series JIC Size Polycarbonate Enclosure with Clear Covers 10" x 8" x 6" (HxWxD) Approx. Inside Dimensions Hinged Screw Cover.</t>
  </si>
  <si>
    <t>Allied-Moulded-AMP1086CCH.jpg</t>
  </si>
  <si>
    <t>Allied Moulded AMP1086CCHF Enclosure 10" x 8" x 6"</t>
  </si>
  <si>
    <t>Allied Moulded AMP1086CCHF</t>
  </si>
  <si>
    <t>AMP1086CCHF</t>
  </si>
  <si>
    <t>Allied Moulded PL108,Allied Moulded AMP1086HF,Allied Moulded AMHS075,Allied Moulded PLPVC108,Allied Moulded AMPOLEMNT8,Allied Moulded AMP1086CCH,Allied Moulded PLA108,Allied Moulded HFPP108,Allied Moulded AM1086H</t>
  </si>
  <si>
    <t>Allied Moulded AMP1086CCHF POLYLINE AMP Series JIC Size Polycarbonate Enclosure with Clear Covers 10" x 8" x 6" (HxWxD) Approx. Inside Dimensions Hinged Screw Cover.</t>
  </si>
  <si>
    <t>Allied-Moulded-AMP1086CCHF.jpg</t>
  </si>
  <si>
    <t>Allied Moulded AMP1086CCL Enclosure 10" x 8" x 6"</t>
  </si>
  <si>
    <t>Allied Moulded AMP1086CCL</t>
  </si>
  <si>
    <t>AMP1086CCL</t>
  </si>
  <si>
    <t>Allied Moulded AMHS075,Allied Moulded AM1086LW,Allied Moulded PLA108,Allied Moulded PL108,Allied Moulded PLPVC108,Allied Moulded AMP1086L,Allied Moulded HFPP108,Allied Moulded AMP1086CCLF</t>
  </si>
  <si>
    <t>Allied Moulded AMP1086CCL POLYLINE AMP Series JIC Size Polycarbonate Enclosure with Clear Covers 10" x 8" x 6" (HxWxD) Approx. Inside Dimensions Stainless Steel Lockable Snap Latch Hinged Cover.</t>
  </si>
  <si>
    <t>Allied-Moulded-AMP1086CCL.jpg</t>
  </si>
  <si>
    <t>Allied Moulded AMP1086CCLF Enclosure 10" x 8" x 6"</t>
  </si>
  <si>
    <t>Allied Moulded AMP1086CCLF</t>
  </si>
  <si>
    <t>AMP1086CCLF</t>
  </si>
  <si>
    <t>Allied Moulded PL108,Allied Moulded AM1086RLW,Allied Moulded HFPP108,Allied Moulded AMHS075,Allied Moulded AMP1086LF,Allied Moulded PLPVC108,Allied Moulded PLA108,Allied Moulded AMPOLEMNT8,Allied Moulded AMP1086CCL</t>
  </si>
  <si>
    <t>Allied Moulded AMP1086CCLF POLYLINE AMP Series JIC Size Polycarbonate Enclosure with Clear Covers 10" x 8" x 6" (HxWxD) Approx. Inside Dimensions Stainless Steel Lockable Snap Latch Hinged Cover.</t>
  </si>
  <si>
    <t>Allied-Moulded-AMP1086CCLF.jpg</t>
  </si>
  <si>
    <t>Allied Moulded AMP1086CCNL Enclosure 10" x 8" x 4"</t>
  </si>
  <si>
    <t>Allied Moulded AMP1086CCNL</t>
  </si>
  <si>
    <t>AMP1086CCNL</t>
  </si>
  <si>
    <t>Allied Moulded AM1086LW,Allied Moulded AMHS075,Allied Moulded AMP1086CCNLF,Allied Moulded HFPP108,Allied Moulded PL108,Allied Moulded PLPVC108,Allied Moulded PLA108,Allied Moulded AMP1086NL</t>
  </si>
  <si>
    <t>Allied Moulded AMP1086CCNL POLYLINE AMP Series JIC Size Polycarbonate Enclosure with Clear Covers 10" x 8" x 4" (HxWxD) Approx. Inside Dimensions Nonmetallic Snap Latch Hinged Cover.</t>
  </si>
  <si>
    <t>Allied-Moulded-AMP1086CCNL.jpg</t>
  </si>
  <si>
    <t>Allied Moulded AMP1086CCNLF Enclosure 10" x 8" x 6"</t>
  </si>
  <si>
    <t>Allied Moulded AMP1086CCNLF</t>
  </si>
  <si>
    <t>AMP1086CCNLF</t>
  </si>
  <si>
    <t>Allied Moulded HFPP108,Allied Moulded AMPOLEMNT8,Allied Moulded PLPVC108,Allied Moulded AMP1086NLF,Allied Moulded PLA108,Allied Moulded PL108,Allied Moulded AM1086LW,Allied Moulded AMP1086CCNL,Allied Moulded AMHS075</t>
  </si>
  <si>
    <t>Allied Moulded AMP1086CCNLF POLYLINE AMP Series JIC Size Polycarbonate Enclosure with Clear Covers 10" x 8" x 6" (HxWxD) Approx. Inside Dimensions Nonmetallic Snap Latch Hinged Cover.</t>
  </si>
  <si>
    <t>Allied-Moulded-AMP1086CCNLF.jpg</t>
  </si>
  <si>
    <t>Allied Moulded AMP1086 Enclosure 10" x 8" x 6"</t>
  </si>
  <si>
    <t>Allied Moulded AMP1086</t>
  </si>
  <si>
    <t>AMP1086</t>
  </si>
  <si>
    <t>Allied Moulded PLA108,Allied Moulded AMHS075,Allied Moulded AMP1086F,Allied Moulded PL108,Allied Moulded AMP1086CC,Allied Moulded AM1086,Allied Moulded HFPP108,Allied Moulded PLPVC108</t>
  </si>
  <si>
    <t>Allied Moulded AMP1086 POLYLINE AMP Series JIC Size Polycarbonate 10" x 8" x 6" (HxWxD) Approx. Inside Dimensions Lift-Off Screw Cover.</t>
  </si>
  <si>
    <t>Allied-Moulded-AMP1086.jpg</t>
  </si>
  <si>
    <t>Allied Moulded AMP1086F Enclosure 10" x 8" x 6"</t>
  </si>
  <si>
    <t>Allied Moulded AMP1086F</t>
  </si>
  <si>
    <t>AMP1086F</t>
  </si>
  <si>
    <t>Allied Moulded AMPOLEMNT8,Allied Moulded HFPP108,Allied Moulded PL108,Allied Moulded AMP1086,Allied Moulded AM1086,Allied Moulded PLA108,Allied Moulded AMHS075,Allied Moulded PLPVC108,Allied Moulded AMP1086CCF</t>
  </si>
  <si>
    <t>Allied Moulded AMP1086F POLYLINE AMP Series JIC Size Polycarbonate 10" x 8" x 6" (HxWxD) Approx. Inside Dimensions Lift-Off Screw Cover.</t>
  </si>
  <si>
    <t>Allied-Moulded-AMP1086F.jpg</t>
  </si>
  <si>
    <t>Allied Moulded AMP1086H Enclosure 10" x 8" x 6"</t>
  </si>
  <si>
    <t>Allied Moulded AMP1086H</t>
  </si>
  <si>
    <t>AMP1086H</t>
  </si>
  <si>
    <t>Allied Moulded PLA108,Allied Moulded PLPVC108,Allied Moulded PL108,Allied Moulded AMHS075,Allied Moulded AMP1086HF,Allied Moulded HFPP108,Allied Moulded AM1086H,Allied Moulded AMP1086CCH</t>
  </si>
  <si>
    <t>Allied Moulded AMP1086H POLYLINE AMP Series JIC Size Polycarbonate 10" x 8" x 6" (HxWxD) Approx. Inside Dimensions Hinged Screw Cover.</t>
  </si>
  <si>
    <t>Allied-Moulded-AMP1086H.jpg</t>
  </si>
  <si>
    <t>Allied Moulded AMP1086HF Enclosure 10" x 8" x 6"</t>
  </si>
  <si>
    <t>Allied Moulded AMP1086HF</t>
  </si>
  <si>
    <t>AMP1086HF</t>
  </si>
  <si>
    <t>Allied Moulded PL108,Allied Moulded AM1086H,Allied Moulded PLPVC108,Allied Moulded AMP1086F,Allied Moulded AMPOLEMNT8,Allied Moulded AMP1086CCHF,Allied Moulded PLA108,Allied Moulded AMHS075,Allied Moulded HFPP108</t>
  </si>
  <si>
    <t>Allied Moulded AMP1086HF POLYLINE AMP Series JIC Size Polycarbonate 10" x 8" x 6" (HxWxD) Approx. Inside Dimensions Hinged Screw Cover.</t>
  </si>
  <si>
    <t>Allied-Moulded-AMP1086HF.jpg</t>
  </si>
  <si>
    <t>Allied Moulded AMP1086L Enclosure 10" x 8" x 6"</t>
  </si>
  <si>
    <t>Allied Moulded AMP1086L</t>
  </si>
  <si>
    <t>AMP1086L</t>
  </si>
  <si>
    <t>Allied Moulded PLPVC108,Allied Moulded AM1086L,Allied Moulded PL108,Allied Moulded HFPP108,Allied Moulded AMP1086CCL,Allied Moulded AMP1086LF,Allied Moulded PLA108,Allied Moulded AMHS075</t>
  </si>
  <si>
    <t>Allied Moulded AMP1086L POLYLINE AMP Series JIC Size Polycarbonate 10" x 8" x 6" (HxWxD) Approx. Inside Dimensions Stainless Steel Lockable Snap Latch Hinged Cover.</t>
  </si>
  <si>
    <t>Allied-Moulded-AMP1086L.jpg</t>
  </si>
  <si>
    <t>Allied Moulded AMP1086LF Enclosure 10" x 8" x 6"</t>
  </si>
  <si>
    <t>Allied Moulded AMP1086LF</t>
  </si>
  <si>
    <t>AMP1086LF</t>
  </si>
  <si>
    <t>Allied Moulded PLPVC108,Allied Moulded AMPOLEMNT8,Allied Moulded PLA108,Allied Moulded PL108,Allied Moulded AM1086L,Allied Moulded HFPP108,Allied Moulded AMP1086CCLF,Allied Moulded AMP1086L,Allied Moulded AMHS075</t>
  </si>
  <si>
    <t>Allied Moulded AMP1086LF POLYLINE AMP Series JIC Size Polycarbonate 10" x 8" x 6" (HxWxD) Approx. Inside Dimensions Stainless Steel Lockable Snap Latch Hinged Cover.</t>
  </si>
  <si>
    <t>Allied-Moulded-AMP1086LF.jpg</t>
  </si>
  <si>
    <t>Allied Moulded AMP1086NL Enclosure 10" x 8" x 6"</t>
  </si>
  <si>
    <t>Allied Moulded AMP1086NL</t>
  </si>
  <si>
    <t>AMP1086NL</t>
  </si>
  <si>
    <t>Allied Moulded HFPP108,Allied Moulded AMP1086CCNL,Allied Moulded AMHS075,Allied Moulded AM1086L,Allied Moulded PL108,Allied Moulded AMP1086NLF,Allied Moulded PLA108,Allied Moulded PLPVC108</t>
  </si>
  <si>
    <t>Allied Moulded AMP1086NL POLYLINE AMP Series JIC Size Polycarbonate 10" x 8" x 6" (HxWxD) Approx. Inside Dimensions Nonmetallic Snap Latch Hinged Cover.</t>
  </si>
  <si>
    <t>Allied-Moulded-AMP1086NL.jpg</t>
  </si>
  <si>
    <t>Allied Moulded AMP1086NLF Enclosure 10" x 8" x 6"</t>
  </si>
  <si>
    <t>Allied Moulded AMP1086NLF</t>
  </si>
  <si>
    <t>AMP1086NLF</t>
  </si>
  <si>
    <t>Allied Moulded PLA108,Allied Moulded AMP1086NL,Allied Moulded AMP1086CCNLF,Allied Moulded AMHS075,Allied Moulded PLPVC108,Allied Moulded HFPP108,Allied Moulded AMPOLEMNT8,Allied Moulded PL108,Allied Moulded AM1086L</t>
  </si>
  <si>
    <t>Allied Moulded AMP1086NLF POLYLINE AMP Series JIC Size Polycarbonate 10" x 8" x 6" (HxWxD) Approx. Inside Dimensions Nonmetallic Snap Latch Hinged Cover.</t>
  </si>
  <si>
    <t>Allied-Moulded-AMP1086NLF.jpg</t>
  </si>
  <si>
    <t>Allied Moulded AMP1082CC Enclosure 10" x 8" x 2"</t>
  </si>
  <si>
    <t>Allied Moulded AMP1082CC</t>
  </si>
  <si>
    <t>AMP1082CC</t>
  </si>
  <si>
    <t>Allied Moulded PLA108,Allied Moulded PL108,Allied Moulded PLPVC108,Allied Moulded AMHS075,Allied Moulded HFPP108</t>
  </si>
  <si>
    <t>Allied Moulded AMP1082CC POLYLINE AMP Series JIC Size Polycarbonate Enclosure with Clear Covers 10" x 8" x 2" (HxWxD) Approx. Inside Dimensions Lift-Off Screw Cover.</t>
  </si>
  <si>
    <t>Allied-Moulded-AMP1082CC.jpg</t>
  </si>
  <si>
    <t>2"</t>
  </si>
  <si>
    <t>Allied Moulded AMP1082CCF Enclosure 10" x 8" x 2"</t>
  </si>
  <si>
    <t>Allied Moulded AMP1082CCF</t>
  </si>
  <si>
    <t>AMP1082CCF</t>
  </si>
  <si>
    <t>Allied Moulded AMHS075,Allied Moulded PLA108,Allied Moulded PL108,Allied Moulded HFPP108,Allied Moulded PLPVC108,Allied Moulded AMPOLEMNT8</t>
  </si>
  <si>
    <t>Allied Moulded AMP1082CCF POLYLINE AMP Series JIC Size Polycarbonate Enclosure with Clear Covers 10" x 8" x 2" (HxWxD) Approx. Inside Dimensions Lift-Off Screw Cover.</t>
  </si>
  <si>
    <t>Allied-Moulded-AMP1082CCF.jpg</t>
  </si>
  <si>
    <t>Allied Moulded AMP1084CC Enclosure 10" x 8" x 4"</t>
  </si>
  <si>
    <t>Allied Moulded AMP1084CC</t>
  </si>
  <si>
    <t>AMP1084CC</t>
  </si>
  <si>
    <t>Allied Moulded PL108,Allied Moulded HFPP108,Allied Moulded AMU1084CC,Allied Moulded AMP1084,Allied Moulded AM1084W,Allied Moulded AMP1084CCNL,Allied Moulded AMHS075,Allied Moulded PLA108,Allied Moulded PLPVC108</t>
  </si>
  <si>
    <t>Allied Moulded AMP1084CC POLYLINE AMP Series JIC Size Polycarbonate Enclosure with Clear Covers 10" x 8" x 4" (HxWxD) Approx. Inside Dimensions Lift-Off Screw Cover.</t>
  </si>
  <si>
    <t>Allied-Moulded-AMP1084CC.jpg</t>
  </si>
  <si>
    <t>Allied Moulded AMP1084CCF Enclosure 10" x 8" x 4"</t>
  </si>
  <si>
    <t>Allied Moulded AMP1084CCF</t>
  </si>
  <si>
    <t>AMP1084CCF</t>
  </si>
  <si>
    <t>Allied Moulded AMP1084F,Allied Moulded AMU1084CCF,Allied Moulded HFPP108,Allied Moulded PL108,Allied Moulded AM1084W,Allied Moulded PLA108,Allied Moulded PLPVC108,Allied Moulded AMHS075,Allied Moulded AMPOLEMNT8,Allied Moulded AMP1084CCLF</t>
  </si>
  <si>
    <t>Allied Moulded AMP1084CCF POLYLINE AMP Series JIC Size Polycarbonate Enclosure with Clear Covers 10" x 8" x 4" (HxWxD) Approx. Inside Dimensions Lift-Off Screw Cover.</t>
  </si>
  <si>
    <t>Allied-Moulded-AMP1084CCF.jpg</t>
  </si>
  <si>
    <t>Allied Moulded AMP1082CCH Enclosure 10" x 8" x 2"</t>
  </si>
  <si>
    <t>Allied Moulded AMP1082CCH</t>
  </si>
  <si>
    <t>AMP1082CCH</t>
  </si>
  <si>
    <t>Allied Moulded PLA108,Allied Moulded HFPP108,Allied Moulded PL108,Allied Moulded AMHS075,Allied Moulded PLPVC108</t>
  </si>
  <si>
    <t>Allied Moulded AMP1082CCH POLYLINE AMP Series JIC Size Polycarbonate Enclosure with Clear Covers 10" x 8" x 2" (HxWxD) Approx. Inside Dimensions Hinged Screw Cover.</t>
  </si>
  <si>
    <t>Allied-Moulded-AMP1082CCH.jpg</t>
  </si>
  <si>
    <t>Allied Moulded AMP1082CCHF Enclosure 10" x 8" x 2"</t>
  </si>
  <si>
    <t>Allied Moulded AMP1082CCHF</t>
  </si>
  <si>
    <t>AMP1082CCHF</t>
  </si>
  <si>
    <t>Allied Moulded AMHS075,Allied Moulded PLA108,Allied Moulded HFPP108,Allied Moulded AMPOLEMNT8,Allied Moulded PL108,Allied Moulded PLPVC108</t>
  </si>
  <si>
    <t>Allied Moulded AMP1082CCHF POLYLINE AMP Series JIC Size Polycarbonate Enclosure with Clear Covers 10" x 8" x 2" (HxWxD) Approx. Inside Dimensions Hinged Screw Cover.</t>
  </si>
  <si>
    <t>Allied-Moulded-AMP1082CCHF.jpg</t>
  </si>
  <si>
    <t>Allied Moulded AMP1084CCH Enclosure 10" x 8" x 4"</t>
  </si>
  <si>
    <t>Allied Moulded AMP1084CCH</t>
  </si>
  <si>
    <t>AMP1084CCH</t>
  </si>
  <si>
    <t>Allied Moulded PLA108,Allied Moulded HFPP108,Allied Moulded PLPVC108,Allied Moulded AMU1084CCH,Allied Moulded AMP1084CCNL,Allied Moulded AMHS075,Allied Moulded PL108,Allied Moulded AM1084HW,Allied Moulded AMP1084H</t>
  </si>
  <si>
    <t>Allied Moulded AMP1084CCH POLYLINE AMP Series JIC Size Polycarbonate Enclosure with Clear Covers 10" x 8" x 4" (HxWxD) Approx. Inside Dimensions Hinged Screw Cover.</t>
  </si>
  <si>
    <t>Allied-Moulded-AMP1084CCH.jpg</t>
  </si>
  <si>
    <t>Allied Moulded AMP1084CCHF Enclosure 10" x 8" x 4"</t>
  </si>
  <si>
    <t>Allied Moulded AMP1084CCHF</t>
  </si>
  <si>
    <t>AMP1084CCHF</t>
  </si>
  <si>
    <t>Allied Moulded PLA108,Allied Moulded AM1084H,Allied Moulded AMU1084CCHF,Allied Moulded PL108,Allied Moulded AMP1084CCLF,Allied Moulded AMP1084HF,Allied Moulded AMHS075,Allied Moulded HFPP108,Allied Moulded PLPVC108,Allied Moulded AMPOLEMNT8</t>
  </si>
  <si>
    <t>Allied Moulded AMP1084CCHF POLYLINE AMP Series JIC Size Polycarbonate Enclosure with Clear Covers 10" x 8" x 4" (HxWxD) Approx. Inside Dimensions Hinged Screw Cover.</t>
  </si>
  <si>
    <t>Allied-Moulded-AMP1084CCHF.jpg</t>
  </si>
  <si>
    <t>Allied Moulded AMP1082CCL Enclosure 10" x 8" x 2"</t>
  </si>
  <si>
    <t>Allied Moulded AMP1082CCL</t>
  </si>
  <si>
    <t>AMP1082CCL</t>
  </si>
  <si>
    <t>Allied Moulded PL108,Allied Moulded HFPP108,Allied Moulded PLPVC108,Allied Moulded AMHS075,Allied Moulded PLA108</t>
  </si>
  <si>
    <t>Allied Moulded AMP1082CCL POLYLINE AMP Series JIC Size Polycarbonate Enclosure with Clear Covers 10" x 8" x 2" (HxWxD) Approx. Inside Dimensions Stainless Steel Lockable Snap Latch Hinged Cover.</t>
  </si>
  <si>
    <t>Allied-Moulded-AMP1082CCL.jpg</t>
  </si>
  <si>
    <t>Allied Moulded AMP1082CCLF Enclosure 10" x 8" x 2"</t>
  </si>
  <si>
    <t>Allied Moulded AMP1082CCLF</t>
  </si>
  <si>
    <t>AMP1082CCLF</t>
  </si>
  <si>
    <t>Allied Moulded AMPOLEMNT8,Allied Moulded PLPVC108,Allied Moulded PL108,Allied Moulded PLA108,Allied Moulded HFPP108,Allied Moulded AMHS075</t>
  </si>
  <si>
    <t>Allied Moulded AMP1082CCLF POLYLINE AMP Series JIC Size Polycarbonate Enclosure with Clear Covers 10" x 8" x 2" (HxWxD) Approx. Inside Dimensions Stainless Steel Lockable Snap Latch Hinged Cover.</t>
  </si>
  <si>
    <t>Allied-Moulded-AMP1082CCLF.jpg</t>
  </si>
  <si>
    <t>Allied Moulded AMP1084CCL Enclosure 10" x 8" x 4"</t>
  </si>
  <si>
    <t>Allied Moulded AMP1084CCL</t>
  </si>
  <si>
    <t>AMP1084CCL</t>
  </si>
  <si>
    <t>Allied Moulded HFPP108,Allied Moulded PLA108,Allied Moulded AMHS075,Allied Moulded PLPVC108,Allied Moulded AMP1084CCNL,Allied Moulded PL108,Allied Moulded AM1084LW,Allied Moulded AMU1084CCL,Allied Moulded AM1084L</t>
  </si>
  <si>
    <t>Allied Moulded AMP1084CCL POLYLINE AMP Series JIC Size Polycarbonate Enclosure with Clear Covers 10" x 8" x 4" (HxWxD) Approx. Inside Dimensions Stainless Steel Lockable Snap Latch Hinged Cover.</t>
  </si>
  <si>
    <t>Allied-Moulded-AMP1084CCL.jpg</t>
  </si>
  <si>
    <t>Allied Moulded AMP1084CCLF Enclosure 10" x 8" x 4"</t>
  </si>
  <si>
    <t>Allied Moulded AMP1084CCLF</t>
  </si>
  <si>
    <t>AMP1084CCLF</t>
  </si>
  <si>
    <t>Allied Moulded PL108,Allied Moulded AMP1084CCNLF,Allied Moulded AM1084LW,Allied Moulded PLA108,Allied Moulded AMU1084LF,Allied Moulded AMPOLEMNT8,Allied Moulded PLPVC108,Allied Moulded HFPP108,Allied Moulded AMHS075,Allied Moulded AMP1084LF</t>
  </si>
  <si>
    <t>Allied Moulded AMP1084CCLF POLYLINE AMP Series JIC Size Polycarbonate Enclosure with Clear Covers 10" x 8" x 4" (HxWxD) Approx. Inside Dimensions Stainless Steel Lockable Snap Latch Hinged Cover.</t>
  </si>
  <si>
    <t>Allied-Moulded-AMP1084CCLF.jpg</t>
  </si>
  <si>
    <t>Allied Moulded AMP1084CCNLF Enclosure 10" x 8" x 4"</t>
  </si>
  <si>
    <t>Allied Moulded AMP1084CCNLF</t>
  </si>
  <si>
    <t>AMP1084CCNLF</t>
  </si>
  <si>
    <t>Allied Moulded AM1084LW,Allied Moulded PLA108,Allied Moulded AMPOLEMNT8,Allied Moulded AMU1084CCLF,Allied Moulded HFPP108,Allied Moulded AMP1084NLF,Allied Moulded PLPVC108,Allied Moulded AMHS075,Allied Moulded PL108,Allied Moulded AMP1084CCF</t>
  </si>
  <si>
    <t>Allied Moulded AMP1084CCNLF POLYLINE AMP Series JIC Size Polycarbonate Enclosure with Clear Covers 10" x 8" x 4" (HxWxD) Approx. Inside Dimensions Nonmetallic Snap Latch Hinged Cover.</t>
  </si>
  <si>
    <t>Allied-Moulded-AMP1084CCNLF.jpg</t>
  </si>
  <si>
    <t>Allied Moulded AMP1082 Enclosure 10" x 8" x 2"</t>
  </si>
  <si>
    <t>Allied Moulded AMP1082</t>
  </si>
  <si>
    <t>AMP1082</t>
  </si>
  <si>
    <t>Allied Moulded AMHS075,Allied Moulded PL108,Allied Moulded HFPP108,Allied Moulded PLPVC108,Allied Moulded PLA108</t>
  </si>
  <si>
    <t>Allied Moulded AMP1082 POLYLINE AMP Series JIC Size Polycarbonate 10" x 8" x 2" (HxWxD) Approx. Inside Dimensions Lift-Off Screw Cover.</t>
  </si>
  <si>
    <t>Allied-Moulded-AMP1082.jpg</t>
  </si>
  <si>
    <t>Allied Moulded AMP1082F Enclosure 10" x 8" x 2"</t>
  </si>
  <si>
    <t>Allied Moulded AMP1082F</t>
  </si>
  <si>
    <t>AMP1082F</t>
  </si>
  <si>
    <t>Allied Moulded AMHS075,Allied Moulded AMPOLEMNT8,Allied Moulded PLPVC108,Allied Moulded HFPP108,Allied Moulded PLA108,Allied Moulded PL108</t>
  </si>
  <si>
    <t>Allied Moulded AMP1082F POLYLINE AMP Series JIC Size Polycarbonate 10" x 8" x 2" (HxWxD) Approx. Inside Dimensions Lift-Off Screw Cover.</t>
  </si>
  <si>
    <t>Allied-Moulded-AMP1082F.jpg</t>
  </si>
  <si>
    <t>Allied Moulded AMP1084 Enclosure 10" x 8" x 4"</t>
  </si>
  <si>
    <t>Allied Moulded AMP1084</t>
  </si>
  <si>
    <t>AMP1084</t>
  </si>
  <si>
    <t>Allied Moulded AMP1084L,Allied Moulded AMP1084CC,Allied Moulded PL108,Allied Moulded AMHS075,Allied Moulded PLPVC108,Allied Moulded PLA108,Allied Moulded AMU1084,Allied Moulded HFPP108,Allied Moulded AM1084</t>
  </si>
  <si>
    <t>Allied Moulded AMP1084 POLYLINE AMP Series JIC Size Polycarbonate 10" x 8" x 4" (HxWxD) Approx. Inside Dimensions Lift-Off Screw Cover.</t>
  </si>
  <si>
    <t>Allied-Moulded-AMP1084.jpg</t>
  </si>
  <si>
    <t>Allied Moulded AMP1084F Enclosure 10" x 8" x 4"</t>
  </si>
  <si>
    <t>Allied Moulded AMP1084F</t>
  </si>
  <si>
    <t>AMP1084F</t>
  </si>
  <si>
    <t>Allied Moulded AMHS075,Allied Moulded HFPP108,Allied Moulded AMP1084CCF,Allied Moulded PLA108,Allied Moulded AM1084,Allied Moulded AMU1084F,Allied Moulded PLPVC108,Allied Moulded AMPOLEMNT8,Allied Moulded AMP1084LF,Allied Moulded PL108</t>
  </si>
  <si>
    <t>Allied Moulded AMP1084F POLYLINE AMP Series JIC Size Polycarbonate 10" x 8" x 4" (HxWxD) Approx. Inside Dimensions Lift-Off Screw Cover.</t>
  </si>
  <si>
    <t>Allied-Moulded-AMP1084F.jpg</t>
  </si>
  <si>
    <t>Allied Moulded AMP1082H Enclosure 10" x 8" x 2"</t>
  </si>
  <si>
    <t>Allied Moulded AMP1082H</t>
  </si>
  <si>
    <t>AMP1082H</t>
  </si>
  <si>
    <t>Allied Moulded HFPP108,Allied Moulded AMHS075,Allied Moulded PLPVC108,Allied Moulded PLA108,Allied Moulded PL108</t>
  </si>
  <si>
    <t>Allied Moulded AMP1082H POLYLINE AMP Series JIC Size Polycarbonate 10" x 8" x 2" (HxWxD) Approx. Inside Dimensions Hinged Screw Cover.</t>
  </si>
  <si>
    <t>Allied-Moulded-AMP1082H.jpg</t>
  </si>
  <si>
    <t>Allied Moulded AMP1082HF Enclosure 10" x 8" x 2"</t>
  </si>
  <si>
    <t>Allied Moulded AMP1082HF</t>
  </si>
  <si>
    <t>AMP1082HF</t>
  </si>
  <si>
    <t>Allied Moulded AMPOLEMNT8,Allied Moulded PLPVC108,Allied Moulded AMHS075,Allied Moulded PLA108,Allied Moulded HFPP108,Allied Moulded PL108</t>
  </si>
  <si>
    <t>Allied Moulded AMP1082HF POLYLINE AMP Series JIC Size Polycarbonate 10" x 8" x 2" (HxWxD) Approx. Inside Dimensions Hinged Screw Cover.</t>
  </si>
  <si>
    <t>Allied-Moulded-AMP1082HF.jpg</t>
  </si>
  <si>
    <t>Allied Moulded AMP1084H Enclosure 10" x 8" x 4"</t>
  </si>
  <si>
    <t>Allied Moulded AMP1084H</t>
  </si>
  <si>
    <t>AMP1084H</t>
  </si>
  <si>
    <t>Allied Moulded AM1084H,Allied Moulded HFPP108,Allied Moulded AMU1084H,Allied Moulded AMP1084CCH,Allied Moulded PLA108,Allied Moulded PLPVC108,Allied Moulded PL108,Allied Moulded AMP1084L,Allied Moulded AMHS075</t>
  </si>
  <si>
    <t>Allied Moulded AMP1084H POLYLINE AMP Series JIC Size Polycarbonate 10" x 8" x 4" (HxWxD) Approx. Inside Dimensions Hinged Screw Cover.</t>
  </si>
  <si>
    <t>Allied-Moulded-AMP1084H.jpg</t>
  </si>
  <si>
    <t>Allied Moulded AMP1084HF Enclosure 10" x 8" x 4"</t>
  </si>
  <si>
    <t>Allied Moulded AMP1084HF</t>
  </si>
  <si>
    <t>AMP1084HF</t>
  </si>
  <si>
    <t>Allied Moulded PL108,Allied Moulded AMPOLEMNT8,Allied Moulded AMHS075,Allied Moulded AM1084H,Allied Moulded AMP1084CCHF,Allied Moulded PLPVC108,Allied Moulded PLA108,Allied Moulded HFPP108,Allied Moulded AMP1084NLF,Allied Moulded AMU1084HF</t>
  </si>
  <si>
    <t>Allied Moulded AMP1084HF POLYLINE AMP Series JIC Size Polycarbonate 10" x 8" x 4" (HxWxD) Approx. Inside Dimensions Hinged Screw Cover.</t>
  </si>
  <si>
    <t>Allied-Moulded-AMP1084HF.jpg</t>
  </si>
  <si>
    <t>Allied Moulded AMP1082L Enclosure 10" x 8" x 2"</t>
  </si>
  <si>
    <t>Allied Moulded AMP1082L</t>
  </si>
  <si>
    <t>AMP1082L</t>
  </si>
  <si>
    <t>Allied Moulded PLA108,Allied Moulded AMHS075,Allied Moulded HFPP108,Allied Moulded PL108,Allied Moulded PLPVC108</t>
  </si>
  <si>
    <t>Allied Moulded AMP1082L POLYLINE AMP Series JIC Size Polycarbonate 10" x 8" x 2" (HxWxD) Approx. Inside Dimensions Stainless Steel Lockable Snap Latch Hinged Cover.</t>
  </si>
  <si>
    <t>Allied-Moulded-AMP1082L.jpg</t>
  </si>
  <si>
    <t>Allied Moulded AMP1082LF Enclosure 10" x 8" x 2"</t>
  </si>
  <si>
    <t>Allied Moulded AMP1082LF</t>
  </si>
  <si>
    <t>AMP1082LF</t>
  </si>
  <si>
    <t>Allied Moulded HFPP108,Allied Moulded PL108,Allied Moulded PLA108,Allied Moulded AMPOLEMNT8,Allied Moulded PLPVC108,Allied Moulded AMHS075</t>
  </si>
  <si>
    <t>Allied Moulded AMP1082LF POLYLINE AMP Series JIC Size Polycarbonate 10" x 8" x 2" (HxWxD) Approx. Inside Dimensions Stainless Steel Lockable Snap Latch Hinged Cover.</t>
  </si>
  <si>
    <t>Allied-Moulded-AMP1082LF.jpg</t>
  </si>
  <si>
    <t>Allied Moulded AMP1084L Enclosure 10" x 8" x 4"</t>
  </si>
  <si>
    <t>Allied Moulded AMP1084L</t>
  </si>
  <si>
    <t>AMP1084L</t>
  </si>
  <si>
    <t>Allied Moulded AMP1084,Allied Moulded AMP1084CCL,Allied Moulded HFPP108,Allied Moulded AM1084L,Allied Moulded PLPVC108,Allied Moulded PLA108,Allied Moulded AMU1084L,Allied Moulded PL108,Allied Moulded AMHS075</t>
  </si>
  <si>
    <t>Allied Moulded AMP1084L POLYLINE AMP Series JIC Size Polycarbonate 10" x 8" x 4" (HxWxD) Approx. Inside Dimensions Stainless Steel Lockable Snap Latch Hinged Cover.</t>
  </si>
  <si>
    <t>Allied-Moulded-AMP1084L.jpg</t>
  </si>
  <si>
    <t>Allied Moulded AMP1084LF Enclosure 10" x 8" x 4"</t>
  </si>
  <si>
    <t>Allied Moulded AMP1084LF</t>
  </si>
  <si>
    <t>AMP1084LF</t>
  </si>
  <si>
    <t>Allied Moulded AMP1084NLF,Allied Moulded PLPVC108,Allied Moulded PLA108,Allied Moulded AMP1084CCLF,Allied Moulded HFPP108,Allied Moulded AMPOLEMNT8,Allied Moulded PL108,Allied Moulded AM1084L,Allied Moulded AMU1084LF,Allied Moulded AMHS075</t>
  </si>
  <si>
    <t>Allied Moulded AMP1084LF POLYLINE AMP Series JIC Size Polycarbonate 10" x 8" x 4" (HxWxD) Approx. Inside Dimensions Stainless Steel Lockable Snap Latch Hinged Cover.</t>
  </si>
  <si>
    <t>Allied-Moulded-AMP1084LF.jpg</t>
  </si>
  <si>
    <t>Allied Moulded AMP1084NL Enclosure 10" x 8" x 4"</t>
  </si>
  <si>
    <t>Allied Moulded AMP1084NL</t>
  </si>
  <si>
    <t>AMP1084NL</t>
  </si>
  <si>
    <t>Allied Moulded HFPP108,Allied Moulded AMU1084L,Allied Moulded AMP1084L,Allied Moulded PLPVC108,Allied Moulded AM1084L,Allied Moulded AMP1084CCNL,Allied Moulded PLA108,Allied Moulded PL108,Allied Moulded AMHS075</t>
  </si>
  <si>
    <t>Allied Moulded AMP1084NL POLYLINE AMP Series JIC Size Polycarbonate 10" x 8" x 4" (HxWxD) Approx. Inside Dimensions Nonmetallic Snap Latch Hinged Cover.</t>
  </si>
  <si>
    <t>Allied-Moulded-AMP1084NL.jpg</t>
  </si>
  <si>
    <t>Allied Moulded AMP1084NLF Enclosure 10" x 8" x 4"</t>
  </si>
  <si>
    <t>Allied Moulded AMP1084NLF</t>
  </si>
  <si>
    <t>AMP1084NLF</t>
  </si>
  <si>
    <t>Allied Moulded AMHS075,Allied Moulded AMPOLEMNT8,Allied Moulded AMP1084CCNLF,Allied Moulded AMU1084LF,Allied Moulded PLPVC108,Allied Moulded PL108,Allied Moulded HFPP108,Allied Moulded PLA108,Allied Moulded AMP1084F,Allied Moulded AM1084L</t>
  </si>
  <si>
    <t>Allied Moulded AMP1084NLF POLYLINE AMP Series JIC Size Polycarbonate 10" x 8" x 4" (HxWxD) Approx. Inside Dimensions Nonmetallic Snap Latch Hinged Cover.</t>
  </si>
  <si>
    <t>Allied-Moulded-AMP1084NLF.jpg</t>
  </si>
  <si>
    <t>Allied Moulded AMP884CC Enclosure 8" x 8" x 4"</t>
  </si>
  <si>
    <t>Allied Moulded AMP884CC</t>
  </si>
  <si>
    <t>AMP884CC</t>
  </si>
  <si>
    <t>Allied Moulded PLA88,Allied Moulded AMP884HF,Allied Moulded HFPP88,Allied Moulded AMP884CCF,Allied Moulded PLPVC88,Allied Moulded AMHS075,Allied Moulded AMP884LF,Allied Moulded PL88</t>
  </si>
  <si>
    <t>Allied Moulded AMP884CC POLYLINE AMP Series JIC Size Polycarbonate Enclosure with Clear Covers 8" x 8" x 4" (HxWxD) Approx. Inside Dimensions Lift-Off Screw Cover.</t>
  </si>
  <si>
    <t>Allied-Moulded-AMP884CC.jpg</t>
  </si>
  <si>
    <t>Allied Moulded AMP884CCF Enclosure 8" x 8" x 4"</t>
  </si>
  <si>
    <t>Allied Moulded AMP884CCF</t>
  </si>
  <si>
    <t>AMP884CCF</t>
  </si>
  <si>
    <t>Allied Moulded PLPVC88,Allied Moulded AMP884CC,Allied Moulded AMPOLEMNT8,Allied Moulded PL88,Allied Moulded AMP884NL,Allied Moulded HFPP88,Allied Moulded PLA88,Allied Moulded AMHS075,Allied Moulded AMP884CCLF</t>
  </si>
  <si>
    <t>Allied Moulded AMP884CCF POLYLINE AMP Series JIC Size Polycarbonate Enclosure with Clear Covers 8" x 8" x 4" (HxWxD) Approx. Inside Dimensions Lift-Off Screw Cover.</t>
  </si>
  <si>
    <t>Allied-Moulded-AMP884CCF.jpg</t>
  </si>
  <si>
    <t>Allied Moulded AMP884CCH Enclosure 8" x 8" x 4"</t>
  </si>
  <si>
    <t>Allied Moulded AMP884CCH</t>
  </si>
  <si>
    <t>AMP884CCH</t>
  </si>
  <si>
    <t>Allied Moulded AMP884H,Allied Moulded PLA88,Allied Moulded HFPP88,Allied Moulded AMP884CCHF,Allied Moulded PL88,Allied Moulded AMHS075,Allied Moulded PLPVC88,Allied Moulded AMP884NLF</t>
  </si>
  <si>
    <t>Allied Moulded AMP884CCH POLYLINE AMP Series JIC Size Polycarbonate Enclosure with Clear Covers 8" x 8" x 4" (HxWxD) Approx. Inside Dimensions Hinged Screw Cover.</t>
  </si>
  <si>
    <t>Allied-Moulded-AMP884CCH.jpg</t>
  </si>
  <si>
    <t>Allied Moulded AMP884CCHF Enclosure 8" x 8" x 4"</t>
  </si>
  <si>
    <t>Allied Moulded AMP884CCHF</t>
  </si>
  <si>
    <t>AMP884CCHF</t>
  </si>
  <si>
    <t>Allied Moulded PLA88,Allied Moulded AMPOLEMNT8,Allied Moulded PL88,Allied Moulded AMP884CCH,Allied Moulded HFPP88,Allied Moulded PLPVC88,Allied Moulded AMP884LF,Allied Moulded AMP884HF,Allied Moulded AMHS075</t>
  </si>
  <si>
    <t>Allied Moulded AMP884CCHF POLYLINE AMP Series JIC Size Polycarbonate Enclosure with Clear Covers 8" x 8" x 4" (HxWxD) Approx. Inside Dimensions Hinged Screw Cover.</t>
  </si>
  <si>
    <t>Allied-Moulded-AMP884CCHF.jpg</t>
  </si>
  <si>
    <t>Allied Moulded AMP884CCL Enclosure 8" x 8" x 4"</t>
  </si>
  <si>
    <t>Allied Moulded AMP884CCL</t>
  </si>
  <si>
    <t>AMP884CCL</t>
  </si>
  <si>
    <t>Allied Moulded PLA88,Allied Moulded PLPVC88,Allied Moulded AMP884CCLF,Allied Moulded HFPP88,Allied Moulded AMP884L,Allied Moulded AMHS075,Allied Moulded PL88,Allied Moulded AMP884NL</t>
  </si>
  <si>
    <t>Allied Moulded AMP884CCL POLYLINE AMP Series JIC Size Polycarbonate Enclosure with Clear Covers 8" x 8" x 4" (HxWxD) Approx. Inside Dimensions Stainless Steel Lockable Snap Latch Hinged Cover.</t>
  </si>
  <si>
    <t>Allied-Moulded-AMP884CCL.jpg</t>
  </si>
  <si>
    <t>Allied Moulded AMP884CCLF Enclosure 8" x 8" x 4"</t>
  </si>
  <si>
    <t>Allied Moulded AMP884CCLF</t>
  </si>
  <si>
    <t>AMP884CCLF</t>
  </si>
  <si>
    <t>Allied Moulded HFPP88,Allied Moulded PL88,Allied Moulded PLA88,Allied Moulded AMPOLEMNT8,Allied Moulded AMHS075,Allied Moulded AMP884CCH,Allied Moulded PLPVC88,Allied Moulded AMP884LF,Allied Moulded AMP884NL</t>
  </si>
  <si>
    <t>Allied Moulded AMP884CCLF POLYLINE AMP Series JIC Size Polycarbonate Enclosure with Clear Covers 8" x 8" x 4" (HxWxD) Approx. Inside Dimensions Stainless Steel Lockable Snap Latch Hinged Cover.</t>
  </si>
  <si>
    <t>Allied-Moulded-AMP884CCLF.jpg</t>
  </si>
  <si>
    <t>Allied Moulded AMP884CCNLF Enclosure 8" x 8" x 4"</t>
  </si>
  <si>
    <t>Allied Moulded AMP884CCNLF</t>
  </si>
  <si>
    <t>AMP884CCNLF</t>
  </si>
  <si>
    <t>Allied Moulded PL88,Allied Moulded AMPOLEMNT8,Allied Moulded AMP884CCH,Allied Moulded HFPP88,Allied Moulded PLPVC88,Allied Moulded AMP884L,Allied Moulded PLA88,Allied Moulded AMP884NLF,Allied Moulded AMHS075</t>
  </si>
  <si>
    <t>Allied Moulded AMP884CCNLF POLYLINE AMP Series JIC Size Polycarbonate Enclosure with Clear Covers 8" x 8" x 4" (HxWxD) Approx. Inside Dimensions Nonmetallic Snap Latch Hinged Cover.</t>
  </si>
  <si>
    <t>Allied-Moulded-AMP884CCNLF.jpg</t>
  </si>
  <si>
    <t>Allied Moulded AMP1084CCNL Enclosure 8" x 8" x 4"</t>
  </si>
  <si>
    <t>Allied Moulded AMP1084CCNL</t>
  </si>
  <si>
    <t>AMP1084CCNL</t>
  </si>
  <si>
    <t>Allied Moulded PLA108,Allied Moulded AMP1084NL,Allied Moulded AMP1084L,Allied Moulded PL108,Allied Moulded PLPVC108,Allied Moulded AMHS075,Allied Moulded AMU1084CCL,Allied Moulded AM1084LW,Allied Moulded HFPP108</t>
  </si>
  <si>
    <t>Allied Moulded AMP1084CCNL POLYLINE AMP Series JIC Size Polycarbonate Enclosure with Clear Covers 8" x 8" x 4" (HxWxD) Approx. Inside Dimensions Nonmetallic Snap Latch Hinged Cover.</t>
  </si>
  <si>
    <t>Allied-Moulded-AMP1084CCNL.jpg</t>
  </si>
  <si>
    <t>Allied Moulded AMP884 Enclosure 8" x 8" x 4"</t>
  </si>
  <si>
    <t>Allied Moulded AMP884</t>
  </si>
  <si>
    <t>AMP884</t>
  </si>
  <si>
    <t>Allied Moulded HFPP88,Allied Moulded AMP884F,Allied Moulded AMP884NL,Allied Moulded AMP884CCL,Allied Moulded AMHS075,Allied Moulded PLPVC88,Allied Moulded PL88,Allied Moulded PLA88</t>
  </si>
  <si>
    <t>Allied Moulded AMP884 POLYLINE AMP Series JIC Size Polycarbonate 8" x 8" x 4" (HxWxD) Approx. Inside Dimensions Lift-Off Screw Cover.</t>
  </si>
  <si>
    <t>Allied-Moulded-AMP884.jpg</t>
  </si>
  <si>
    <t>Allied Moulded AMP884F Enclosure 8" x 8" x 4"</t>
  </si>
  <si>
    <t>Allied Moulded AMP884F</t>
  </si>
  <si>
    <t>AMP884F</t>
  </si>
  <si>
    <t>Allied Moulded AMPOLEMNT8,Allied Moulded PLA88,Allied Moulded AMP884CCF,Allied Moulded PL88,Allied Moulded AMP884CCLF,Allied Moulded AMP884NL,Allied Moulded HFPP88,Allied Moulded AMHS075,Allied Moulded PLPVC88</t>
  </si>
  <si>
    <t>Allied Moulded AMP884F POLYLINE AMP Series JIC Size Polycarbonate 8" x 8" x 4" (HxWxD) Approx. Inside Dimensions Lift-Off Screw Cover.</t>
  </si>
  <si>
    <t>Allied-Moulded-AMP884F.jpg</t>
  </si>
  <si>
    <t>Allied Moulded AMP884H Enclosure 8" x 8" x 4"</t>
  </si>
  <si>
    <t>Allied Moulded AMP884H</t>
  </si>
  <si>
    <t>AMP884H</t>
  </si>
  <si>
    <t>Allied Moulded HFPP88,Allied Moulded PL88,Allied Moulded AMP884CCH,Allied Moulded AMP884CCNL,Allied Moulded AMHS075,Allied Moulded AMP884LF,Allied Moulded PLA88,Allied Moulded PLPVC88</t>
  </si>
  <si>
    <t>Allied Moulded AMP884H POLYLINE AMP Series JIC Size Polycarbonate 8" x 8" x 4" (HxWxD) Approx. Inside Dimensions Hinged Screw Cover.</t>
  </si>
  <si>
    <t>Allied-Moulded-AMP884H.jpg</t>
  </si>
  <si>
    <t>Allied Moulded AMP884HF Enclosure 8" x 8" x 4"</t>
  </si>
  <si>
    <t>Allied Moulded AMP884HF</t>
  </si>
  <si>
    <t>AMP884HF</t>
  </si>
  <si>
    <t>Allied Moulded AMP884L,Allied Moulded HFPP88,Allied Moulded AMHS075,Allied Moulded PLA88,Allied Moulded PLPVC88,Allied Moulded AMP884CCHF,Allied Moulded PL88,Allied Moulded AMPOLEMNT8,Allied Moulded AMP884CCNLF</t>
  </si>
  <si>
    <t>Allied Moulded AMP884HF POLYLINE AMP Series JIC Size Polycarbonate 8" x 8" x 4" (HxWxD) Approx. Inside Dimensions Hinged Screw Cover.</t>
  </si>
  <si>
    <t>Allied-Moulded-AMP884HF.jpg</t>
  </si>
  <si>
    <t>Allied Moulded AMP884L Enclosure 8" x 8" x 4"</t>
  </si>
  <si>
    <t>Allied Moulded AMP884L</t>
  </si>
  <si>
    <t>AMP884L</t>
  </si>
  <si>
    <t>Allied Moulded PL88,Allied Moulded AMHS075,Allied Moulded PLA88,Allied Moulded AMP884CCL,Allied Moulded HFPP88,Allied Moulded AMP884HF,Allied Moulded AMP884CCNL,Allied Moulded PLPVC88</t>
  </si>
  <si>
    <t>Allied Moulded AMP884L POLYLINE AMP Series JIC Size Polycarbonate 8" x 8" x 4" (HxWxD) Approx. Inside Dimensions Stainless Steel Lockable Snap Latch Hinged Cover.</t>
  </si>
  <si>
    <t>Allied-Moulded-AMP884L.jpg</t>
  </si>
  <si>
    <t>Allied Moulded AMP884LF Enclosure 8" x 8" x 4"</t>
  </si>
  <si>
    <t>Allied Moulded AMP884LF</t>
  </si>
  <si>
    <t>AMP884LF</t>
  </si>
  <si>
    <t>Allied Moulded AMP884CCLF,Allied Moulded AMP884CCNL,Allied Moulded PLA88,Allied Moulded AMPOLEMNT8,Allied Moulded PL88,Allied Moulded AMP884H,Allied Moulded PLPVC88,Allied Moulded HFPP88,Allied Moulded AMHS075</t>
  </si>
  <si>
    <t>Allied Moulded AMP884LF POLYLINE AMP Series JIC Size Polycarbonate 8" x 8" x 4" (HxWxD) Approx. Inside Dimensions Stainless Steel Lockable Snap Latch Hinged Cover.</t>
  </si>
  <si>
    <t>Allied-Moulded-AMP884LF.jpg</t>
  </si>
  <si>
    <t>Allied Moulded AMP884NL Enclosure 8" x 8" x 4"</t>
  </si>
  <si>
    <t>Allied Moulded AMP884NL</t>
  </si>
  <si>
    <t>AMP884NL</t>
  </si>
  <si>
    <t>Allied Moulded PLA88,Allied Moulded AMHS075,Allied Moulded AMP884HF,Allied Moulded HFPP88,Allied Moulded AMP884CCL,Allied Moulded PLPVC88,Allied Moulded PL88,Allied Moulded AMP884CCNL</t>
  </si>
  <si>
    <t>Allied Moulded AMP884NL POLYLINE AMP Series JIC Size Polycarbonate 8" x 8" x 4" (HxWxD) Approx. Inside Dimensions Nonmetallic Snap Latch Hinged Cover.</t>
  </si>
  <si>
    <t>Allied-Moulded-AMP884NL.jpg</t>
  </si>
  <si>
    <t>Allied Moulded AMP884NLF Enclosure 8" x 8" x 4"</t>
  </si>
  <si>
    <t>Allied Moulded AMP884NLF</t>
  </si>
  <si>
    <t>AMP884NLF</t>
  </si>
  <si>
    <t>Allied Moulded PL88,Allied Moulded AMP884CCLF,Allied Moulded AMHS075,Allied Moulded AMP884H,Allied Moulded AMP884CCNLF,Allied Moulded HFPP88,Allied Moulded PLA88,Allied Moulded PLPVC88,Allied Moulded AMPOLEMNT8</t>
  </si>
  <si>
    <t>Allied Moulded AMP884NLF POLYLINE AMP Series JIC Size Polycarbonate 8" x 8" x 4" (HxWxD) Approx. Inside Dimensions Nonmetallic Snap Latch Hinged Cover.</t>
  </si>
  <si>
    <t>Allied-Moulded-AMP884NLF.jpg</t>
  </si>
  <si>
    <t xml:space="preserve">Allied Moulded AMP443CCNL Enclosure </t>
  </si>
  <si>
    <t>Allied Moulded AMP443CCNL</t>
  </si>
  <si>
    <t>AMP443CCNL</t>
  </si>
  <si>
    <t>Allied Moulded AMP443L,Allied Moulded AMHS050,Allied Moulded AMP443NL,Allied Moulded PLA44,Allied Moulded PL44,Allied Moulded PLPVC44</t>
  </si>
  <si>
    <t>Allied Moulded AMP443CCNL POLYLINE AMP Series JIC Size Polycarbonate Enclosure with Clear Covers  (HxWxD) Approx. Inside Dimensions Nonmetallic Snap Latch Hinged Cover.</t>
  </si>
  <si>
    <t>Allied-Moulded-AMP443CCNL.jpg</t>
  </si>
  <si>
    <t>Allied Moulded AMHMIPROP88</t>
  </si>
  <si>
    <t>AMHMIPROP88</t>
  </si>
  <si>
    <t>Allied Moulded AMHMI88H,Allied Moulded AMHMI88L,Allied Moulded AMHMI88CCL,Allied Moulded AMHMI88HTP,Allied Moulded AMHMI88CCH,Allied Moulded AMHMI88CCHTP</t>
  </si>
  <si>
    <t>/Enclosure Accessories/Enclosure Windows &amp; Inspection Windows</t>
  </si>
  <si>
    <t>/Enclosure Accessories/Enclosure Windows &amp; Inspection Windows/Enclosure Inspection Windows</t>
  </si>
  <si>
    <t>Allied Moulded AMHMIPROP88 Accessories HMI Cover Kit &amp; Inspection Windows Use With AMHMI88 Covers (HxWxD) HMI Prop Arm Kits.</t>
  </si>
  <si>
    <t>The stainless steel prop arm and hardware is durable and the silicone rubber tip will prevent the support arm from slipping once in the open position.;</t>
  </si>
  <si>
    <t>Allied-Moulded-AMHMIPROP88.jpg</t>
  </si>
  <si>
    <t>Allied Moulded AMHMIPROP108</t>
  </si>
  <si>
    <t>AMHMIPROP108</t>
  </si>
  <si>
    <t>Allied Moulded AMHMI108L,Allied Moulded AMHMI108CCL,Allied Moulded AMHMI108CCHTP,Allied Moulded AMHMI108H,Allied Moulded AMHMI108CCH,Allied Moulded AMHMI108HTP</t>
  </si>
  <si>
    <t>Allied Moulded AMHMIPROP108 Accessories HMI Cover Kit &amp; Inspection Windows Use With AMHMI108 Covers (HxWxD) HMI Prop Arm Kits.</t>
  </si>
  <si>
    <t>Allied-Moulded-AMHMIPROP108.jpg</t>
  </si>
  <si>
    <t>Allied Moulded AMHMIPROP120</t>
  </si>
  <si>
    <t>AMHMIPROP120</t>
  </si>
  <si>
    <t>Allied Moulded AMHMI120CCL,Allied Moulded AMHMI120L,Allied Moulded AMHMI120CCH,Allied Moulded AMHMI120CCHTP,Allied Moulded AMHMI120HTP,Allied Moulded AMHMI120H</t>
  </si>
  <si>
    <t>Allied Moulded AMHMIPROP120 Accessories HMI Cover Kit &amp; Inspection Windows Use With AMHMI120 Covers (HxWxD) HMI Prop Arm Kits.</t>
  </si>
  <si>
    <t>Allied-Moulded-AMHMIPROP120.jpg</t>
  </si>
  <si>
    <t>Allied Moulded AMHMIPROP142</t>
  </si>
  <si>
    <t>AMHMIPROP142</t>
  </si>
  <si>
    <t>Allied Moulded AMHMI142CCHTP,Allied Moulded AMHMI142HTP,Allied Moulded AMHMI142CCL,Allied Moulded AMHMI142H,Allied Moulded AMHMI142L,Allied Moulded AMHMI142CCH</t>
  </si>
  <si>
    <t>Allied Moulded AMHMIPROP142 Accessories HMI Cover Kit &amp; Inspection Windows Use With AMHMI142 Covers (HxWxD) HMI Prop Arm Kits.</t>
  </si>
  <si>
    <t>Allied-Moulded-AMHMIPROP142.jpg</t>
  </si>
  <si>
    <t>Allied Moulded AMHMIPROP164</t>
  </si>
  <si>
    <t>AMHMIPROP164</t>
  </si>
  <si>
    <t>Allied Moulded AMHMI164CCH,Allied Moulded AMHMI164CCHTP,Allied Moulded AMHMI164HTP,Allied Moulded AMHMI164H,Allied Moulded AMHMI164CCL,Allied Moulded AMHMI164L</t>
  </si>
  <si>
    <t>Allied Moulded AMHMIPROP164 Accessories HMI Cover Kit &amp; Inspection Windows Use With AMHMI164 Covers (HxWxD) HMI Prop Arm Kits.</t>
  </si>
  <si>
    <t>Allied-Moulded-AMHMIPROP164.jpg</t>
  </si>
  <si>
    <t>Allied Moulded AMHMIPROP206</t>
  </si>
  <si>
    <t>AMHMIPROP206</t>
  </si>
  <si>
    <t>Allied Moulded AMP1PB22,Allied Moulded AMHMI206L,Allied Moulded AM1084RHW,Allied Moulded AMHMI206H</t>
  </si>
  <si>
    <t>Allied Moulded AMHMIPROP206 Accessories HMI Cover Kit &amp; Inspection Windows Use With AMHMI206 Covers (HxWxD) HMI Prop Arm Kits.</t>
  </si>
  <si>
    <t>Allied-Moulded-AMHMIPROP206.jpg</t>
  </si>
  <si>
    <t>SKU</t>
  </si>
  <si>
    <t>ManufacturerPartNumber</t>
  </si>
  <si>
    <t>Filter4</t>
  </si>
  <si>
    <t>Filter21</t>
  </si>
  <si>
    <t>Accessory Composition</t>
  </si>
  <si>
    <t>Accessory For Enclosure Type</t>
  </si>
  <si>
    <t>Allied Moulded AMPRINTPOCKET</t>
  </si>
  <si>
    <t>AMPRINTPOCKET</t>
  </si>
  <si>
    <t>Allied Moulded AM603612L3PT,Allied Moulded AM483612L</t>
  </si>
  <si>
    <t>Allied Moulded AMPRINTPOCKET Enclosure Accessories Large JIC, Control, &amp; Empire (HxWxD) Use with Enclosure Size Print Pocket.</t>
  </si>
  <si>
    <t>Enclosure accessory for filling drawings inside</t>
  </si>
  <si>
    <t>Allied-Moulded-AMPRINTPOCKET.jpg</t>
  </si>
  <si>
    <t>Enclosure Pocket</t>
  </si>
  <si>
    <t>Allied Moulded AMVENTSM</t>
  </si>
  <si>
    <t>AMVENTSM</t>
  </si>
  <si>
    <t>Allied Moulded AMPFA3000,Allied Moulded AMVENTLG,Allied Moulded AMPFA2000,Allied Moulded AMPFA1000</t>
  </si>
  <si>
    <t>Allied Moulded AMVENTSM Enclosure Accessories JIC Series (HxWxD) Use with Enclosure Size Ventilation Kits.</t>
  </si>
  <si>
    <t>Provided with a gasket to seal on enclosure surface. Mount to enclosure wall thickness up to .160″ with standard screws. Internal vent channel &amp; grille reduces insect intrusion.;Mount to enclosure wall thickness up to .160″ with standard screws;Internal vent channel &amp; grille reduces insect intrusion.</t>
  </si>
  <si>
    <t>Allied-Moulded-AMVENTSM.jpg</t>
  </si>
  <si>
    <t>Small Enclosure Ventilation Kit</t>
  </si>
  <si>
    <t>Allied Moulded AMVENTLG</t>
  </si>
  <si>
    <t>AMVENTLG</t>
  </si>
  <si>
    <t>Allied Moulded AMPFA3000,Allied Moulded AMPFA2000,Allied Moulded AMVENTSM,Allied Moulded AMPFA1000</t>
  </si>
  <si>
    <t>Allied Moulded AMVENTLG Enclosure Accessories JIC Series (HxWxD) Use with Enclosure Size Ventilation Kits.</t>
  </si>
  <si>
    <t>Allied-Moulded-AMVENTLG.jpg</t>
  </si>
  <si>
    <t>Large Enclosure Ventilation Kit</t>
  </si>
  <si>
    <t>Allied Moulded AMVENT4XLG</t>
  </si>
  <si>
    <t>AMVENT4XLG</t>
  </si>
  <si>
    <t>Allied Moulded AMHMI206CCH,Allied Moulded AM1084RL,Allied Moulded AM1084RHW,Allied Moulded AM1084RT</t>
  </si>
  <si>
    <t>Allied Moulded AMVENT4XLG Enclosure Accessories JIC &amp; Control Series (HxWxD) Use with Enclosure Size Ventilation Kits.</t>
  </si>
  <si>
    <t>FIP gasket system with 316 stainless mounting fasteners for maintaining a NEMA 4X enclosure rating. Polycarbonate thermoplastic material for corrosion resistance and a durable external enclosure accessory. Innovative baffles allow air flow into the enclosure while preventing rain or hose directed spray from penetrating.;Polycarbonate thermoplastic material for corrosion resistance and a durable external enclosure accessory;Innovative baffles allow air flow into the enclosure while preventing rain or hose directed spray from penetrating.</t>
  </si>
  <si>
    <t>Allied-Moulded-AMVENT4XLG.jpg</t>
  </si>
  <si>
    <t>NEMA 4X Enclosure Ventilation Kit</t>
  </si>
  <si>
    <t>Allied Moulded AMKEYLOCKFC</t>
  </si>
  <si>
    <t>AMKEYLOCKFC</t>
  </si>
  <si>
    <t>Allied Moulded AMKEYLOCKRCHFP,Allied Moulded AMKEYLOCKRC</t>
  </si>
  <si>
    <t>Allied Moulded AMKEYLOCKFC Enclosure Accessories 6x6 through 20x16 (Flat Cover) (HxWxD) Use with Enclosure Size Keylock Kits.</t>
  </si>
  <si>
    <t>Enclosure accessory kit for securely locking down flat cover AM-series models sizes 6″ x 6″ up through 20″ x 16″</t>
  </si>
  <si>
    <t>Allied-Moulded-AMKEYLOCKFC.jpg</t>
  </si>
  <si>
    <t>Keylock Assembly Kit</t>
  </si>
  <si>
    <t>AM Series flat cover enclosures 6"x6" through 20"x16"</t>
  </si>
  <si>
    <t>Allied Moulded AMKEYLOCKRC</t>
  </si>
  <si>
    <t>AMKEYLOCKRC</t>
  </si>
  <si>
    <t>Allied Moulded AMKEYLOCKFC,Allied Moulded AMKEYLOCKRCHFP</t>
  </si>
  <si>
    <t>Allied Moulded AMKEYLOCKRC Enclosure Accessories 6x6 through 30x24 (Raised Cover) (HxWxD) Use with Enclosure Size Keylock Kits.</t>
  </si>
  <si>
    <t>Enclosure accessory kit for securely locking down raised cover AM-R series models sizes 6″ x 6″ up through 30″ x 24″</t>
  </si>
  <si>
    <t>Allied-Moulded-AMKEYLOCKRC.jpg</t>
  </si>
  <si>
    <t>AM-R Series raised cover enclosures 6"x6" through 30"x24"</t>
  </si>
  <si>
    <t>Allied Moulded AMKEYLOCKRCHFP</t>
  </si>
  <si>
    <t>AMKEYLOCKRCHFP</t>
  </si>
  <si>
    <t>Allied Moulded AMKEYLOCKFC,Allied Moulded AMKEYLOCKRC</t>
  </si>
  <si>
    <t>Allied Moulded AMKEYLOCKRCHFP Enclosure Accessories 10x8 through 30x24 (RC with HFP) (HxWxD) Use with Enclosure Size Keylock Kits.</t>
  </si>
  <si>
    <t>Enclosure accessory kit for securely locking down raised cover AM-R series models sizes 6″ x 6″ up through 30″ x 24″ with an HFP hinged front panel installed</t>
  </si>
  <si>
    <t>Allied-Moulded-AMKEYLOCKRCHFP.jpg</t>
  </si>
  <si>
    <t>AM-R Series raised cover enclosures 6"x6" through 30"x24" with installed hinge front panel</t>
  </si>
  <si>
    <t>Allied Moulded AMHDL001</t>
  </si>
  <si>
    <t>AMHDL001</t>
  </si>
  <si>
    <t>Allied Moulded AM1084RL,Allied Moulded PL44,Allied Moulded AMHMI66CCL,Allied Moulded PLPVC44</t>
  </si>
  <si>
    <t>Allied Moulded AMHDL001 Enclosure Accessories JIC Series (HxWxD) Use with Enclosure Size Pull Type Handle.</t>
  </si>
  <si>
    <t>Enclosure handle for remote applications</t>
  </si>
  <si>
    <t>Allied-Moulded-AMHDL001.jpg</t>
  </si>
  <si>
    <t>Enclosure Carrying Pull-Type Handle Kit</t>
  </si>
  <si>
    <t>Allied Moulded AMPOLEMNT6</t>
  </si>
  <si>
    <t>AMPOLEMNT6</t>
  </si>
  <si>
    <t>Allied Moulded AM864RL,Allied Moulded AMP864F,Allied Moulded AM664T,Allied Moulded AMU664CCHF</t>
  </si>
  <si>
    <t>Allied Moulded AMPOLEMNT6 Enclosure Accessories AM664, AM864, AMU(P)664, AMU(P)864 (HxWxD) Use with AM/AMU Series Enclosure Pole Mount Kits.</t>
  </si>
  <si>
    <t>Mounting clamp adjusts to many pole shapes and sizes up through 15″ diameter;</t>
  </si>
  <si>
    <t>Allied-Moulded-AMPOLEMNT6.jpg</t>
  </si>
  <si>
    <t>Pole Mount Kit</t>
  </si>
  <si>
    <t>Steel</t>
  </si>
  <si>
    <t>6" Width Enclosures</t>
  </si>
  <si>
    <t>Allied Moulded AMPOLEMNT8</t>
  </si>
  <si>
    <t>AMPOLEMNT8</t>
  </si>
  <si>
    <t>Allied Moulded AM1086RLW,Allied Moulded AMP1084NLF,Allied Moulded AM1084,Allied Moulded AMU1084TF</t>
  </si>
  <si>
    <t>Allied Moulded AMPOLEMNT8 Enclosure Accessories AM1084, AM1086, AMP884, AMP1082, AMU(P)1084, AMU(P)1086 (HxWxD) Use with AM/AMU Series Enclosure Pole Mount Kits.</t>
  </si>
  <si>
    <t>Allied-Moulded-AMPOLEMNT8.jpg</t>
  </si>
  <si>
    <t>8" Width Enclosures</t>
  </si>
  <si>
    <t>Allied Moulded AMPOLEMNT10</t>
  </si>
  <si>
    <t>AMPOLEMNT10</t>
  </si>
  <si>
    <t>Allied Moulded AMP1206NLF,Allied Moulded AM1206RT,Allied Moulded AMU1206TF,Allied Moulded AM1206L</t>
  </si>
  <si>
    <t>Allied Moulded AMPOLEMNT10 Enclosure Accessories AM1206, AMP1206, AMU(P)1206 (HxWxD) Use with AM/AMU Series Enclosure Pole Mount Kits.</t>
  </si>
  <si>
    <t>Allied-Moulded-AMPOLEMNT10.jpg</t>
  </si>
  <si>
    <t>10" Width Enclosures</t>
  </si>
  <si>
    <t>Allied Moulded AMPOLEMNT12</t>
  </si>
  <si>
    <t>AMPOLEMNT12</t>
  </si>
  <si>
    <t>Allied Moulded AMP1426NLF,Allied Moulded AM1426RL,Allied Moulded AMU1426CCHF,Allied Moulded AM1426T</t>
  </si>
  <si>
    <t>Allied Moulded AMPOLEMNT12 Enclosure Accessories AM1224(6), AM1426, AMU(P)1426 (HxWxD) Use with AM/AMU Series Enclosure Pole Mount Kits.</t>
  </si>
  <si>
    <t>Allied-Moulded-AMPOLEMNT12.jpg</t>
  </si>
  <si>
    <t>12" Width Enclosures</t>
  </si>
  <si>
    <t>Allied Moulded AMPOLEMNT14</t>
  </si>
  <si>
    <t>AMPOLEMNT14</t>
  </si>
  <si>
    <t>Allied Moulded AMU1648TF,Allied Moulded AM1648L,Allied Moulded AM1426RT,Allied Moulded AMU1648CCHF</t>
  </si>
  <si>
    <t>Allied Moulded AMPOLEMNT14 Enclosure Accessories AM1648, AMU(P)1648 (HxWxD) Use with AM/AMU Series Enclosure Pole Mount Kits.</t>
  </si>
  <si>
    <t>Allied-Moulded-AMPOLEMNT14.jpg</t>
  </si>
  <si>
    <t>14" Width Enclosures</t>
  </si>
  <si>
    <t>Allied Moulded AMPOLEMNT16</t>
  </si>
  <si>
    <t>AMPOLEMNT16</t>
  </si>
  <si>
    <t>Allied Moulded AMU1860HF,Allied Moulded AM1868T,Allied Moulded AMU2060TF,Allied Moulded AM2068RL</t>
  </si>
  <si>
    <t>Allied Moulded AMPOLEMNT16 Enclosure Accessories AM1868, AM2068, AMU(P)1860, AMHD1860, AMU2060 (HxWxD) Use with AM/AMU Series Enclosure Pole Mount Kits.</t>
  </si>
  <si>
    <t>Allied-Moulded-AMPOLEMNT16.jpg</t>
  </si>
  <si>
    <t>16" Width Enclosures</t>
  </si>
  <si>
    <t>Allied Moulded AMPOLEMNT20</t>
  </si>
  <si>
    <t>AMPOLEMNT20</t>
  </si>
  <si>
    <t>Allied Moulded AM24208RT,Allied Moulded AM24200RTW,Allied Moulded AM24208RLW,Allied Moulded AM24200RL</t>
  </si>
  <si>
    <t>Allied Moulded AMPOLEMNT20 Enclosure Accessories AM2420 (HxWxD) Use with AM/AMU Series Enclosure Pole Mount Kits.</t>
  </si>
  <si>
    <t>Allied-Moulded-AMPOLEMNT20.jpg</t>
  </si>
  <si>
    <t>20" Width Enclosures</t>
  </si>
  <si>
    <t>Allied Moulded AMPOLEMNT24</t>
  </si>
  <si>
    <t>AMPOLEMNT24</t>
  </si>
  <si>
    <t>Allied Moulded AM24240RL,Allied Moulded AM30248RT,Allied Moulded AM24208RTW,Allied Moulded AM30240RLW</t>
  </si>
  <si>
    <t>Allied Moulded AMPOLEMNT24 Enclosure Accessories AM2424, AM3024 (HxWxD) Use with AM/AMU Series Enclosure Pole Mount Kits.</t>
  </si>
  <si>
    <t>Allied-Moulded-AMPOLEMNT24.jpg</t>
  </si>
  <si>
    <t>24" Width Enclosures</t>
  </si>
  <si>
    <t>Allied Moulded AMPOLEMNTEMP</t>
  </si>
  <si>
    <t>AMPOLEMNTEMP</t>
  </si>
  <si>
    <t>Allied Moulded AM363016L3PT,Allied Moulded AM603616L,Allied Moulded AM483612L3PT,Allied Moulded AM603612L,Allied Moulded AM363616L</t>
  </si>
  <si>
    <t>Allied Moulded AMPOLEMNTEMP Enclosure Accessories AM(EC)3630, AM3636, AM4836, AM6036 (HxWxD) Use with AM/AMU Series Enclosure Pole Mount Kits.</t>
  </si>
  <si>
    <t>Allied-Moulded-AMPOLEMNTEMP.jpg</t>
  </si>
  <si>
    <t>Empire Series enclosures 36"x30" through 60"x36"</t>
  </si>
  <si>
    <t>Allied Moulded LLK-H316</t>
  </si>
  <si>
    <r>
      <rPr>
        <sz val="8"/>
        <color rgb="FF231F20"/>
        <rFont val="Calibri"/>
        <family val="2"/>
        <scheme val="minor"/>
      </rPr>
      <t>LLK-H316</t>
    </r>
  </si>
  <si>
    <t>Allied Moulded AMHMI206L,Allied Moulded AMHMI66CCL,Allied Moulded PLA44,Allied Moulded PL44</t>
  </si>
  <si>
    <t>Allied Moulded LLK-H316 Enclosure Accessories Snap latch with keeper and hardware kit (HxWxD) Where Used Description Latch Hardware Kits for Flat Cover AM Series Fiberglass Enclosures.</t>
  </si>
  <si>
    <t>Latch replacement kit for Allied Moulded flat cover AM series fiberglass enclosures.  Includes stainless steel snap latch along with cover keeper and mounting hardware.</t>
  </si>
  <si>
    <t>Allied-Moulded-LLK-H316.jpg</t>
  </si>
  <si>
    <t>Snap Latch Hardware Kit</t>
  </si>
  <si>
    <t>Stainless Steel</t>
  </si>
  <si>
    <t>AM Series flat cover enlosures</t>
  </si>
  <si>
    <t>Allied Moulded LTK-H316</t>
  </si>
  <si>
    <r>
      <rPr>
        <sz val="8"/>
        <color rgb="FF231F20"/>
        <rFont val="Calibri"/>
        <family val="2"/>
        <scheme val="minor"/>
      </rPr>
      <t>LTK-H316</t>
    </r>
  </si>
  <si>
    <t>Allied Moulded AMP1860CCLF,Allied Moulded AMHMI66CCL,Allied Moulded AMHMI206CCH,Allied Moulded AMVENT4XLG</t>
  </si>
  <si>
    <t>Allied Moulded LTK-H316 Enclosure Accessories Twist latch with keeper and hardware kit (HxWxD) Where Used Description Latch Hardware Kits for Flat Cover AM Series Fiberglass Enclosures.</t>
  </si>
  <si>
    <t>Latch replacement kit for Allied Moulded flat cover AM series fiberglass enclosures.  Includes stainless steel twist latch along with cover keeper and mounting hardware.</t>
  </si>
  <si>
    <t>Allied-Moulded-LTK-H316.jpg</t>
  </si>
  <si>
    <t>Twist Latch Hardware Kit</t>
  </si>
  <si>
    <t>Allied Moulded LLKR-H316</t>
  </si>
  <si>
    <r>
      <rPr>
        <sz val="8"/>
        <color rgb="FF231F20"/>
        <rFont val="Calibri"/>
        <family val="2"/>
        <scheme val="minor"/>
      </rPr>
      <t>LLKR-H316</t>
    </r>
  </si>
  <si>
    <t>Allied Moulded AMHMI206CCH,Allied Moulded PLPVC44,Allied Moulded AMU864TWF,Allied Moulded PLA44</t>
  </si>
  <si>
    <t>Allied Moulded LLKR-H316 Enclosure Accessories Snap latch for raised cover with keeper and hardware kit (HxWxD) Where Used Description Latch Hardware Kits for Raised Cover AM-R Series Fiberglass Enclosures.</t>
  </si>
  <si>
    <t>Latch replacement kit for Allied Moulded raised cover AM-R series fiberglass enclosures.  Includes stainless steel snap latch along with cover keeper and mounting hardware.</t>
  </si>
  <si>
    <t>Allied-Moulded-LLKR-H316.jpg</t>
  </si>
  <si>
    <t>AM-R Series raised cover enlosures</t>
  </si>
  <si>
    <t>Allied Moulded LTKR-H316</t>
  </si>
  <si>
    <r>
      <rPr>
        <sz val="8"/>
        <color rgb="FF231F20"/>
        <rFont val="Calibri"/>
        <family val="2"/>
        <scheme val="minor"/>
      </rPr>
      <t>LTKR-H316</t>
    </r>
  </si>
  <si>
    <t>Allied Moulded AMHMI206CCHTP,Allied Moulded AMHMI66CCL,Allied Moulded AM1868RTW,Allied Moulded AMHMI206H</t>
  </si>
  <si>
    <t>Allied Moulded LTKR-H316 Enclosure Accessories Twist latch for raised cover with keeper and hardware kit (HxWxD) Where Used Description Latch Hardware Kits for Raised Cover AM-R Series Fiberglass Enclosures.</t>
  </si>
  <si>
    <t>Latch replacement kit for Allied Moulded raised cover AM-R series fiberglass enclosures.  Includes stainless steel twist latch along with cover keeper and mounting hardware.</t>
  </si>
  <si>
    <t>Allied-Moulded-LTKR-H316.jpg</t>
  </si>
  <si>
    <t>Allied Moulded LLPN-H</t>
  </si>
  <si>
    <r>
      <rPr>
        <sz val="8"/>
        <color rgb="FF231F20"/>
        <rFont val="Calibri"/>
        <family val="2"/>
        <scheme val="minor"/>
      </rPr>
      <t>LLPN-H</t>
    </r>
  </si>
  <si>
    <t>Allied Moulded AMHS075,Allied Moulded AM1084RLW,Allied Moulded AM1084RL,Allied Moulded PLPVC44</t>
  </si>
  <si>
    <t>Allied Moulded LLPN-H Enclosure Accessories Non-metallic snap latch kit (HxWxD) Where Used Description Latch (slip-on) Hardware Kit for AMP / AMU Series.</t>
  </si>
  <si>
    <t>Nonmetal latch replacement kit for Allied Moulded AMU and AMP series enclosures.  Includes polycarbonate slip-on snap latch.</t>
  </si>
  <si>
    <t>Allied-Moulded-LLPN-H.jpg</t>
  </si>
  <si>
    <t>AMU and AMP series enclosures</t>
  </si>
  <si>
    <t>Allied Moulded LLPS-H</t>
  </si>
  <si>
    <r>
      <rPr>
        <sz val="8"/>
        <color rgb="FF231F20"/>
        <rFont val="Calibri"/>
        <family val="2"/>
        <scheme val="minor"/>
      </rPr>
      <t>LLPS-H</t>
    </r>
  </si>
  <si>
    <t>Allied Moulded AMHMI206H,Allied Moulded PL44,Allied Moulded AMHMI206CCH,Allied Moulded PLPVC44</t>
  </si>
  <si>
    <t>Allied Moulded LLPS-H Enclosure Accessories Stainless steel snap latch kit (HxWxD) Where Used Description Latch (slip-on) Hardware Kit for AMP / AMU Series.</t>
  </si>
  <si>
    <t>Metal latch replacement kit for Allied Moulded AMU and AMP series enclosures.  Includes stainless steel slip-on snap latch.</t>
  </si>
  <si>
    <t>Allied-Moulded-LLPS-H.jpg</t>
  </si>
  <si>
    <t>Allied Moulded LTPS-H</t>
  </si>
  <si>
    <r>
      <rPr>
        <sz val="8"/>
        <color rgb="FF231F20"/>
        <rFont val="Calibri"/>
        <family val="2"/>
        <scheme val="minor"/>
      </rPr>
      <t>LTPS-H</t>
    </r>
  </si>
  <si>
    <t>Allied Moulded AMU864TWF,Allied Moulded AMHMI206HTP,Allied Moulded AM1084RHW,Allied Moulded AMHMI206L</t>
  </si>
  <si>
    <t>Allied Moulded LTPS-H Enclosure Accessories Stainless steel twist latch kit (HxWxD) Where Used Description Latch (slip-on) Hardware Kit for AMP / AMU Series.</t>
  </si>
  <si>
    <t>Metal latch replacement kit for Allied Moulded AMU and AMP series enclosures.  Includes stainless steel slip-on twist latch.</t>
  </si>
  <si>
    <t>Allied-Moulded-LTPS-H.jpg</t>
  </si>
  <si>
    <t>Allied Moulded LLRS-H</t>
  </si>
  <si>
    <r>
      <rPr>
        <sz val="8"/>
        <color rgb="FF231F20"/>
        <rFont val="Calibri"/>
        <family val="2"/>
        <scheme val="minor"/>
      </rPr>
      <t>LLRS-H</t>
    </r>
  </si>
  <si>
    <t>Allied Moulded AMP1860CCLF,Allied Moulded AM1084RHW,Allied Moulded AMHS075,Allied Moulded PLPVC44</t>
  </si>
  <si>
    <t>Allied Moulded LLRS-H Enclosure Accessories Stainless steel "low profile" snap latch kit (HxWxD) Where Used Description Latch (slip-on) Hardware Kit for AMHMI Cover Kits and AMP1082L (shallow POLYLINE).</t>
  </si>
  <si>
    <t>Metal latch replacement kit for Allied Moulded HMI cover kits and AMP1082 shallow Polyline enclosures.  Includes stainless steel slip-on snap latch.</t>
  </si>
  <si>
    <t>Allied-Moulded-LLRS-H.jpg</t>
  </si>
  <si>
    <t>POLYLINE® 10"x8"x2" enclosures and HMI Cover Kits</t>
  </si>
  <si>
    <t>Allied Moulded AM4-PFSN</t>
  </si>
  <si>
    <t>AM4-PFSN</t>
  </si>
  <si>
    <t>Allied Moulded AMHMI206HTP,Allied Moulded AM1084RL,Allied Moulded AM1084R,Allied Moulded AM1868RTW</t>
  </si>
  <si>
    <t>Allied Moulded AM4-PFSN Enclosure Accessories AM743 and AM943 (HxWxD) Where Used Description Mounting Foot/Bracket Kits - 4 screws and 4 feet per pack.</t>
  </si>
  <si>
    <t>Mounting foot/bracket replacement kit for Allied Moulded AM743 and AM943 series enclosures.  Includes 4 stainless steel feet along with #8-32 stainless steel mounting screws and nuts.</t>
  </si>
  <si>
    <t>Allied-Moulded-AM4-PFSN.jpg</t>
  </si>
  <si>
    <t>Mounting Foot/Bracket Kit</t>
  </si>
  <si>
    <t>AM Series small junction boxes</t>
  </si>
  <si>
    <t>Allied Moulded AM4-NFS</t>
  </si>
  <si>
    <t>AM4-NFS</t>
  </si>
  <si>
    <t>Allied Moulded AM1084L,Allied Moulded AMHMI206CCH,Allied Moulded AMHMI206H,Allied Moulded AMHMI206L</t>
  </si>
  <si>
    <t>Allied Moulded AM4-NFS Enclosure Accessories AM and AM-R series mounting foot kit (6 x 6 thru 20 x 16) (HxWxD) Where Used Description Mounting Foot/Bracket Kits - 4 screws and 4 feet per pack.</t>
  </si>
  <si>
    <t>Mounting foot/bracket replacement kit for Allied Moulded AM and AM-R series fiberglass enclosures sizes 6×6 through 20×16.  Includes 4 stainless steel feet along with mounting screws.</t>
  </si>
  <si>
    <t>Allied-Moulded-AM4-NFS.jpg</t>
  </si>
  <si>
    <t>AM &amp; AM-R Series enclosures 6"x6" through 20"x16"</t>
  </si>
  <si>
    <t>Allied Moulded AM4-NLFS</t>
  </si>
  <si>
    <t>AM4-NLFS</t>
  </si>
  <si>
    <t>Allied Moulded PLPVC44,Allied Moulded AM1084RL,Allied Moulded AMVENT4XLG,Allied Moulded PLA44</t>
  </si>
  <si>
    <t>Allied Moulded AM4-NLFS Enclosure Accessories Control series mounting foot kit
(24 x 20 thru 30 x 24) (HxWxD) Where Used Description Mounting Foot/Bracket Kits - 4 screws and 4 feet per pack.</t>
  </si>
  <si>
    <t>Mounting foot/bracket replacement kit for Allied Moulded AM-R (Control) series fiberglass enclosures sizes 24×20 through 30×24.  Includes 4 stainless steel feet along with mounting screws.</t>
  </si>
  <si>
    <t>Allied-Moulded-AM4-NLFS.jpg</t>
  </si>
  <si>
    <t>Control Series enclosures 24"x20" through 30"x24"</t>
  </si>
  <si>
    <t>Allied Moulded AM4-NUFS</t>
  </si>
  <si>
    <t>AM4-NUFS</t>
  </si>
  <si>
    <t>Allied Moulded AMHMI206CCH,Allied Moulded AMU864W,Allied Moulded AMHMI206H,Allied Moulded AM1084RHW</t>
  </si>
  <si>
    <t>Allied Moulded AM4-NUFS Enclosure Accessories AMU and AMP series mounting foot kit (6 x 6 thru 14 x 12) (HxWxD) Where Used Description Mounting Foot/Bracket Kits - 4 screws and 4 feet per pack.</t>
  </si>
  <si>
    <t>Mounting foot/bracket replacement kit for Allied Moulded AMU and AMP series enclosures sizes 6×6 through 14×12.  Includes 4 polycarbonate feet along with stainless steel mounting screws.</t>
  </si>
  <si>
    <t>Allied-Moulded-AM4-NUFS.jpg</t>
  </si>
  <si>
    <t>Back Panel Screw Kit</t>
  </si>
  <si>
    <t>AMU &amp; AMP Series enclosures 6"x6" through 14"x12"</t>
  </si>
  <si>
    <t>Allied Moulded AM4-NULFS</t>
  </si>
  <si>
    <t>AM4-NULFS</t>
  </si>
  <si>
    <t>Allied Moulded AM1868RTW,Allied Moulded AMP1PB22,Allied Moulded AMHMI206CCHTP,Allied Moulded PLA44</t>
  </si>
  <si>
    <t>Allied Moulded AM4-NULFS Enclosure Accessories AMU and AMP Series Mounting
Feet Kit (16 x 14 thru 20 x 10) (HxWxD) Where Used Description Mounting Foot/Bracket Kits - 4 screws and 4 feet per pack.</t>
  </si>
  <si>
    <t>Mounting foot/bracket replacement kit for Allied Moulded AMU and AMP series enclosures sizes 16×14 through 20×16.  Includes 4 polycarbonate feet along with stainless steel mounting screws.</t>
  </si>
  <si>
    <t>Allied-Moulded-AM4-NULFS.jpg</t>
  </si>
  <si>
    <t>AMU &amp; AMP Series enclosures 16"x14" through 20"x16"</t>
  </si>
  <si>
    <t>Allied Moulded AM4-NPS</t>
  </si>
  <si>
    <t>AM4-NPS</t>
  </si>
  <si>
    <t>Allied Moulded AM1084RLW,Allied Moulded AMP1PB22,Allied Moulded PLA44,Allied Moulded AMHMI206H</t>
  </si>
  <si>
    <t>Allied Moulded AM4-NPS Enclosure Accessories Back Panel Screw Kit for 6 x 6 thru
20 x 16 Enclosures (HxWxD) Where Used Description Panel Screw Kits - 4 screws in a pack.</t>
  </si>
  <si>
    <t>Back panel mounting screw replacement kit for Allied Moulded AM, AMU, AMP and AM-R series enclosures sizes 6×6 through 20×16.  Includes 4 plated carbon steel mounting screws.</t>
  </si>
  <si>
    <t>Allied-Moulded-AM4-NPS.jpg</t>
  </si>
  <si>
    <t>JIC size enclosures 6"x6" through 20"x16"</t>
  </si>
  <si>
    <t>Allied Moulded AM6-NLPS</t>
  </si>
  <si>
    <t>AM6-NLPS</t>
  </si>
  <si>
    <t>Allied Moulded AMU864WF,Allied Moulded AM1084RHW,Allied Moulded AMHMI206CCHTP,Allied Moulded AMP1PB22</t>
  </si>
  <si>
    <t>Allied Moulded AM6-NLPS Enclosure Accessories Back Panel Screw Kit for 24 x 20 thru 30 x 24 Enclosures (HxWxD) Where Used Description Panel Screw Kits - 6 screws in a pack.</t>
  </si>
  <si>
    <t>Back panel mounting screw replacement kit for Allied Moulded Control series fiberglass enclosures sizes 24×20 through 30×24.  Includes 6 plated carbon steel mounting screws.</t>
  </si>
  <si>
    <t>Allied-Moulded-AM6-NLPS.jpg</t>
  </si>
  <si>
    <t>Filter29</t>
  </si>
  <si>
    <t>Filter16</t>
  </si>
  <si>
    <t>Push Button Number</t>
  </si>
  <si>
    <t>Allied Moulded AM1PB Non Metallic Polyester Push Button Enclosure</t>
  </si>
  <si>
    <t>Allied Moulded AM1PB</t>
  </si>
  <si>
    <t>AM1PB</t>
  </si>
  <si>
    <t>Allied Moulded AMHS075,Allied Moulded AM1PB22,Allied Moulded AM743SF,Allied Moulded AM2PB,Allied Moulded AM743</t>
  </si>
  <si>
    <t>/Enclosures/Push Button Enclosures</t>
  </si>
  <si>
    <t>/Enclosures/Push Button Enclosures/Non-Metallic Push Button Enclosures</t>
  </si>
  <si>
    <t>Allied Moulded AM1PB ULTRAGUARD Fiberglass reinforced polyester Type 4x Push Button Enclosure with 1 hole 30.5mm.  7" x 4" x 3" (HXWXD) Inside Dimension. Opaque cover with lift off 4 screw cover. 316 Stainless Steel external hardware and plated carbon steel internal hardware.</t>
  </si>
  <si>
    <t>Allied Moulded AM1PB ULTRAGUARD Fiberglass reinforced polyester Type 4x Push Button Enclosureto protect electronic and electrical controls, components and instruments in outdoor and indoor applications. Non-corrosive and non-conductive is lightweight and easy to modify. Ideal to protect electronic and electrical components, controls and instruments in outdoor and indoor applications. Rigid design compression molded SMC box and Cover ideal for extreme temperature and corrosive environments.</t>
  </si>
  <si>
    <t>Allied Moulded AM1PB ULTRAGUARD Fiberglass reinforced polyester Type 4x Push Button Enclosure with 1 hole 30.5mm.  7" x 4" x 3" (HXWXD). Opaque cover with lift off 4 screw cover. 316 Stainless Steel external hardware and plated carbon steel internal hardware.</t>
  </si>
  <si>
    <t>Non-corrosive, non-conductive, light weight with lower installation cost, easy to modify and longer life cycle compared to steel. Rigid design and a gasket system encased in a continuous channel on the cover.;Rigid design and a gasket system encased in a continuous channel on the cover.;</t>
  </si>
  <si>
    <t>Allied-Moulded-AM1PB.jpg</t>
  </si>
  <si>
    <t>Push Button Enclosure</t>
  </si>
  <si>
    <t>Allied Moulded AM2PB Non Metallic Polyester Push Button Enclosure</t>
  </si>
  <si>
    <t>Allied Moulded AM2PB</t>
  </si>
  <si>
    <t>AM2PB</t>
  </si>
  <si>
    <t>Allied Moulded AM2PB22,Allied Moulded AM1PB,Allied Moulded AMHS075,Allied Moulded AM743SF,Allied Moulded AM743</t>
  </si>
  <si>
    <t>Allied Moulded AM2PB ULTRAGUARD Fiberglass reinforced polyester Type 4x Push Button Enclosure with 2 holes 30.5mm.  7" x 4" x 3" (HXWXD) Inside Dimension. Opaque cover with lift off 4 screw cover. 316 Stainless Steel external hardware and plated carbon steel internal hardware.</t>
  </si>
  <si>
    <t>Allied Moulded AM2PB ULTRAGUARD Fiberglass reinforced polyester Type 4x Push Button Enclosureto protect electronic and electrical controls, components and instruments in outdoor and indoor applications. Non-corrosive and non-conductive is lightweight and easy to modify. Ideal to protect electronic and electrical components, controls and instruments in outdoor and indoor applications. Rigid design compression molded SMC box and Cover ideal for extreme temperature and corrosive environments.</t>
  </si>
  <si>
    <t>Allied Moulded AM2PB ULTRAGUARD Fiberglass reinforced polyester Type 4x Push Button Enclosure with 2 holes 30.5mm.  7" x 4" x 3" (HXWXD). Opaque cover with lift off 4 screw cover. 316 Stainless Steel external hardware and plated carbon steel internal hardware.</t>
  </si>
  <si>
    <t>Allied-Moulded-AM2PB.jpg</t>
  </si>
  <si>
    <t>Allied Moulded AM3PB Non Metallic Polyester Push Button Enclosure</t>
  </si>
  <si>
    <t>Allied Moulded AM3PB</t>
  </si>
  <si>
    <t>AM3PB</t>
  </si>
  <si>
    <t>Allied Moulded PF94,Allied Moulded AM3PB22,Allied Moulded AM943SF,Allied Moulded AMHS075,Allied Moulded PA94,Allied Moulded AM943</t>
  </si>
  <si>
    <t>Allied Moulded AM3PB ULTRAGUARD Fiberglass reinforced polyester Type 4x Push Button Enclosure with 3 holes 30.5mm.  9" x 4" x 3" (HXWXD) Inside Dimension. Opaque cover with lift off 4 screw cover. 316 Stainless Steel external hardware and plated carbon steel internal hardware.</t>
  </si>
  <si>
    <t>Allied Moulded AM3PB ULTRAGUARD Fiberglass reinforced polyester Type 4x Push Button Enclosureto protect electronic and electrical controls, components and instruments in outdoor and indoor applications. Non-corrosive and non-conductive is lightweight and easy to modify. Ideal to protect electronic and electrical components, controls and instruments in outdoor and indoor applications. Rigid design compression molded SMC box and Cover ideal for extreme temperature and corrosive environments.</t>
  </si>
  <si>
    <t>Allied Moulded AM3PB ULTRAGUARD Fiberglass reinforced polyester Type 4x Push Button Enclosure with 3 holes 30.5mm.  9" x 4" x 3" (HXWXD). Opaque cover with lift off 4 screw cover. 316 Stainless Steel external hardware and plated carbon steel internal hardware.</t>
  </si>
  <si>
    <t>Allied-Moulded-AM3PB.jpg</t>
  </si>
  <si>
    <t>Allied Moulded AM1PB22 Non Metallic Polyester Push Button Enclosure</t>
  </si>
  <si>
    <t>Allied Moulded AM1PB22</t>
  </si>
  <si>
    <t>AM1PB22</t>
  </si>
  <si>
    <t>Allied Moulded AM743,Allied Moulded AM1PB,Allied Moulded AMHS050,Allied Moulded AM2PB22,Allied Moulded AM743SF</t>
  </si>
  <si>
    <t>Allied Moulded AM1PB22 ULTRAGUARD Fiberglass reinforced polyester Type 4x Push Button Enclosure with 1 hole 22.5mm.  7" x 4" x 3" (HXWXD) Inside Dimension. Opaque cover with lift off 4 screw cover. 316 Stainless Steel external hardware and plated carbon steel internal hardware.</t>
  </si>
  <si>
    <t>Allied Moulded AM1PB22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</si>
  <si>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AM1PB22 ULTRAGUARD Fiberglass reinforced polyester Type 4x Push Button Enclosure with 1 hole 22.5mm.  7" x 4" x 3" (HXWXD). Opaque cover with lift off 4 screw cover. 316 Stainless Steel external hardware and plated carbon steel internal hardware.</t>
  </si>
  <si>
    <t>Allied-Moulded-AM1PB22.jpg</t>
  </si>
  <si>
    <t>Allied Moulded AM2PB22 Non Metallic Polyester Push Button Enclosure</t>
  </si>
  <si>
    <t>Allied Moulded AM2PB22</t>
  </si>
  <si>
    <t>AM2PB22</t>
  </si>
  <si>
    <t>Allied Moulded AMHS050,Allied Moulded AM743SF,Allied Moulded AM1PB22,Allied Moulded AM743,Allied Moulded AM2PB</t>
  </si>
  <si>
    <t>Allied Moulded AM2PB22 ULTRAGUARD Fiberglass reinforced polyester Type 4x Push Button Enclosure with 2 holes 22.5mm.  7" x 4" x 3" (HXWXD) Inside Dimension. Opaque cover with lift off 4 screw cover. 316 Stainless Steel external hardware and plated carbon steel internal hardware.</t>
  </si>
  <si>
    <t>Allied Moulded AM2PB22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</si>
  <si>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AM2PB22 ULTRAGUARD Fiberglass reinforced polyester Type 4x Push Button Enclosure with 2 holes 22.5mm.  7" x 4" x 3" (HXWXD). Opaque cover with lift off 4 screw cover. 316 Stainless Steel external hardware and plated carbon steel internal hardware.</t>
  </si>
  <si>
    <t>Allied-Moulded-AM2PB22.jpg</t>
  </si>
  <si>
    <t>Allied Moulded AM3PB22 Non Metallic Polyester Push Button Enclosure</t>
  </si>
  <si>
    <t>Allied Moulded AM3PB22</t>
  </si>
  <si>
    <t>AM3PB22</t>
  </si>
  <si>
    <t>Allied Moulded AMHS075,Allied Moulded PF94,Allied Moulded AM943,Allied Moulded AM943SF,Allied Moulded PA94,Allied Moulded AM3PB</t>
  </si>
  <si>
    <t>Allied Moulded AM3PB22 ULTRAGUARD Fiberglass reinforced polyester Type 4x Push Button Enclosure with 3 holes 22.5mm.  9" x 4" x 3" (HXWXD) Inside Dimension. Opaque cover with lift off 4 screw cover. 316 Stainless Steel external hardware and plated carbon steel internal hardware.</t>
  </si>
  <si>
    <t>Allied Moulded AM3PB22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</si>
  <si>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AM3PB22 ULTRAGUARD Fiberglass reinforced polyester Type 4x Push Button Enclosure with 3 holes 22.5mm.  9" x 4" x 3" (HXWXD). Opaque cover with lift off 4 screw cover. 316 Stainless Steel external hardware and plated carbon steel internal hardware.</t>
  </si>
  <si>
    <t>Allied-Moulded-AM3PB22.jpg</t>
  </si>
  <si>
    <t>Allied Moulded AM664P4 Non Metallic Polyester Push Button Enclosure</t>
  </si>
  <si>
    <t>Allied Moulded AM664P4</t>
  </si>
  <si>
    <t>AM664P4</t>
  </si>
  <si>
    <t>Allied Moulded AMPOLEMNT6,Allied Moulded PLA66,Allied Moulded AM664,Allied Moulded PL66,Allied Moulded AMHS075,Allied Moulded AM664HP4,Allied Moulded PF66,Allied Moulded PG66</t>
  </si>
  <si>
    <t>Allied Moulded AM664P4 ULTRAGUARD Fiberglass reinforced polyester Type 4x Push Button Enclosure with 4 holes 30.5mm.  6" x 6" x 4" (HXWXD) Inside Dimension. Opaque cover with lift off 4 screw cover. 316 Stainless Steel external hardware and plated carbon steel internal hardware.</t>
  </si>
  <si>
    <t>Allied Moulded AM664P4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</si>
  <si>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AM664P4 ULTRAGUARD Fiberglass reinforced polyester Type 4x Push Button Enclosure with 4 holes 30.5mm.  6" x 6" x 4" (HXWXD). Opaque cover with lift off 4 screw cover. 316 Stainless Steel external hardware and plated carbon steel internal hardware.</t>
  </si>
  <si>
    <t>Allied-Moulded-AM664P4.jpg</t>
  </si>
  <si>
    <t>Allied Moulded AM864P6 Non Metallic Polyester Push Button Enclosure</t>
  </si>
  <si>
    <t>Allied Moulded AM864P6</t>
  </si>
  <si>
    <t>AM864P6</t>
  </si>
  <si>
    <t>Allied Moulded AM864,Allied Moulded PL86,Allied Moulded PG86,Allied Moulded PLA86,Allied Moulded AMPOLEMNT6,Allied Moulded AMHS075,Allied Moulded PF86</t>
  </si>
  <si>
    <t>Allied Moulded AM864P6 ULTRAGUARD Fiberglass reinforced polyester Type 4x Push Button Enclosure with 6 holes 30.5mm.  8" x 6" x 4" (HXWXD) Inside Dimension. Opaque cover with lift off 4 screw cover. 316 Stainless Steel external hardware and plated carbon steel internal hardware.</t>
  </si>
  <si>
    <t>Allied Moulded AM864P6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</si>
  <si>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AM864P6 ULTRAGUARD Fiberglass reinforced polyester Type 4x Push Button Enclosure with 6 holes 30.5mm.  8" x 6" x 4" (HXWXD). Opaque cover with lift off 4 screw cover. 316 Stainless Steel external hardware and plated carbon steel internal hardware.</t>
  </si>
  <si>
    <t>Allied-Moulded-AM864P6.jpg</t>
  </si>
  <si>
    <t>Allied Moulded AM1084P9 Non Metallic Polyester Push Button Enclosure</t>
  </si>
  <si>
    <t>Allied Moulded AM1084P9</t>
  </si>
  <si>
    <t>AM1084P9</t>
  </si>
  <si>
    <t>Allied Moulded AMPOLEMNT8,Allied Moulded PF108,Allied Moulded AMHS075,Allied Moulded AM1084,Allied Moulded AM1084HP9,Allied Moulded PLA108,Allied Moulded PL108,Allied Moulded PG108</t>
  </si>
  <si>
    <t>Allied Moulded AM1084P9 ULTRAGUARD Fiberglass reinforced polyester Type 4x Push Button Enclosure with 9 holes 30.5mm.  10" x 8" x 4" (HXWXD) Inside Dimension. Opaque cover with lift off 4 screw cover. 316 Stainless Steel external hardware and plated carbon steel internal hardware.</t>
  </si>
  <si>
    <t>Allied Moulded AM1084P9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</si>
  <si>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AM1084P9 ULTRAGUARD Fiberglass reinforced polyester Type 4x Push Button Enclosure with 9 holes 30.5mm.  10" x 8" x 4" (HXWXD). Opaque cover with lift off 4 screw cover. 316 Stainless Steel external hardware and plated carbon steel internal hardware.</t>
  </si>
  <si>
    <t>Allied-Moulded-AM1084P9.jpg</t>
  </si>
  <si>
    <t>Allied Moulded AM1086P9 Non Metallic Polyester Push Button Enclosure</t>
  </si>
  <si>
    <t>Allied Moulded AM1086P9</t>
  </si>
  <si>
    <t>AM1086P9</t>
  </si>
  <si>
    <t>Allied Moulded PL108,Allied Moulded PLA108,Allied Moulded PF108,Allied Moulded AM1086P12,Allied Moulded AM1086,Allied Moulded AMPOLEMNT8,Allied Moulded AMHS075,Allied Moulded PG108,Allied Moulded AM1086HP9</t>
  </si>
  <si>
    <t>Allied Moulded AM1086P9 ULTRAGUARD Fiberglass reinforced polyester Type 4x Push Button Enclosure with 9 holes 30.5mm.  10" x 8" x 6" (HXWXD) Inside Dimension. Opaque cover with lift off 4 screw cover. 316 Stainless Steel external hardware and plated carbon steel internal hardware.</t>
  </si>
  <si>
    <t>Allied Moulded AM1086P9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</si>
  <si>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AM1086P9 ULTRAGUARD Fiberglass reinforced polyester Type 4x Push Button Enclosure with 9 holes 30.5mm.  10" x 8" x 6" (HXWXD). Opaque cover with lift off 4 screw cover. 316 Stainless Steel external hardware and plated carbon steel internal hardware.</t>
  </si>
  <si>
    <t>Allied-Moulded-AM1086P9.jpg</t>
  </si>
  <si>
    <t>Allied Moulded AM1086P12 Non Metallic Polyester Push Button Enclosure</t>
  </si>
  <si>
    <t>Allied Moulded AM1086P12</t>
  </si>
  <si>
    <t>AM1086P12</t>
  </si>
  <si>
    <t>Allied Moulded AM1086P9,Allied Moulded AMHS075,Allied Moulded PF108,Allied Moulded PLA108,Allied Moulded PL108,Allied Moulded AM1086,Allied Moulded PG108,Allied Moulded AMPOLEMNT8,Allied Moulded AM1086HP12</t>
  </si>
  <si>
    <t>Allied Moulded AM1086P12 ULTRAGUARD Fiberglass reinforced polyester Type 4x Push Button Enclosure with 12 holes 30.5mm.  6" x 6" x 4" (HXWXD) Inside Dimension. Opaque cover with lift off 4 screw cover. 316 Stainless Steel external hardware and plated carbon steel internal hardware.</t>
  </si>
  <si>
    <t>Allied Moulded AM1086P12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</si>
  <si>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AM1086P12 ULTRAGUARD Fiberglass reinforced polyester Type 4x Push Button Enclosure with 12 holes 30.5mm.  6" x 6" x 4" (HXWXD). Opaque cover with lift off 4 screw cover. 316 Stainless Steel external hardware and plated carbon steel internal hardware.</t>
  </si>
  <si>
    <t>Allied-Moulded-AM1086P12.jpg</t>
  </si>
  <si>
    <t>Allied Moulded AM1206P16 Non Metallic Polyester Push Button Enclosure</t>
  </si>
  <si>
    <t>Allied Moulded AM1206P16</t>
  </si>
  <si>
    <t>AM1206P16</t>
  </si>
  <si>
    <t>Allied Moulded PG120,Allied Moulded AM1206P20,Allied Moulded PL120,Allied Moulded AM1206,Allied Moulded AMPOLEMNT10,Allied Moulded PLA120,Allied Moulded PF120,Allied Moulded AM1206HP16,Allied Moulded AMHS075</t>
  </si>
  <si>
    <t>Allied Moulded AM1206P16 ULTRAGUARD Fiberglass reinforced polyester Type 4x Push Button Enclosure with 16 holes 30.5mm.  12" x 10" x 6" (HXWXD) Inside Dimension. Opaque cover with lift off 4 screw cover. 316 Stainless Steel external hardware and plated carbon steel internal hardware.</t>
  </si>
  <si>
    <t>Allied Moulded AM1206P16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</si>
  <si>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AM1206P16 ULTRAGUARD Fiberglass reinforced polyester Type 4x Push Button Enclosure with 16 holes 30.5mm.  12" x 10" x 6" (HXWXD). Opaque cover with lift off 4 screw cover. 316 Stainless Steel external hardware and plated carbon steel internal hardware.</t>
  </si>
  <si>
    <t>Allied-Moulded-AM1206P16.jpg</t>
  </si>
  <si>
    <t>Allied Moulded AM1206P20 Non Metallic Polyester Push Button Enclosure</t>
  </si>
  <si>
    <t>Allied Moulded AM1206P20</t>
  </si>
  <si>
    <t>AM1206P20</t>
  </si>
  <si>
    <t>Allied Moulded AM1206,Allied Moulded AMHS075,Allied Moulded AMPOLEMNT10,Allied Moulded PG120,Allied Moulded PLA120,Allied Moulded AM1206HP20,Allied Moulded AM1206P16,Allied Moulded PF120,Allied Moulded PL120</t>
  </si>
  <si>
    <t>Allied Moulded AM1206P20 ULTRAGUARD Fiberglass reinforced polyester Type 4x Push Button Enclosure with 20 holes 30.5mm.  12" x 10" x 6" (HXWXD) Inside Dimension. Opaque cover with lift off 4 screw cover. 316 Stainless Steel external hardware and plated carbon steel internal hardware.</t>
  </si>
  <si>
    <t>Allied Moulded AM1206P20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</si>
  <si>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AM1206P20 ULTRAGUARD Fiberglass reinforced polyester Type 4x Push Button Enclosure with 20 holes 30.5mm.  12" x 10" x 6" (HXWXD). Opaque cover with lift off 4 screw cover. 316 Stainless Steel external hardware and plated carbon steel internal hardware.</t>
  </si>
  <si>
    <t>Allied-Moulded-AM1206P20.jpg</t>
  </si>
  <si>
    <t>Allied Moulded AM1426P25 Non Metallic Polyester Push Button Enclosure</t>
  </si>
  <si>
    <t>Allied Moulded AM1426P25</t>
  </si>
  <si>
    <t>AM1426P25</t>
  </si>
  <si>
    <t>Allied Moulded AMHS075,Allied Moulded AMPOLEMNT12,Allied Moulded PLA142,Allied Moulded AM1426HP25,Allied Moulded PL142,Allied Moulded PF142,Allied Moulded AM1426,Allied Moulded PG142</t>
  </si>
  <si>
    <t>Allied Moulded AM1426P25 ULTRAGUARD Fiberglass reinforced polyester Type 4x Push Button Enclosure with 25 holes 30.5mm.  14" x 12" x 6" (HXWXD) Inside Dimension. Opaque cover with lift off 4 screw cover. 316 Stainless Steel external hardware and plated carbon steel internal hardware.</t>
  </si>
  <si>
    <t>Allied Moulded AM1426P25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</si>
  <si>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AM1426P25 ULTRAGUARD Fiberglass reinforced polyester Type 4x Push Button Enclosure with 25 holes 30.5mm.  14" x 12" x 6" (HXWXD). Opaque cover with lift off 4 screw cover. 316 Stainless Steel external hardware and plated carbon steel internal hardware.</t>
  </si>
  <si>
    <t>Allied-Moulded-AM1426P25.jpg</t>
  </si>
  <si>
    <t>Allied Moulded AM1648P30 Non Metallic Polyester Push Button Enclosure</t>
  </si>
  <si>
    <t>Allied Moulded AM1648P30</t>
  </si>
  <si>
    <t>AM1648P30</t>
  </si>
  <si>
    <t>Allied Moulded AMPOLEMNT14,Allied Moulded PF164,Allied Moulded AMHS075,Allied Moulded AM1648HP30,Allied Moulded AM1648,Allied Moulded PA164,Allied Moulded PG164,Allied Moulded P164</t>
  </si>
  <si>
    <t>Allied Moulded AM1648P30 ULTRAGUARD Fiberglass reinforced polyester Type 4x Push Button Enclosure with 30 holes 30.5mm.  16" x 14" x 8" (HXWXD) Inside Dimension. Opaque cover with lift off 4 screw cover. 316 Stainless Steel external hardware and plated carbon steel internal hardware.</t>
  </si>
  <si>
    <t>Allied Moulded AM1648P30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</si>
  <si>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AM1648P30 ULTRAGUARD Fiberglass reinforced polyester Type 4x Push Button Enclosure with 30 holes 30.5mm.  16" x 14" x 8" (HXWXD). Opaque cover with lift off 4 screw cover. 316 Stainless Steel external hardware and plated carbon steel internal hardware.</t>
  </si>
  <si>
    <t>Allied-Moulded-AM1648P30.jpg</t>
  </si>
  <si>
    <t>Allied Moulded AM1868P42 Non Metallic Polyester Push Button Enclosure</t>
  </si>
  <si>
    <t>Allied Moulded AM1868P42</t>
  </si>
  <si>
    <t>AM1868P42</t>
  </si>
  <si>
    <t>Allied Moulded PA186,Allied Moulded P186,Allied Moulded AMPOLEMNT16,Allied Moulded PG186,Allied Moulded AMHS075,Allied Moulded AM1868,Allied Moulded PF186,Allied Moulded AM1868HP42</t>
  </si>
  <si>
    <t>Allied Moulded AM1868P42 ULTRAGUARD Fiberglass reinforced polyester Type 4x Push Button Enclosure with 42 holes 30.5mm.  18" x 16" x 8" (HXWXD) Inside Dimension. Opaque cover with lift off 4 screw cover. 316 Stainless Steel external hardware and plated carbon steel internal hardware.</t>
  </si>
  <si>
    <t>Allied Moulded AM1868P42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</si>
  <si>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AM1868P42 ULTRAGUARD Fiberglass reinforced polyester Type 4x Push Button Enclosure with 42 holes 30.5mm.  18" x 16" x 8" (HXWXD). Opaque cover with lift off 4 screw cover. 316 Stainless Steel external hardware and plated carbon steel internal hardware.</t>
  </si>
  <si>
    <t>Allied-Moulded-AM1868P42.jpg</t>
  </si>
  <si>
    <t>Allied Moulded AM664HP4 Non Metallic Polyester Push Button Enclosure</t>
  </si>
  <si>
    <t>Allied Moulded AM664HP4</t>
  </si>
  <si>
    <t>AM664HP4</t>
  </si>
  <si>
    <t>Allied Moulded AMHS075,Allied Moulded PLA66,Allied Moulded PG66,Allied Moulded PF66,Allied Moulded AMPOLEMNT6,Allied Moulded PL66,Allied Moulded AM664H,Allied Moulded AM664P4</t>
  </si>
  <si>
    <t>Allied Moulded AM664HP4 ULTRAGUARD Fiberglass reinforced polyester Type 4x Push Button Enclosure with 4 holes 30.5mm.  6" x 6" x 4" (HXWXD) Inside Dimension. Opaque cover with two screw hinged cover. 316 Stainless Steel hinge, external hardware and plated carbon steel internal hardware.</t>
  </si>
  <si>
    <t>Allied Moulded AM664HP4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</si>
  <si>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AM664HP4 ULTRAGUARD Fiberglass reinforced polyester Type 4x Push Button Enclosure with 4 holes 30.5mm.  6" x 6" x 4" (HXWXD). Opaque cover with two screw hinged cover. 316 Stainless Steel hinge, external hardware and plated carbon steel internal hardware.</t>
  </si>
  <si>
    <t>Allied-Moulded-AM664HP4.jpg</t>
  </si>
  <si>
    <t>Allied Moulded AM864HP6 Non Metallic Polyester Push Button Enclosure</t>
  </si>
  <si>
    <t>Allied Moulded AM864HP6</t>
  </si>
  <si>
    <t>AM864HP6</t>
  </si>
  <si>
    <t>Allied Moulded PL86,Allied Moulded AMHS075,Allied Moulded PLA86,Allied Moulded AM864H,Allied Moulded PF86,Allied Moulded AMPOLEMNT6,Allied Moulded PG86,Allied Moulded AM864P6</t>
  </si>
  <si>
    <t>Allied Moulded AM864HP6 ULTRAGUARD Fiberglass reinforced polyester Type 4x Push Button Enclosure with 6 holes 30.5mm.  8" x 6" x 4" (HXWXD) Inside Dimension. Opaque cover with two screw hinged cover. 316 Stainless Steel hinge, external hardware and plated carbon steel internal hardware.</t>
  </si>
  <si>
    <t>Allied Moulded AM864HP6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</si>
  <si>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AM864HP6 ULTRAGUARD Fiberglass reinforced polyester Type 4x Push Button Enclosure with 6 holes 30.5mm.  8" x 6" x 4" (HXWXD). Opaque cover with two screw hinged cover. 316 Stainless Steel hinge, external hardware and plated carbon steel internal hardware.</t>
  </si>
  <si>
    <t>Allied-Moulded-AM864HP6.jpg</t>
  </si>
  <si>
    <t>Allied Moulded AM1084HP9 Non Metallic Polyester Push Button Enclosure</t>
  </si>
  <si>
    <t>Allied Moulded AM1084HP9</t>
  </si>
  <si>
    <t>AM1084HP9</t>
  </si>
  <si>
    <t>Allied Moulded PG108,Allied Moulded AMPOLEMNT8,Allied Moulded PLA108,Allied Moulded AM1084H,Allied Moulded PF108,Allied Moulded AMHS075,Allied Moulded AM1084P9,Allied Moulded PL108</t>
  </si>
  <si>
    <t>Allied Moulded AM1084HP9 ULTRAGUARD Fiberglass reinforced polyester Type 4x Push Button Enclosure with 9 holes 30.5mm.  10" x 8" x 4" (HXWXD) Inside Dimension. Opaque cover with two screw hinged cover. 316 Stainless Steel hinge, external hardware and plated carbon steel internal hardware.</t>
  </si>
  <si>
    <t>Allied Moulded AM1084HP9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</si>
  <si>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AM1084HP9 ULTRAGUARD Fiberglass reinforced polyester Type 4x Push Button Enclosure with 9 holes 30.5mm.  10" x 8" x 4" (HXWXD). Opaque cover with two screw hinged cover. 316 Stainless Steel hinge, external hardware and plated carbon steel internal hardware.</t>
  </si>
  <si>
    <t>Allied-Moulded-AM1084HP9.jpg</t>
  </si>
  <si>
    <t>Allied Moulded AM1086HP9 Non Metallic Polyester Push Button Enclosure</t>
  </si>
  <si>
    <t>Allied Moulded AM1086HP9</t>
  </si>
  <si>
    <t>AM1086HP9</t>
  </si>
  <si>
    <t>Allied Moulded PL108,Allied Moulded AM1086H,Allied Moulded PF108,Allied Moulded PG108,Allied Moulded PLA108,Allied Moulded AMPOLEMNT8,Allied Moulded AMHS075,Allied Moulded AM1086P9,Allied Moulded AM1086HP12</t>
  </si>
  <si>
    <t>Allied Moulded AM1086HP9 ULTRAGUARD Fiberglass reinforced polyester Type 4x Push Button Enclosure with 4 holes 30.5mm.  6" x 6" x 4" (HXWXD) Inside Dimension. Opaque cover with two screw hinged cover. 316 Stainless Steel hinge, external hardware and plated carbon steel internal hardware.</t>
  </si>
  <si>
    <t>Allied Moulded AM1086HP9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</si>
  <si>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AM1086HP9 ULTRAGUARD Fiberglass reinforced polyester Type 4x Push Button Enclosure with 4 holes 30.5mm.  6" x 6" x 4" (HXWXD). Opaque cover with two screw hinged cover. 316 Stainless Steel hinge, external hardware and plated carbon steel internal hardware.</t>
  </si>
  <si>
    <t>Allied-Moulded-AM1086HP9.jpg</t>
  </si>
  <si>
    <t>Allied Moulded AM1086HP12 Non Metallic Polyester Push Button Enclosure</t>
  </si>
  <si>
    <t>Allied Moulded AM1086HP12</t>
  </si>
  <si>
    <t>AM1086HP12</t>
  </si>
  <si>
    <t>Allied Moulded PLA108,Allied Moulded PF108,Allied Moulded AM1086HP9,Allied Moulded AM1086P12,Allied Moulded AMPOLEMNT8,Allied Moulded PL108,Allied Moulded AM1086H,Allied Moulded AMHS075,Allied Moulded PG108</t>
  </si>
  <si>
    <t>Allied Moulded AM1086HP12 ULTRAGUARD Fiberglass reinforced polyester Type 4x Push Button Enclosure with 12 holes 30.5mm.  10" x 8" x 6" (HXWXD) Inside Dimension. Opaque cover with two screw hinged cover. 316 Stainless Steel hinge, external hardware and plated carbon steel internal hardware.</t>
  </si>
  <si>
    <t>Allied Moulded AM1086HP12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</si>
  <si>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AM1086HP12 ULTRAGUARD Fiberglass reinforced polyester Type 4x Push Button Enclosure with 12 holes 30.5mm.  10" x 8" x 6" (HXWXD). Opaque cover with two screw hinged cover. 316 Stainless Steel hinge, external hardware and plated carbon steel internal hardware.</t>
  </si>
  <si>
    <t>Allied-Moulded-AM1086HP12.jpg</t>
  </si>
  <si>
    <t>Allied Moulded AM1206HP16 Non Metallic Polyester Push Button Enclosure</t>
  </si>
  <si>
    <t>Allied Moulded AM1206HP16</t>
  </si>
  <si>
    <t>AM1206HP16</t>
  </si>
  <si>
    <t>Allied Moulded PL120,Allied Moulded PLA120,Allied Moulded AM1206H,Allied Moulded PG120,Allied Moulded AM1206HP20,Allied Moulded AMHS075,Allied Moulded AMPOLEMNT10,Allied Moulded AM1206P16,Allied Moulded PF120</t>
  </si>
  <si>
    <t>Allied Moulded AM1206HP16 ULTRAGUARD Fiberglass reinforced polyester Type 4x Push Button Enclosure with 14 holes 30.5mm.  12" x 10" x 6" (HXWXD) Inside Dimension. Opaque cover with two screw hinged cover. 316 Stainless Steel hinge, external hardware and plated carbon steel internal hardware.</t>
  </si>
  <si>
    <t>Allied Moulded AM1206HP16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</si>
  <si>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AM1206HP16 ULTRAGUARD Fiberglass reinforced polyester Type 4x Push Button Enclosure with 14 holes 30.5mm.  12" x 10" x 64" (HXWXD). Opaque cover with two screw hinged cover. 316 Stainless Steel hinge, external hardware and plated carbon steel internal hardware.</t>
  </si>
  <si>
    <t>Allied-Moulded-AM1206HP16.jpg</t>
  </si>
  <si>
    <t>Allied Moulded AM1206HP20 Non Metallic Polyester Push Button Enclosure</t>
  </si>
  <si>
    <t>Allied Moulded AM1206HP20</t>
  </si>
  <si>
    <t>AM1206HP20</t>
  </si>
  <si>
    <t>Allied Moulded PF120,Allied Moulded AM1206HP16,Allied Moulded PLA120,Allied Moulded PG120,Allied Moulded AMHS075,Allied Moulded AM1206H,Allied Moulded AMPOLEMNT10,Allied Moulded AM1206P20,Allied Moulded PL120</t>
  </si>
  <si>
    <t>Allied Moulded AM1206HP20 ULTRAGUARD Fiberglass reinforced polyester Type 4x Push Button Enclosure with 20 holes 30.5mm.  20" x 10" x 6" (HXWXD) Inside Dimension. Opaque cover with two screw hinged cover. 316 Stainless Steel hinge, external hardware and plated carbon steel internal hardware.</t>
  </si>
  <si>
    <t>Allied Moulded AM1206HP20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</si>
  <si>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AM1206HP20 ULTRAGUARD Fiberglass reinforced polyester Type 4x Push Button Enclosure with 20 holes 30.5mm.  20" x 10" x 6" (HXWXD). Opaque cover with two screw hinged cover. 316 Stainless Steel hinge, external hardware and plated carbon steel internal hardware.</t>
  </si>
  <si>
    <t>Allied-Moulded-AM1206HP20.jpg</t>
  </si>
  <si>
    <t>Allied Moulded AM1426HP25 Non Metallic Polyester Push Button Enclosure</t>
  </si>
  <si>
    <t>Allied Moulded AM1426HP25</t>
  </si>
  <si>
    <t>AM1426HP25</t>
  </si>
  <si>
    <t>Allied Moulded PF142,Allied Moulded PLA142,Allied Moulded PG142,Allied Moulded AM1426H,Allied Moulded AM1426P25,Allied Moulded PL142,Allied Moulded AMHS075,Allied Moulded AMPOLEMNT12</t>
  </si>
  <si>
    <t>Allied Moulded AM1426HP25 ULTRAGUARD Fiberglass reinforced polyester Type 4x Push Button Enclosure with 25 holes 30.5mm.  14" x 12" x 6" (HXWXD) Inside Dimension. Opaque cover with two screw hinged cover. 316 Stainless Steel hinge, external hardware and plated carbon steel internal hardware.</t>
  </si>
  <si>
    <t>Allied Moulded AM1426HP25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</si>
  <si>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AM1426HP25 ULTRAGUARD Fiberglass reinforced polyester Type 4x Push Button Enclosure with 25 holes 30.5mm.  14" x 12" x 6" (HXWXD). Opaque cover with two screw hinged cover. 316 Stainless Steel hinge, external hardware and plated carbon steel internal hardware.</t>
  </si>
  <si>
    <t>Allied-Moulded-AM1426HP25.jpg</t>
  </si>
  <si>
    <t>Allied Moulded AM1648HP30 Non Metallic Polyester Push Button Enclosure</t>
  </si>
  <si>
    <t>Allied Moulded AM1648HP30</t>
  </si>
  <si>
    <t>AM1648HP30</t>
  </si>
  <si>
    <t>Allied Moulded AMPOLEMNT14,Allied Moulded AM1648H,Allied Moulded P164,Allied Moulded AMHS075,Allied Moulded PG164,Allied Moulded PA164,Allied Moulded AM1648P30,Allied Moulded PF164</t>
  </si>
  <si>
    <t>Allied Moulded AM1648HP30 ULTRAGUARD Fiberglass reinforced polyester Type 4x Push Button Enclosure with 30 holes 30.5mm.  16" x 14" x 8" (HXWXD) Inside Dimension. Opaque cover with two screw hinged cover. 316 Stainless Steel hinge, external hardware and plated carbon steel internal hardware.</t>
  </si>
  <si>
    <t>Allied Moulded AM1648HP30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</si>
  <si>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AM1648HP30 ULTRAGUARD Fiberglass reinforced polyester Type 4x Push Button Enclosure with 30 holes 30.5mm.  16" x 14" x 8" (HXWXD). Opaque cover with two screw hinged cover. 316 Stainless Steel hinge, external hardware and plated carbon steel internal hardware.</t>
  </si>
  <si>
    <t>Allied-Moulded-AM1648HP30.jpg</t>
  </si>
  <si>
    <t>Allied Moulded AM1868HP42 Non Metallic Polyester Push Button Enclosure</t>
  </si>
  <si>
    <t>Allied Moulded AM1868HP42</t>
  </si>
  <si>
    <t>AM1868HP42</t>
  </si>
  <si>
    <t>Allied Moulded PG186,Allied Moulded AM1868H,Allied Moulded AMPOLEMNT16,Allied Moulded AMHS075,Allied Moulded AM1868P42,Allied Moulded PA186,Allied Moulded PF186,Allied Moulded P186</t>
  </si>
  <si>
    <t>Allied Moulded AM1868HP42 ULTRAGUARD Fiberglass reinforced polyester Type 4x Push Button Enclosure with 42 holes 30.5mm.  18" x 16" x 8" (HXWXD) Inside Dimension. Opaque cover with two screw hinged cover. 316 Stainless Steel hinge, external hardware and plated carbon steel internal hardware.</t>
  </si>
  <si>
    <t>Allied Moulded AM1868HP42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</si>
  <si>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AM1868HP42 ULTRAGUARD Fiberglass reinforced polyester Type 4x Push Button Enclosure with 42 holes 30.5mm.  18" x 16" x 8" (HXWXD). Opaque cover with two screw hinged cover. 316 Stainless Steel hinge, external hardware and plated carbon steel internal hardware.</t>
  </si>
  <si>
    <t>Allied-Moulded-AM1868HP42.jpg</t>
  </si>
  <si>
    <t>Allied Moulded AMP1PB Enclosure 4" x 4" x 3"</t>
  </si>
  <si>
    <t>Allied Moulded AMP1PB</t>
  </si>
  <si>
    <t>AMP1PB</t>
  </si>
  <si>
    <t>Allied Moulded AMHS050,Allied Moulded AMP443L,Allied Moulded AMP443CC,Allied Moulded PLA44,Allied Moulded AMP443CCNL,Allied Moulded PLPVC44,Allied Moulded AMP443,Allied Moulded PL44</t>
  </si>
  <si>
    <t>Allied Moulded AMP1PB POLYLINE AMP Series JIC Size Polycarbonate 4" x 4" x 3" (HxWxD) Approx. Inside Dimensions Inline Push Button Lift-Off Screw Cover.</t>
  </si>
  <si>
    <t>Allied-Moulded-AMP1PB.jpg</t>
  </si>
  <si>
    <t>Allied Moulded AMP1PB22 Enclosure 4" x 4" x 3"</t>
  </si>
  <si>
    <t>Allied Moulded AMP1PB22</t>
  </si>
  <si>
    <t>AMP1PB22</t>
  </si>
  <si>
    <t>Allied Moulded PLA44,Allied Moulded AMP443CC,Allied Moulded PLPVC44,Allied Moulded AMP443CCNL,Allied Moulded AMP443L,Allied Moulded PL44,Allied Moulded AMHS050,Allied Moulded AMP443</t>
  </si>
  <si>
    <t>Allied Moulded AMP1PB22 POLYLINE AMP Series JIC Size Polycarbonate 4" x 4" x 3" (HxWxD) Approx. Inside Dimensions Inline Push Button Lift-Off Screw Cover.</t>
  </si>
  <si>
    <t>Allied-Moulded-AMP1PB22.jpg</t>
  </si>
  <si>
    <t>Allied Moulded AM4PB Enclosure 9" x 4" x 3"</t>
  </si>
  <si>
    <t>Allied Moulded AM4PB</t>
  </si>
  <si>
    <t>AM4PB</t>
  </si>
  <si>
    <t>Allied Moulded AM943,Allied Moulded AM943SF,Allied Moulded PF94,Allied Moulded AM4PB22,Allied Moulded PA94,Allied Moulded AMHS075</t>
  </si>
  <si>
    <t>Allied Moulded AM4PB AM Series Small Junction Fiberglass Enclosure 9" x 4" x 3" (HxWxD) Approx. Inside Dimensions Inline Push Button Lift-Off Screw Cover.</t>
  </si>
  <si>
    <t>Allied-Moulded-AM4PB.jpg</t>
  </si>
  <si>
    <t>Allied Moulded AM4PB22 Enclosure 9" x 4" x 3"</t>
  </si>
  <si>
    <t>Allied Moulded AM4PB22</t>
  </si>
  <si>
    <t>AM4PB22</t>
  </si>
  <si>
    <t>Allied Moulded PA94,Allied Moulded AM943,Allied Moulded AM943SF,Allied Moulded AMHS075,Allied Moulded PF94,Allied Moulded AM4PB</t>
  </si>
  <si>
    <t>Allied Moulded AM4PB22 AM Series Small Junction Fiberglass Enclosure 9" x 4" x 3" (HxWxD) Approx. Inside Dimensions Inline Push Button Lift-Off Screw Cover.</t>
  </si>
  <si>
    <t>Allied-Moulded-AM4PB22.jpg</t>
  </si>
  <si>
    <t>Filter 6</t>
  </si>
  <si>
    <t>Panel Height</t>
  </si>
  <si>
    <t>Panel Width</t>
  </si>
  <si>
    <t>Allied Moulded HFP66 Hinged Front Panel 6" x 6"</t>
  </si>
  <si>
    <t>Allied Moulded HFP66</t>
  </si>
  <si>
    <r>
      <rPr>
        <sz val="8"/>
        <color rgb="FF231F20"/>
        <rFont val="Arial"/>
        <family val="34"/>
      </rPr>
      <t>HFP66</t>
    </r>
  </si>
  <si>
    <t>Allied Moulded AM1084RT,Allied Moulded PL44,Allied Moulded AMHMI206CCH,Allied Moulded AMP1860CCLF</t>
  </si>
  <si>
    <t>/Enclosure Accessories/Enclosure Backplates &amp; Panels</t>
  </si>
  <si>
    <t>/Enclosure Accessories/Enclosure Backplates &amp; Panels/Enclosure Panels &amp; Swing-Out Panels</t>
  </si>
  <si>
    <t>Allied Moulded HFP66 AM-R Series JIC Size Hinged Front Panels 6" x 6" (HxWxD) Aluminum Hinged Front Panels.</t>
  </si>
  <si>
    <t>Field installable;</t>
  </si>
  <si>
    <t>Allied-Moulded-HFP66.jpg</t>
  </si>
  <si>
    <t>Hinged Front Panel</t>
  </si>
  <si>
    <t xml:space="preserve">AM-R Series </t>
  </si>
  <si>
    <t>Allied Moulded HFP86 Hinged Front Panel 8" x 6"</t>
  </si>
  <si>
    <t>Allied Moulded HFP86</t>
  </si>
  <si>
    <r>
      <rPr>
        <sz val="8"/>
        <color rgb="FF231F20"/>
        <rFont val="Arial"/>
        <family val="34"/>
      </rPr>
      <t>HFP86</t>
    </r>
  </si>
  <si>
    <t>Allied Moulded AMHMI206H,Allied Moulded AMP1PB22,Allied Moulded AMHMI66CCL,Allied Moulded AMHMI206L</t>
  </si>
  <si>
    <t>Allied Moulded HFP86 AM-R Series JIC Size Hinged Front Panels 8" x 6" (HxWxD) Aluminum Hinged Front Panels.</t>
  </si>
  <si>
    <t>Allied-Moulded-HFP86.jpg</t>
  </si>
  <si>
    <t>Allied Moulded HFP108 Hinged Front Panel 10" x 8"</t>
  </si>
  <si>
    <t>Allied Moulded HFP108</t>
  </si>
  <si>
    <r>
      <rPr>
        <sz val="8"/>
        <color rgb="FF231F20"/>
        <rFont val="Arial"/>
        <family val="34"/>
      </rPr>
      <t>HFP108</t>
    </r>
  </si>
  <si>
    <t>Allied Moulded AMHMI66CCL,Allied Moulded AMP1PB22,Allied Moulded AM1084RT,Allied Moulded AM1084R</t>
  </si>
  <si>
    <t>Allied Moulded HFP108 AM-R Series JIC Size Hinged Front Panels 10" x 8" (HxWxD) Aluminum Hinged Front Panels.</t>
  </si>
  <si>
    <t>Allied-Moulded-HFP108.jpg</t>
  </si>
  <si>
    <t>Allied Moulded HFP122 Hinged Front Panel 12" x 12"</t>
  </si>
  <si>
    <t>Allied Moulded HFP122</t>
  </si>
  <si>
    <r>
      <rPr>
        <sz val="8"/>
        <color rgb="FF231F20"/>
        <rFont val="Arial"/>
        <family val="34"/>
      </rPr>
      <t>HFP122</t>
    </r>
  </si>
  <si>
    <t>Allied Moulded AM1224RL,Allied Moulded AM1224RLW,Allied Moulded AM1224RT,Allied Moulded AM1224RTW</t>
  </si>
  <si>
    <t>Allied Moulded HFP122 AM-R Series JIC Size Hinged Front Panels 12" x 12" (HxWxD) Aluminum Hinged Front Panels.</t>
  </si>
  <si>
    <t>Allied-Moulded-HFP122.jpg</t>
  </si>
  <si>
    <t>Allied Moulded HFP120 Hinged Front Panel 12" x 10"</t>
  </si>
  <si>
    <t>Allied Moulded HFP120</t>
  </si>
  <si>
    <r>
      <rPr>
        <sz val="8"/>
        <color rgb="FF231F20"/>
        <rFont val="Arial"/>
        <family val="34"/>
      </rPr>
      <t>HFP120</t>
    </r>
  </si>
  <si>
    <t>Allied Moulded PLPVC44,Allied Moulded AM1084RLW,Allied Moulded PLA44,Allied Moulded AM1084LW</t>
  </si>
  <si>
    <t>Allied Moulded HFP120 AM-R Series JIC Size Hinged Front Panels 12" x 10" (HxWxD) Aluminum Hinged Front Panels.</t>
  </si>
  <si>
    <t>Allied-Moulded-HFP120.jpg</t>
  </si>
  <si>
    <t>Allied Moulded HFP142 Hinged Front Panel 14" x 12"</t>
  </si>
  <si>
    <t>Allied Moulded HFP142</t>
  </si>
  <si>
    <r>
      <rPr>
        <sz val="8"/>
        <color rgb="FF231F20"/>
        <rFont val="Arial"/>
        <family val="34"/>
      </rPr>
      <t>HFP142</t>
    </r>
  </si>
  <si>
    <t>Allied Moulded AM1084LW,Allied Moulded AMHMI66CCL,Allied Moulded AM1084RHW,Allied Moulded AMHMI206CCHTP</t>
  </si>
  <si>
    <t>Allied Moulded HFP142 AM-R Series JIC Size Hinged Front Panels 14" x 12" (HxWxD) Aluminum Hinged Front Panels.</t>
  </si>
  <si>
    <t>Allied-Moulded-HFP142.jpg</t>
  </si>
  <si>
    <t>Allied Moulded HFP164 Hinged Front Panel 16" x 14"</t>
  </si>
  <si>
    <t>Allied Moulded HFP164</t>
  </si>
  <si>
    <r>
      <rPr>
        <sz val="8"/>
        <color rgb="FF231F20"/>
        <rFont val="Arial"/>
        <family val="34"/>
      </rPr>
      <t>HFP164</t>
    </r>
  </si>
  <si>
    <t>Allied Moulded HFP164 AM-R Series JIC Size Hinged Front Panels 16" x 14" (HxWxD) Aluminum Hinged Front Panels.</t>
  </si>
  <si>
    <t>Allied-Moulded-HFP164.jpg</t>
  </si>
  <si>
    <t>Allied Moulded HFP186 Hinged Front Panel 18" x 16"</t>
  </si>
  <si>
    <t>Allied Moulded HFP186</t>
  </si>
  <si>
    <r>
      <rPr>
        <sz val="8"/>
        <color rgb="FF231F20"/>
        <rFont val="Arial"/>
        <family val="34"/>
      </rPr>
      <t>HFP186</t>
    </r>
  </si>
  <si>
    <t>Allied Moulded AMHMI206CCH,Allied Moulded PLPVC44,Allied Moulded AMU864WF,Allied Moulded PL44</t>
  </si>
  <si>
    <t>Allied Moulded HFP186 AM-R Series JIC Size Hinged Front Panels 18" x 16" (HxWxD) Aluminum Hinged Front Panels.</t>
  </si>
  <si>
    <t>Allied-Moulded-HFP186.jpg</t>
  </si>
  <si>
    <t>Allied Moulded HFP206 Hinged Front Panel 20" x 16"</t>
  </si>
  <si>
    <t>Allied Moulded HFP206</t>
  </si>
  <si>
    <r>
      <rPr>
        <sz val="8"/>
        <color rgb="FF231F20"/>
        <rFont val="Arial"/>
        <family val="34"/>
      </rPr>
      <t>HFP206</t>
    </r>
  </si>
  <si>
    <t>Allied Moulded AM1084LW,Allied Moulded AMHMI206L,Allied Moulded AM1084R,Allied Moulded PLA44</t>
  </si>
  <si>
    <t>Allied Moulded HFP206 AM-R Series JIC Size Hinged Front Panels 20" x 16" (HxWxD) Aluminum Hinged Front Panels.</t>
  </si>
  <si>
    <t>Allied-Moulded-HFP206.jpg</t>
  </si>
  <si>
    <t>Allied Moulded HFPU66 Hinged Front Panel 6" x 6"</t>
  </si>
  <si>
    <t>Allied Moulded HFPU66</t>
  </si>
  <si>
    <r>
      <rPr>
        <sz val="8"/>
        <color rgb="FF231F20"/>
        <rFont val="Arial"/>
        <family val="34"/>
      </rPr>
      <t>HFPU66</t>
    </r>
  </si>
  <si>
    <t>Allied Moulded AMP1PB22,Allied Moulded AMHMI206H,Allied Moulded AM1084R,Allied Moulded AMP1860CCLF</t>
  </si>
  <si>
    <t>Allied Moulded HFPU66 AM-R Series JIC Size Hinged Front Panels 6" x 6" (HxWxD) Aluminum Hinged Front Panels.</t>
  </si>
  <si>
    <t>Allied-Moulded-HFPU66.jpg</t>
  </si>
  <si>
    <t xml:space="preserve">ULTRALINE® </t>
  </si>
  <si>
    <t>Allied Moulded HFPU86 Hinged Front Panel 8" x 6"</t>
  </si>
  <si>
    <t>Allied Moulded HFPU86</t>
  </si>
  <si>
    <r>
      <rPr>
        <sz val="8"/>
        <color rgb="FF231F20"/>
        <rFont val="Arial"/>
        <family val="34"/>
      </rPr>
      <t>HFPU86</t>
    </r>
  </si>
  <si>
    <t>Allied Moulded PL44,Allied Moulded AMU864W,Allied Moulded AM1084L,Allied Moulded AMHMI206H</t>
  </si>
  <si>
    <t>Allied Moulded HFPU86 AM-R Series JIC Size Hinged Front Panels 8" x 6" (HxWxD) Aluminum Hinged Front Panels.</t>
  </si>
  <si>
    <t>Allied-Moulded-HFPU86.jpg</t>
  </si>
  <si>
    <t>Allied Moulded HFPU108 Hinged Front Panel 10" x 8"</t>
  </si>
  <si>
    <t>Allied Moulded HFPU108</t>
  </si>
  <si>
    <r>
      <rPr>
        <sz val="8"/>
        <color rgb="FF231F20"/>
        <rFont val="Arial"/>
        <family val="34"/>
      </rPr>
      <t>HFPU108</t>
    </r>
  </si>
  <si>
    <t>Allied Moulded AM1084RL,Allied Moulded AMVENT4XLG,Allied Moulded AMHMI66CCL,Allied Moulded AMU864TWF</t>
  </si>
  <si>
    <t>Allied Moulded HFPU108 AM-R Series JIC Size Hinged Front Panels 10" x 8" (HxWxD) Aluminum Hinged Front Panels.</t>
  </si>
  <si>
    <t>Allied-Moulded-HFPU108.jpg</t>
  </si>
  <si>
    <t>Allied Moulded HFPU120 Hinged Front Panel 12" x 10"</t>
  </si>
  <si>
    <t>Allied Moulded HFPU120</t>
  </si>
  <si>
    <r>
      <rPr>
        <sz val="8"/>
        <color rgb="FF231F20"/>
        <rFont val="Arial"/>
        <family val="34"/>
      </rPr>
      <t>HFPU120</t>
    </r>
  </si>
  <si>
    <t>Allied Moulded AMHMI206CCHTP,Allied Moulded AMVENT4XLG,Allied Moulded AM1868RTW,Allied Moulded AM1084R</t>
  </si>
  <si>
    <t>Allied Moulded HFPU120 AM-R Series JIC Size Hinged Front Panels 12" x 10" (HxWxD) Aluminum Hinged Front Panels.</t>
  </si>
  <si>
    <t>Allied-Moulded-HFPU120.jpg</t>
  </si>
  <si>
    <t>Allied Moulded HFPU142 Hinged Front Panel 14" x 12"</t>
  </si>
  <si>
    <t>Allied Moulded HFPU142</t>
  </si>
  <si>
    <r>
      <rPr>
        <sz val="8"/>
        <color rgb="FF231F20"/>
        <rFont val="Arial"/>
        <family val="34"/>
      </rPr>
      <t>HFPU142</t>
    </r>
  </si>
  <si>
    <t>Allied Moulded AMP1860CCLF,Allied Moulded PLPVC44,Allied Moulded AMHMI206CCH,Allied Moulded AM1084RL</t>
  </si>
  <si>
    <t>Allied Moulded HFPU142 AM-R Series JIC Size Hinged Front Panels 14" x 12" (HxWxD) Aluminum Hinged Front Panels.</t>
  </si>
  <si>
    <t>Allied-Moulded-HFPU142.jpg</t>
  </si>
  <si>
    <t>Allied Moulded HFPU164 Hinged Front Panel 16" x 14"</t>
  </si>
  <si>
    <t>Allied Moulded HFPU164</t>
  </si>
  <si>
    <r>
      <rPr>
        <sz val="8"/>
        <color rgb="FF231F20"/>
        <rFont val="Arial"/>
        <family val="34"/>
      </rPr>
      <t>HFPU164</t>
    </r>
  </si>
  <si>
    <t>Allied Moulded AM1868RTW,Allied Moulded AM1084RLW,Allied Moulded PL44,Allied Moulded PLPVC44</t>
  </si>
  <si>
    <t>Allied Moulded HFPU164 AM-R Series JIC Size Hinged Front Panels 16" x 14" (HxWxD) Aluminum Hinged Front Panels.</t>
  </si>
  <si>
    <t>Allied-Moulded-HFPU164.jpg</t>
  </si>
  <si>
    <t>Allied Moulded HFPU186 Hinged Front Panel 18" x 16"</t>
  </si>
  <si>
    <t>Allied Moulded HFPU186</t>
  </si>
  <si>
    <r>
      <rPr>
        <sz val="8"/>
        <color rgb="FF231F20"/>
        <rFont val="Arial"/>
        <family val="34"/>
      </rPr>
      <t>HFPU186</t>
    </r>
  </si>
  <si>
    <t>Allied Moulded AMHMI206L,Allied Moulded AMHMI206HTP,Allied Moulded AMHMI206H,Allied Moulded AM1084LW</t>
  </si>
  <si>
    <t>Allied Moulded HFPU186 AM-R Series JIC Size Hinged Front Panels 18" x 16" (HxWxD) Aluminum Hinged Front Panels.</t>
  </si>
  <si>
    <t>Allied-Moulded-HFPU186.jpg</t>
  </si>
  <si>
    <t>Allied Moulded HFPU206 Hinged Front Panel 20" x 16"</t>
  </si>
  <si>
    <t>Allied Moulded HFPU206</t>
  </si>
  <si>
    <r>
      <rPr>
        <sz val="8"/>
        <color rgb="FF231F20"/>
        <rFont val="Arial"/>
        <family val="34"/>
      </rPr>
      <t>HFPU206</t>
    </r>
  </si>
  <si>
    <t>Allied Moulded AMHMI66CCL,Allied Moulded AMU864TWF,Allied Moulded AMHMI206H,Allied Moulded PLPVC44</t>
  </si>
  <si>
    <t>Allied Moulded HFPU206 AM-R Series JIC Size Hinged Front Panels 20" x 16" (HxWxD) Aluminum Hinged Front Panels.</t>
  </si>
  <si>
    <t>Allied-Moulded-HFPU206.jpg</t>
  </si>
  <si>
    <t>Allied Moulded HFP2420 Hinged Front Panel 24" x 20"</t>
  </si>
  <si>
    <t>Allied Moulded HFP2420</t>
  </si>
  <si>
    <r>
      <rPr>
        <sz val="8"/>
        <color rgb="FF231F20"/>
        <rFont val="Arial"/>
        <family val="34"/>
      </rPr>
      <t>HFP2420</t>
    </r>
  </si>
  <si>
    <t>Allied Moulded AM1868RTW,Allied Moulded PLPVC44,Allied Moulded AMHMI206CCH,Allied Moulded PL44</t>
  </si>
  <si>
    <t>Allied Moulded HFP2420 AM-R Control Series Enclosure Back Panels 24" x 20" (HxWxD) Hinged Front Panels.</t>
  </si>
  <si>
    <t>Allied-Moulded-HFP2420.jpg</t>
  </si>
  <si>
    <t xml:space="preserve">Control Series </t>
  </si>
  <si>
    <t>Allied Moulded HFP2424 Hinged Front Panel 24" x 24"</t>
  </si>
  <si>
    <t>Allied Moulded HFP2424</t>
  </si>
  <si>
    <r>
      <rPr>
        <sz val="8"/>
        <color rgb="FF231F20"/>
        <rFont val="Arial"/>
        <family val="34"/>
      </rPr>
      <t>HFP2424</t>
    </r>
  </si>
  <si>
    <t>Allied Moulded AMHS075,Allied Moulded AM1084R,Allied Moulded AMHMI206HTP,Allied Moulded AMHMI206CCHTP</t>
  </si>
  <si>
    <t>Allied Moulded HFP2424 AM-R Control Series Enclosure Back Panels 24" x 24" (HxWxD) Hinged Front Panels.</t>
  </si>
  <si>
    <t>Allied-Moulded-HFP2424.jpg</t>
  </si>
  <si>
    <t>Allied Moulded HFP3024 Hinged Front Panel 30" x 24"</t>
  </si>
  <si>
    <t>Allied Moulded HFP3024</t>
  </si>
  <si>
    <r>
      <rPr>
        <sz val="8"/>
        <color rgb="FF231F20"/>
        <rFont val="Arial"/>
        <family val="34"/>
      </rPr>
      <t>HFP3024</t>
    </r>
  </si>
  <si>
    <t>Allied Moulded AMU864TWF,Allied Moulded AM1084RT,Allied Moulded PLA44,Allied Moulded PL44</t>
  </si>
  <si>
    <t>Allied Moulded HFP3024 AM-R Control Series Enclosure Back Panels 30" x 24" (HxWxD) Hinged Front Panels.</t>
  </si>
  <si>
    <t>Allied-Moulded-HFP3024.jpg</t>
  </si>
  <si>
    <t>Allied Moulded HFP4032 Enclosure Backplate 40" x 32"</t>
  </si>
  <si>
    <t>Allied Moulded HFP4032</t>
  </si>
  <si>
    <r>
      <rPr>
        <sz val="8"/>
        <color rgb="FF231F20"/>
        <rFont val="Arial"/>
        <family val="34"/>
      </rPr>
      <t>HFP4032</t>
    </r>
  </si>
  <si>
    <t>Allied Moulded AMXL403212L3PT,Allied Moulded P4032,Allied Moulded PA4032</t>
  </si>
  <si>
    <t>Allied Moulded HFP4032 Control XL™ Series Fiberglass Enclosure 40" x 32" (HxWxD) Used withEnclosure Size Hinged Front Panel Field Installable Kit for Control XL™ Enclosures.</t>
  </si>
  <si>
    <t>Allied Moulded HFP4032 Enclosure 40" x 32"</t>
  </si>
  <si>
    <t>Allied-Moulded-HFP4032.jpg</t>
  </si>
  <si>
    <t>Allied Moulded HFPP66 Hinged Front Panel 6" x 6"</t>
  </si>
  <si>
    <t>Allied Moulded HFPP66</t>
  </si>
  <si>
    <r>
      <rPr>
        <sz val="8"/>
        <color rgb="FF231F20"/>
        <rFont val="Arial"/>
        <family val="34"/>
      </rPr>
      <t>HFPP66</t>
    </r>
  </si>
  <si>
    <t>Allied Moulded AMHMI66CCL,Allied Moulded AM1084RHW,Allied Moulded AM1084RLW,Allied Moulded AM1084L</t>
  </si>
  <si>
    <t>Allied Moulded HFPP66 POLYLINE AMP Series JIC Size Back Panels &amp; Hinged Front Panels 6" x 6" (HxWxD) JIC Size Junction Box Hinged Front Panels.</t>
  </si>
  <si>
    <t>Allied-Moulded-HFPP66.jpg</t>
  </si>
  <si>
    <t xml:space="preserve">POLYLINE® </t>
  </si>
  <si>
    <t>Allied Moulded HFPP86 Hinged Front Panel 8" x 6"</t>
  </si>
  <si>
    <t>Allied Moulded HFPP86</t>
  </si>
  <si>
    <r>
      <rPr>
        <sz val="8"/>
        <color rgb="FF231F20"/>
        <rFont val="Arial"/>
        <family val="34"/>
      </rPr>
      <t>HFPP86</t>
    </r>
  </si>
  <si>
    <t>Allied Moulded AMHMI206L,Allied Moulded AM1084RHW,Allied Moulded AM1084LW,Allied Moulded AMHMI66CCL</t>
  </si>
  <si>
    <t>Allied Moulded HFPP86 POLYLINE AMP Series JIC Size Back Panels &amp; Hinged Front Panels 8" x 6" (HxWxD) JIC Size Junction Box Hinged Front Panels.</t>
  </si>
  <si>
    <t>Allied-Moulded-HFPP86.jpg</t>
  </si>
  <si>
    <t>Allied Moulded HFPP88 Hinged Front Panel 8" x 8"</t>
  </si>
  <si>
    <t>Allied Moulded HFPP88</t>
  </si>
  <si>
    <r>
      <rPr>
        <sz val="8"/>
        <color rgb="FF231F20"/>
        <rFont val="Arial"/>
        <family val="34"/>
      </rPr>
      <t>HFPP88</t>
    </r>
  </si>
  <si>
    <t>Allied Moulded AMU864TWF,Allied Moulded AMP1860CCLF,Allied Moulded AM1084RL,Allied Moulded AMHMI206L</t>
  </si>
  <si>
    <t>Allied Moulded HFPP88 POLYLINE AMP Series JIC Size Back Panels &amp; Hinged Front Panels 8" x 8" (HxWxD) JIC Size Junction Box Hinged Front Panels.</t>
  </si>
  <si>
    <t>Allied-Moulded-HFPP88.jpg</t>
  </si>
  <si>
    <t>Allied Moulded HFPP108 Hinged Front Panel 10" x 8"</t>
  </si>
  <si>
    <t>Allied Moulded HFPP108</t>
  </si>
  <si>
    <r>
      <rPr>
        <sz val="8"/>
        <color rgb="FF231F20"/>
        <rFont val="Arial"/>
        <family val="34"/>
      </rPr>
      <t>HFPP108</t>
    </r>
  </si>
  <si>
    <t>Allied Moulded AMU864WF,Allied Moulded AMHMI206CCH,Allied Moulded AM1084RL,Allied Moulded AMHMI206CCHTP</t>
  </si>
  <si>
    <t>Allied Moulded HFPP108 POLYLINE AMP Series JIC Size Back Panels &amp; Hinged Front Panels 10" x 8" (HxWxD) JIC Size Junction Box Hinged Front Panels.</t>
  </si>
  <si>
    <t>Allied-Moulded-HFPP108.jpg</t>
  </si>
  <si>
    <t>Allied Moulded HFPP120 Hinged Front Panel 12" x 10"</t>
  </si>
  <si>
    <t>Allied Moulded HFPP120</t>
  </si>
  <si>
    <r>
      <rPr>
        <sz val="8"/>
        <color rgb="FF231F20"/>
        <rFont val="Arial"/>
        <family val="34"/>
      </rPr>
      <t>HFPP120</t>
    </r>
  </si>
  <si>
    <t>Allied Moulded AMHMI206HTP,Allied Moulded AMHMI206CCH,Allied Moulded AMHMI206CCHTP,Allied Moulded AM1084RHW</t>
  </si>
  <si>
    <t>Allied Moulded HFPP120 POLYLINE AMP Series JIC Size Back Panels &amp; Hinged Front Panels 12" x 10" (HxWxD) JIC Size Junction Box Hinged Front Panels.</t>
  </si>
  <si>
    <t>Allied-Moulded-HFPP120.jpg</t>
  </si>
  <si>
    <t>Allied Moulded HFPP142 Hinged Front Panel 14" x 12"</t>
  </si>
  <si>
    <t>Allied Moulded HFPP142</t>
  </si>
  <si>
    <r>
      <rPr>
        <sz val="8"/>
        <color rgb="FF231F20"/>
        <rFont val="Arial"/>
        <family val="34"/>
      </rPr>
      <t>HFPP142</t>
    </r>
  </si>
  <si>
    <t>Allied Moulded AM1868RTW,Allied Moulded PL44,Allied Moulded AMHMI206CCH,Allied Moulded AMHS075</t>
  </si>
  <si>
    <t>Allied Moulded HFPP142 POLYLINE AMP Series JIC Size Back Panels &amp; Hinged Front Panels 14" x 12" (HxWxD) JIC Size Junction Box Hinged Front Panels.</t>
  </si>
  <si>
    <t>Allied-Moulded-HFPP142.jpg</t>
  </si>
  <si>
    <t>Allied Moulded HFPP164 Hinged Front Panel 16" x 14"</t>
  </si>
  <si>
    <t>Allied Moulded HFPP164</t>
  </si>
  <si>
    <r>
      <rPr>
        <sz val="8"/>
        <color rgb="FF231F20"/>
        <rFont val="Arial"/>
        <family val="34"/>
      </rPr>
      <t>HFPP164</t>
    </r>
  </si>
  <si>
    <t>Allied Moulded AM1084LW,Allied Moulded AM1084R,Allied Moulded AMHMI206HTP,Allied Moulded AM1868RTW</t>
  </si>
  <si>
    <t>Allied Moulded HFPP164 POLYLINE AMP Series JIC Size Back Panels &amp; Hinged Front Panels 16" x 14" (HxWxD) JIC Size Junction Box Hinged Front Panels.</t>
  </si>
  <si>
    <t>Allied-Moulded-HFPP164.jpg</t>
  </si>
  <si>
    <t>Allied Moulded HFPP186 Hinged Front Panel 18" x 16"</t>
  </si>
  <si>
    <t>Allied Moulded HFPP186</t>
  </si>
  <si>
    <r>
      <rPr>
        <sz val="8"/>
        <color rgb="FF231F20"/>
        <rFont val="Arial"/>
        <family val="34"/>
      </rPr>
      <t>HFPP186</t>
    </r>
  </si>
  <si>
    <t>Allied Moulded HFPP186 POLYLINE AMP Series JIC Size Back Panels &amp; Hinged Front Panels 18" x 16" (HxWxD) JIC Size Junction Box Hinged Front Panels.</t>
  </si>
  <si>
    <t>Allied-Moulded-HFPP186.jpg</t>
  </si>
  <si>
    <t>Backplate Composition</t>
  </si>
  <si>
    <t>Backplate For Enclosure Height</t>
  </si>
  <si>
    <t>Backplate For Enclosure Width</t>
  </si>
  <si>
    <t>Allied Moulded PF206,Allied Moulded PLA206</t>
  </si>
  <si>
    <t>/Enclosure Accessories/Enclosure Backplates &amp; Panels/Enclosure Backplates</t>
  </si>
  <si>
    <t>Enclosure back panel accessory for mounting electrical/electronic devices securely down inside</t>
  </si>
  <si>
    <t>Backplate</t>
  </si>
  <si>
    <t>Allied Moulded P7249CS Enclosure Backplate 72" x 49"</t>
  </si>
  <si>
    <t>Allied Moulded P7249CS</t>
  </si>
  <si>
    <t>P7249CS</t>
  </si>
  <si>
    <t>Allied Moulded AMHMI206CCHTP,Allied Moulded AM1084RT,Allied Moulded AMHMI206CCH,Allied Moulded AMHMI66CCL</t>
  </si>
  <si>
    <t>Allied Moulded P7249CS Empire Series Wall Mount &amp; Free Standing Fiberglass Enclosure 72" x 49" (HxWxD) Used withEnclosure Size Carbon Steel Back Panels for Empire Series Enclosures.</t>
  </si>
  <si>
    <t>Allied Moulded P7249CS Enclosure 72" x 49"</t>
  </si>
  <si>
    <t>Allied-Moulded-P7249CS.jpg</t>
  </si>
  <si>
    <t>Allied Moulded P6036CS Enclosure Backplate 60" x 36"</t>
  </si>
  <si>
    <t>Allied Moulded P6036CS</t>
  </si>
  <si>
    <r>
      <rPr>
        <sz val="8"/>
        <color rgb="FF231F20"/>
        <rFont val="Arial"/>
        <family val="34"/>
      </rPr>
      <t>P6036CS</t>
    </r>
  </si>
  <si>
    <t>Allied Moulded PL44,Allied Moulded PLPVC44,Allied Moulded AM1084R,Allied Moulded AMHMI66CCL</t>
  </si>
  <si>
    <t>Allied Moulded P6036CS Empire Series Wall Mount &amp; Free Standing Fiberglass Enclosure 60" x 36" (HxWxD) Used withEnclosure Size Carbon Steel Back Panels for Empire Series Enclosures.</t>
  </si>
  <si>
    <t>Allied Moulded P6036CS Enclosure 60" x 36"</t>
  </si>
  <si>
    <t>Allied-Moulded-P6036CS.jpg</t>
  </si>
  <si>
    <t>Allied Moulded P4836CS Enclosure Backplate 48" x 36"</t>
  </si>
  <si>
    <t>Allied Moulded P4836CS</t>
  </si>
  <si>
    <r>
      <rPr>
        <sz val="8"/>
        <color rgb="FF231F20"/>
        <rFont val="Arial"/>
        <family val="34"/>
      </rPr>
      <t>P4836CS</t>
    </r>
  </si>
  <si>
    <t>Allied Moulded AM1084LW,Allied Moulded AM1084RLW,Allied Moulded AMHMI66CCL,Allied Moulded PLPVC44</t>
  </si>
  <si>
    <t>Allied Moulded P4836CS Empire Series Wall Mount &amp; Free Standing Fiberglass Enclosure 48" x 36" (HxWxD) Used withEnclosure Size Carbon Steel Back Panels for Empire Series Enclosures.</t>
  </si>
  <si>
    <t>Allied Moulded P4836CS Enclosure 48" x 36"</t>
  </si>
  <si>
    <t>Allied-Moulded-P4836CS.jpg</t>
  </si>
  <si>
    <t>Allied Moulded P7225CS Enclosure Backplate 72" x 25"</t>
  </si>
  <si>
    <t>Allied Moulded P7225CS</t>
  </si>
  <si>
    <r>
      <rPr>
        <sz val="8"/>
        <color rgb="FF231F20"/>
        <rFont val="Arial"/>
        <family val="34"/>
      </rPr>
      <t>P7225CS</t>
    </r>
  </si>
  <si>
    <t>Allied Moulded AMHMI206CCH,Allied Moulded AMHMI206CCHTP,Allied Moulded AMHMI206L,Allied Moulded AMU864W</t>
  </si>
  <si>
    <t>Allied Moulded P7225CS Empire Series Wall Mount &amp; Free Standing Fiberglass Enclosure 72" x 25" (HxWxD) Used withEnclosure Size Carbon Steel Back Panels for Empire Series Enclosures.</t>
  </si>
  <si>
    <t>Allied Moulded P7225CS Enclosure 72" x 25"</t>
  </si>
  <si>
    <t>Allied-Moulded-P7225CS.jpg</t>
  </si>
  <si>
    <t>Allied Moulded P3636CS Enclosure Backplate 36" x 36"</t>
  </si>
  <si>
    <t>Allied Moulded P3636CS</t>
  </si>
  <si>
    <r>
      <rPr>
        <sz val="8"/>
        <color rgb="FF231F20"/>
        <rFont val="Arial"/>
        <family val="34"/>
      </rPr>
      <t>P3636CS</t>
    </r>
  </si>
  <si>
    <t>Allied Moulded AM1084RT,Allied Moulded AMHMI206H,Allied Moulded AMP1860CCLF,Allied Moulded AM1084LW</t>
  </si>
  <si>
    <t>Allied Moulded P3636CS Empire Series Wall Mount &amp; Free Standing Fiberglass Enclosure 36" x 36" (HxWxD) Used withEnclosure Size Carbon Steel Back Panels for Empire Series Enclosures.</t>
  </si>
  <si>
    <t>Allied Moulded P3636CS Enclosure 36" x 36"</t>
  </si>
  <si>
    <t>Allied-Moulded-P3636CS.jpg</t>
  </si>
  <si>
    <t>Allied Moulded P4032 Enclosure Backplate 40" x 32"</t>
  </si>
  <si>
    <t>Allied Moulded P4032</t>
  </si>
  <si>
    <r>
      <rPr>
        <sz val="8"/>
        <color rgb="FF231F20"/>
        <rFont val="Arial"/>
        <family val="34"/>
      </rPr>
      <t>P4032</t>
    </r>
  </si>
  <si>
    <t>Allied Moulded AMXL403212L3PT,Allied Moulded PA4032</t>
  </si>
  <si>
    <t>Allied Moulded P4032 Control XL™ Series Fiberglass Enclosure 40" x 32" (HxWxD) Used withEnclosure Size White Painted Carbon Steel and Aluminum Back Panels for Control XL™ Enclosures.</t>
  </si>
  <si>
    <t>Allied Moulded P4032 Enclosure 40" x 32"</t>
  </si>
  <si>
    <t>Allied-Moulded-P4032.jpg</t>
  </si>
  <si>
    <t>Allied Moulded P3630CS Enclosure Backplate 36" x 30"</t>
  </si>
  <si>
    <t>Allied Moulded P3630CS</t>
  </si>
  <si>
    <r>
      <rPr>
        <sz val="8"/>
        <color rgb="FF231F20"/>
        <rFont val="Arial"/>
        <family val="34"/>
      </rPr>
      <t>P3630CS</t>
    </r>
  </si>
  <si>
    <t>Allied Moulded AMP1860CCLF,Allied Moulded AM1084L,Allied Moulded AMHMI66CCL,Allied Moulded AMU864WF</t>
  </si>
  <si>
    <t>Allied Moulded P3630CS Empire Series Wall Mount &amp; Free Standing Fiberglass Enclosure 36" x 30" (HxWxD) Used withEnclosure Size Carbon Steel Back Panels for Empire Series Enclosures.</t>
  </si>
  <si>
    <t>Allied Moulded P3630CS Enclosure 36" x 30"</t>
  </si>
  <si>
    <t>Allied-Moulded-P3630CS.jpg</t>
  </si>
  <si>
    <t>Allied Moulded P3024 Backplate 30" x 24"</t>
  </si>
  <si>
    <t>Allied Moulded P3024</t>
  </si>
  <si>
    <r>
      <rPr>
        <sz val="8"/>
        <color rgb="FF231F20"/>
        <rFont val="Arial"/>
        <family val="34"/>
      </rPr>
      <t>P3024</t>
    </r>
  </si>
  <si>
    <t>Allied Moulded PF3024,Allied Moulded PG3024,Allied Moulded PA3024,Allied Moulded AM6-NLPS</t>
  </si>
  <si>
    <t>Allied Moulded P3024 AM-R Control Series Enclosure Back Panels 30" x 24" (HxWxD) Steel Back Panels.</t>
  </si>
  <si>
    <t>Allied-Moulded-P3024.jpg</t>
  </si>
  <si>
    <t>Allied Moulded PG3024 Backplate 20" x 24"</t>
  </si>
  <si>
    <t>Allied Moulded PG3024</t>
  </si>
  <si>
    <r>
      <rPr>
        <sz val="8"/>
        <color rgb="FF231F20"/>
        <rFont val="Arial"/>
        <family val="34"/>
      </rPr>
      <t>PG3024</t>
    </r>
  </si>
  <si>
    <t>Allied Moulded P3024,Allied Moulded PF3024,Allied Moulded PA3024</t>
  </si>
  <si>
    <t>Allied Moulded PG3024 AM-R Control Series Enclosure Back Panels 20" x 24" (HxWxD) Galvannealed Back Panels.</t>
  </si>
  <si>
    <t>Allied-Moulded-PG3024.jpg</t>
  </si>
  <si>
    <t>Allied Moulded P2424 Backplate 24" x 24"</t>
  </si>
  <si>
    <t>Allied Moulded P2424</t>
  </si>
  <si>
    <r>
      <rPr>
        <sz val="8"/>
        <color rgb="FF231F20"/>
        <rFont val="Arial"/>
        <family val="34"/>
      </rPr>
      <t>P2424</t>
    </r>
  </si>
  <si>
    <t>Allied Moulded PF2424,Allied Moulded PA2424,Allied Moulded AM6-NLPS,Allied Moulded PG2424</t>
  </si>
  <si>
    <t>Allied Moulded P2424 AM-R Control Series Enclosure Back Panels 24" x 24" (HxWxD) Steel Back Panels.</t>
  </si>
  <si>
    <t>Allied-Moulded-P2424.jpg</t>
  </si>
  <si>
    <t>Allied Moulded PG2424 Backplate 24" x 24"</t>
  </si>
  <si>
    <t>Allied Moulded PG2424</t>
  </si>
  <si>
    <r>
      <rPr>
        <sz val="8"/>
        <color rgb="FF231F20"/>
        <rFont val="Arial"/>
        <family val="34"/>
      </rPr>
      <t>PG2424</t>
    </r>
  </si>
  <si>
    <t>Allied Moulded PF2424,Allied Moulded PA2424,Allied Moulded P2424</t>
  </si>
  <si>
    <t>Allied Moulded PG2424 AM-R Control Series Enclosure Back Panels 24" x 24" (HxWxD) Galvannealed Back Panels.</t>
  </si>
  <si>
    <t>Allied-Moulded-PG2424.jpg</t>
  </si>
  <si>
    <t>Allied Moulded P2420 Backplate 24" x 20"</t>
  </si>
  <si>
    <t>Allied Moulded P2420</t>
  </si>
  <si>
    <r>
      <rPr>
        <sz val="8"/>
        <color rgb="FF231F20"/>
        <rFont val="Arial"/>
        <family val="34"/>
      </rPr>
      <t>P2420</t>
    </r>
  </si>
  <si>
    <t>Allied Moulded PA2420,Allied Moulded PG2420,Allied Moulded AM6-NLPS,Allied Moulded PF2420</t>
  </si>
  <si>
    <t>Allied Moulded P2420 AM-R Control Series Enclosure Back Panels 24" x 20" (HxWxD) Steel Back Panels.</t>
  </si>
  <si>
    <t>Allied-Moulded-P2420.jpg</t>
  </si>
  <si>
    <t>Allied Moulded PA4032 Enclosure Backplate 40" x 32"</t>
  </si>
  <si>
    <t>Allied Moulded PA4032</t>
  </si>
  <si>
    <t>PA4032</t>
  </si>
  <si>
    <t>Allied Moulded AMXL403212L3PT,Allied Moulded P4032</t>
  </si>
  <si>
    <t>Allied Moulded A4032 Control XL™ Series Fiberglass Enclosure 40" x 32" (HxWxD) Used withEnclosure Size White Painted Carbon Steel and Aluminum Back Panels for Control XL™ Enclosures.</t>
  </si>
  <si>
    <t>Allied Moulded PA4032 Control XL™ Series Fiberglass Enclosure 40" x 32" (HxWxD) Used withEnclosure Size White Painted Carbon Steel and Aluminum Back Panels for Control XL™ Enclosures.</t>
  </si>
  <si>
    <t>Allied Moulded PA4032 Enclosure 40" x 32"</t>
  </si>
  <si>
    <t>Allied-Moulded-PA4032.jpg</t>
  </si>
  <si>
    <t>Allied Moulded PG2420 Backplate 24" x 20"</t>
  </si>
  <si>
    <t>Allied Moulded PG2420</t>
  </si>
  <si>
    <r>
      <rPr>
        <sz val="8"/>
        <color rgb="FF231F20"/>
        <rFont val="Arial"/>
        <family val="34"/>
      </rPr>
      <t>PG2420</t>
    </r>
  </si>
  <si>
    <t>Allied Moulded P2420,Allied Moulded PF2420,Allied Moulded PA2420</t>
  </si>
  <si>
    <t>Allied Moulded PG2420 AM-R Control Series Enclosure Back Panels 24" x 20" (HxWxD) Galvannealed Back Panels.</t>
  </si>
  <si>
    <t>Allied-Moulded-PG2420.jpg</t>
  </si>
  <si>
    <t>Allied Moulded PA3024 Backplate 30" x 24"</t>
  </si>
  <si>
    <t>Allied Moulded PA3024</t>
  </si>
  <si>
    <t>PA3024</t>
  </si>
  <si>
    <t>Allied Moulded PG3024,Allied Moulded P3024,Allied Moulded AM6-NLPS,Allied Moulded PF3024</t>
  </si>
  <si>
    <t>Allied Moulded PA3024 AM-R Control Series Enclosure Back Panels 30" x 24" (HxWxD) Aluminum Back Panels.</t>
  </si>
  <si>
    <t>Allied-Moulded-PA3024.jpg</t>
  </si>
  <si>
    <t>Allied Moulded PG206 Backplate 20" x 16"</t>
  </si>
  <si>
    <t>Allied Moulded PG206</t>
  </si>
  <si>
    <r>
      <rPr>
        <sz val="8"/>
        <color rgb="FF231F20"/>
        <rFont val="Arial"/>
        <family val="34"/>
      </rPr>
      <t>PG206</t>
    </r>
  </si>
  <si>
    <t>Allied Moulded PLA206,Allied Moulded PF206,Allied Moulded PL206</t>
  </si>
  <si>
    <t>Allied Moulded PG206 AM - AM-R - AMU Series JIC Size Back Panels 20" x 16" (HxWxD) Galvannealed Back Panels.</t>
  </si>
  <si>
    <t>Allied-Moulded-PG206.jpg</t>
  </si>
  <si>
    <t>Allied Moulded P186 Backplate 18" x 16" Steel</t>
  </si>
  <si>
    <t>Allied Moulded P186</t>
  </si>
  <si>
    <r>
      <rPr>
        <sz val="8"/>
        <color rgb="FF231F20"/>
        <rFont val="Arial"/>
        <family val="34"/>
      </rPr>
      <t>P186</t>
    </r>
  </si>
  <si>
    <t>Allied Moulded PA186,Allied Moulded PF186,Allied Moulded PG186</t>
  </si>
  <si>
    <t>Allied Moulded P186 AM - AM-R - AMU Series JIC Size Back Panels 18" x 16" (HxWxD) Steel Back Panels.</t>
  </si>
  <si>
    <t>Allied-Moulded-P186.jpg</t>
  </si>
  <si>
    <t>Allied Moulded PG186 Backplate 18" x 16"</t>
  </si>
  <si>
    <t>Allied Moulded PG186</t>
  </si>
  <si>
    <r>
      <rPr>
        <sz val="8"/>
        <color rgb="FF231F20"/>
        <rFont val="Arial"/>
        <family val="34"/>
      </rPr>
      <t>PG186</t>
    </r>
  </si>
  <si>
    <t>Allied Moulded P186,Allied Moulded PA186,Allied Moulded PF186</t>
  </si>
  <si>
    <t>Allied Moulded PG186 AM - AM-R - AMU Series JIC Size Back Panels 18" x 16" (HxWxD) Galvannealed Back Panels.</t>
  </si>
  <si>
    <t>Allied-Moulded-PG186.jpg</t>
  </si>
  <si>
    <t>Allied Moulded PA2424 Backplate 24" x 24"</t>
  </si>
  <si>
    <t>Allied Moulded PA2424</t>
  </si>
  <si>
    <t>PA2424</t>
  </si>
  <si>
    <t>Allied Moulded PG2424,Allied Moulded P2424,Allied Moulded PF2424,Allied Moulded AM6-NLPS</t>
  </si>
  <si>
    <t>Allied Moulded PA2424 AM-R Control Series Enclosure Back Panels 24" x 24" (HxWxD) Aluminum Back Panels.</t>
  </si>
  <si>
    <t>Allied-Moulded-PA2424.jpg</t>
  </si>
  <si>
    <t>Allied Moulded PF186 Fiberglass Backplate</t>
  </si>
  <si>
    <t>Allied Moulded PF186</t>
  </si>
  <si>
    <t>PF186</t>
  </si>
  <si>
    <t>Allied Moulded PF186 Fiberglass Backplate. Use with enclosure size 18" x 16". Height: 16.88" Width: 14.88" Thickness .25"</t>
  </si>
  <si>
    <t>Allied-Moulded-PF186.jpg</t>
  </si>
  <si>
    <t>Allied Moulded PF206 Fiberglass Backplate</t>
  </si>
  <si>
    <t>Allied Moulded PF206</t>
  </si>
  <si>
    <t>PF206</t>
  </si>
  <si>
    <t>Allied Moulded AM6-NLPS,Allied Moulded PG2420,Allied Moulded PA2420,Allied Moulded PF2420</t>
  </si>
  <si>
    <t>Allied Moulded PF206 Fiberglass Backplate. Use with enclosure size 20" x 16". Height: 18.44" Width: 14.44" Thickness .25"</t>
  </si>
  <si>
    <t>Allied-Moulded-PF206.jpg</t>
  </si>
  <si>
    <t>Allied Moulded PG164 Backplate 16" x 14"</t>
  </si>
  <si>
    <t>Allied Moulded PG164</t>
  </si>
  <si>
    <r>
      <rPr>
        <sz val="8"/>
        <color rgb="FF231F20"/>
        <rFont val="Arial"/>
        <family val="34"/>
      </rPr>
      <t>PG164</t>
    </r>
  </si>
  <si>
    <t>Allied Moulded PA164,Allied Moulded PF164,Allied Moulded P164</t>
  </si>
  <si>
    <t>Allied Moulded PG164 AM - AM-R - AMU Series JIC Size Back Panels 16" x 14" (HxWxD) Galvannealed Back Panels.</t>
  </si>
  <si>
    <t>Allied-Moulded-PG164.jpg</t>
  </si>
  <si>
    <t>Allied Moulded PA2420 Backplate 24" x 20"</t>
  </si>
  <si>
    <t>Allied Moulded PA2420</t>
  </si>
  <si>
    <t>PA2420</t>
  </si>
  <si>
    <t>Allied Moulded AM6-NLPS,Allied Moulded P2420,Allied Moulded PF2420,Allied Moulded PG2420</t>
  </si>
  <si>
    <t>Allied Moulded PA2420 AM-R Control Series Enclosure Back Panels 24" x 20" (HxWxD) Aluminum Back Panels.</t>
  </si>
  <si>
    <t>Allied-Moulded-PA2420.jpg</t>
  </si>
  <si>
    <t>Allied Moulded PL206 Steel Backplate</t>
  </si>
  <si>
    <t>Allied Moulded PL206</t>
  </si>
  <si>
    <t>PL206</t>
  </si>
  <si>
    <t>Allied Moulded PL206 Steel Backplate. Use with enclosure size 20" x 16". Height: 18.44" Width: 14.44" Thickness .25"</t>
  </si>
  <si>
    <t>Allied-Moulded-PL206.jpg</t>
  </si>
  <si>
    <t>Allied Moulded PL142 Steel Backplate</t>
  </si>
  <si>
    <t>Allied Moulded PL142</t>
  </si>
  <si>
    <t>PL142</t>
  </si>
  <si>
    <t>Allied Moulded PLA142</t>
  </si>
  <si>
    <t>Allied Moulded PL142 Steel Backplate. Use with enclosure size 14" x 12". Height: 12.75" Width: 10.88" Thickness .19"</t>
  </si>
  <si>
    <t>Allied-Moulded-PL142.jpg</t>
  </si>
  <si>
    <t>Allied Moulded P164 Backplate 16" x 14" Steel</t>
  </si>
  <si>
    <t>Allied Moulded P164</t>
  </si>
  <si>
    <r>
      <rPr>
        <sz val="8"/>
        <color rgb="FF231F20"/>
        <rFont val="Arial"/>
        <family val="34"/>
      </rPr>
      <t>P164</t>
    </r>
  </si>
  <si>
    <t>Allied Moulded PA164,Allied Moulded PF164,Allied Moulded PG164</t>
  </si>
  <si>
    <t>Allied Moulded P164 AM - AM-R - AMU Series JIC Size Back Panels 16" x 14" (HxWxD) Steel Back Panels.</t>
  </si>
  <si>
    <t>Allied-Moulded-P164.jpg</t>
  </si>
  <si>
    <t>Allied Moulded PLA206 Backplate 20" x 16"</t>
  </si>
  <si>
    <t>Allied Moulded PLA206</t>
  </si>
  <si>
    <t>PLA206</t>
  </si>
  <si>
    <t>Allied Moulded PF206,Allied Moulded PL206</t>
  </si>
  <si>
    <t>Allied Moulded PLA206 AM - AM-R - AMU Series JIC Size Back Panels 20" x 16" (HxWxD) Aluminum Back Panels.</t>
  </si>
  <si>
    <t>Allied-Moulded-PLA206.jpg</t>
  </si>
  <si>
    <t>Aluminum</t>
  </si>
  <si>
    <t>Allied Moulded PF2424 Backplate 24" x 24"</t>
  </si>
  <si>
    <t>Allied Moulded PF2424</t>
  </si>
  <si>
    <r>
      <rPr>
        <sz val="8"/>
        <color rgb="FF231F20"/>
        <rFont val="Arial"/>
        <family val="34"/>
      </rPr>
      <t>PF2424</t>
    </r>
  </si>
  <si>
    <t>Allied Moulded PG2424,Allied Moulded AM6-NLPS,Allied Moulded PA2424</t>
  </si>
  <si>
    <t>Allied Moulded PF2424 AM-R Control Series Enclosure Back Panels 24" x 24" (HxWxD) Fiberglass Back Panels.</t>
  </si>
  <si>
    <t>Allied-Moulded-PF2424.jpg</t>
  </si>
  <si>
    <t>Allied Moulded PF3024 Backplate 30" x 24"</t>
  </si>
  <si>
    <t>Allied Moulded PF3024</t>
  </si>
  <si>
    <r>
      <rPr>
        <sz val="8"/>
        <color rgb="FF231F20"/>
        <rFont val="Arial"/>
        <family val="34"/>
      </rPr>
      <t>PF3024</t>
    </r>
  </si>
  <si>
    <t>Allied Moulded AM6-NLPS,Allied Moulded PG3024,Allied Moulded PA3024</t>
  </si>
  <si>
    <t>Allied Moulded PF3024 AM-R Control Series Enclosure Back Panels 30" x 24" (HxWxD) Fiberglass Back Panels.</t>
  </si>
  <si>
    <t>Allied-Moulded-PF3024.jpg</t>
  </si>
  <si>
    <t>Allied Moulded PF142 Fiberglass Backplate</t>
  </si>
  <si>
    <t>Allied Moulded PF142</t>
  </si>
  <si>
    <t>PF142</t>
  </si>
  <si>
    <t>Allied Moulded PA164,Allied Moulded PG164,Allied Moulded PF164</t>
  </si>
  <si>
    <t>Allied Moulded PF142 Fiberglass Backplate. Use with enclosure size 14" x 12". Height: 12.75" Width: 10.88" Thickness .19"</t>
  </si>
  <si>
    <t>Allied-Moulded-PF142.jpg</t>
  </si>
  <si>
    <t>Allied Moulded PF164 Fiberglass Backplate</t>
  </si>
  <si>
    <t>Allied Moulded PF164</t>
  </si>
  <si>
    <t>PF164</t>
  </si>
  <si>
    <t>Allied Moulded PF186,Allied Moulded PG186,Allied Moulded PA186</t>
  </si>
  <si>
    <t>Allied Moulded PF164 Fiberglass Backplate. Use with enclosure size 16" x 14". Height: 14.75" Width: 12.88" Thickness .19"</t>
  </si>
  <si>
    <t>Allied-Moulded-PF164.jpg</t>
  </si>
  <si>
    <t>Allied Moulded PL120 Steel Backplate</t>
  </si>
  <si>
    <t>Allied Moulded PL120</t>
  </si>
  <si>
    <t>PL120</t>
  </si>
  <si>
    <t>Allied Moulded PLA120</t>
  </si>
  <si>
    <t>Allied Moulded PL120 Steel Backplate. Use with enclosure size 12" x 10". Height: 10.75" Width: 8.88" Thickness .19"</t>
  </si>
  <si>
    <t>Allied-Moulded-PL120.jpg</t>
  </si>
  <si>
    <t>Allied Moulded PL122 Backplate 12" x 12" Steel</t>
  </si>
  <si>
    <t>Allied Moulded PL122</t>
  </si>
  <si>
    <r>
      <rPr>
        <sz val="8"/>
        <color rgb="FF231F20"/>
        <rFont val="Arial"/>
        <family val="34"/>
      </rPr>
      <t>PL122</t>
    </r>
  </si>
  <si>
    <t>Allied Moulded PF122,Allied Moulded PG122,Allied Moulded PLA122,Allied Moulded AM1226RT,Allied Moulded AM1224L</t>
  </si>
  <si>
    <t>Allied Moulded PL122 AM - AM-R - AMU Series JIC Size Back Panels 12" x 12" (HxWxD) Steel Back Panels.</t>
  </si>
  <si>
    <t>Allied-Moulded-PL122.jpg</t>
  </si>
  <si>
    <t>Allied Moulded PA164 Backplate 16" x 14"</t>
  </si>
  <si>
    <t>Allied Moulded PA164</t>
  </si>
  <si>
    <t>PA164</t>
  </si>
  <si>
    <t>Allied Moulded P164,Allied Moulded PF164,Allied Moulded PG164</t>
  </si>
  <si>
    <t>Allied Moulded PA164 AM - AM-R - AMU Series JIC Size Back Panels 16" x 14" (HxWxD) Aluminum Back Panels.</t>
  </si>
  <si>
    <t>Allied Moulded PLA164 Backplate 16" x 14"</t>
  </si>
  <si>
    <t>Allied-Moulded-PA164.jpg</t>
  </si>
  <si>
    <t>Allied Moulded PA186 Backplate 18" x 16"</t>
  </si>
  <si>
    <t>Allied Moulded PA186</t>
  </si>
  <si>
    <t>PA186</t>
  </si>
  <si>
    <t>Allied Moulded PF186,Allied Moulded PG186,Allied Moulded P186</t>
  </si>
  <si>
    <t>Allied Moulded PA186 AM - AM-R - AMU Series JIC Size Back Panels 18" x 16" (HxWxD) Aluminum Back Panels.</t>
  </si>
  <si>
    <t>Allied-Moulded-PA186.jpg</t>
  </si>
  <si>
    <t>Allied Moulded PG122 Backplate 12" x 12"</t>
  </si>
  <si>
    <t>Allied Moulded PG122</t>
  </si>
  <si>
    <r>
      <rPr>
        <sz val="8"/>
        <color rgb="FF231F20"/>
        <rFont val="Arial"/>
        <family val="34"/>
      </rPr>
      <t>PG122</t>
    </r>
  </si>
  <si>
    <t>Allied Moulded PF122,Allied Moulded PLA122,Allied Moulded AM1224L,Allied Moulded AM1226RT,Allied Moulded PL122</t>
  </si>
  <si>
    <t>Allied Moulded PG122 AM - AM-R - AMU Series JIC Size Back Panels 12" x 12" (HxWxD) Galvannealed Back Panels.</t>
  </si>
  <si>
    <t>Allied-Moulded-PG122.jpg</t>
  </si>
  <si>
    <t>Allied Moulded PG142 Backplate 14" x 12"</t>
  </si>
  <si>
    <t>Allied Moulded PG142</t>
  </si>
  <si>
    <r>
      <rPr>
        <sz val="8"/>
        <color rgb="FF231F20"/>
        <rFont val="Arial"/>
        <family val="34"/>
      </rPr>
      <t>PG142</t>
    </r>
  </si>
  <si>
    <t>Allied Moulded PG142 AM - AM-R - AMU Series JIC Size Back Panels 14" x 12" (HxWxD) Galvannealed Back Panels.</t>
  </si>
  <si>
    <t>Allied-Moulded-PG142.jpg</t>
  </si>
  <si>
    <t>Allied Moulded PF2420 Backplate 24" x 20"</t>
  </si>
  <si>
    <t>Allied Moulded PF2420</t>
  </si>
  <si>
    <r>
      <rPr>
        <sz val="8"/>
        <color rgb="FF231F20"/>
        <rFont val="Arial"/>
        <family val="34"/>
      </rPr>
      <t>PF2420</t>
    </r>
  </si>
  <si>
    <t>Allied Moulded PG66</t>
  </si>
  <si>
    <t>Allied Moulded PF2420 AM-R Control Series Enclosure Back Panels 24" x 20" (HxWxD) Fiberglass Back Panels.</t>
  </si>
  <si>
    <t>Allied-Moulded-PF2420.jpg</t>
  </si>
  <si>
    <t>Allied Moulded PLPVC186 Backplate 18" x 16"</t>
  </si>
  <si>
    <t>Allied Moulded PLPVC186</t>
  </si>
  <si>
    <r>
      <rPr>
        <sz val="8"/>
        <color rgb="FF231F20"/>
        <rFont val="Arial"/>
        <family val="34"/>
      </rPr>
      <t>PLPVC186</t>
    </r>
  </si>
  <si>
    <t>Allied Moulded PA186,Allied Moulded P186</t>
  </si>
  <si>
    <t>Allied Moulded PLPVC186 POLYLINE AMP Series JIC Size Back Panels &amp; Hinged Front Panels 18" x 16" (HxWxD) PVC Back Panels.</t>
  </si>
  <si>
    <t>Enclosure back panel accessory for securely mounting electrical/electronic devices. Maximum service temperature 140 deg F.</t>
  </si>
  <si>
    <t>Allied-Moulded-PLPVC186.jpg</t>
  </si>
  <si>
    <t>Polyvinyl Chloride</t>
  </si>
  <si>
    <t>Allied Moulded PL108 Steel Backplate</t>
  </si>
  <si>
    <t>Allied Moulded PL108</t>
  </si>
  <si>
    <t>PL108</t>
  </si>
  <si>
    <t>Allied Moulded PLA108</t>
  </si>
  <si>
    <t>Allied Moulded PL108 Steel Backplate. Use with enclosure size 10" x 8". Height: 8.75" Width: 6.88" Thickness .13"</t>
  </si>
  <si>
    <t>Allied-Moulded-PL108.jpg</t>
  </si>
  <si>
    <t>Allied Moulded PLA120 Backplate 12" x 10"</t>
  </si>
  <si>
    <t>PLA120</t>
  </si>
  <si>
    <t>Allied Moulded PLA120 AM - AM-R - AMU Series JIC Size Back Panels 12" x 10" (HxWxD) Aluminum Back Panels.</t>
  </si>
  <si>
    <t>Allied-Moulded-PLA120.jpg</t>
  </si>
  <si>
    <t>Allied Moulded PLA122 Backplate 12" x 12"</t>
  </si>
  <si>
    <t>Allied Moulded PLA122</t>
  </si>
  <si>
    <t>PLA122</t>
  </si>
  <si>
    <t>Allied Moulded AM1224L,Allied Moulded PL122,Allied Moulded PG122,Allied Moulded PF122,Allied Moulded AM1226RT</t>
  </si>
  <si>
    <t>Allied Moulded PLA122 AM - AM-R - AMU Series JIC Size Back Panels 12" x 12" (HxWxD) Aluminum Back Panels.</t>
  </si>
  <si>
    <t>Allied-Moulded-PLA122.jpg</t>
  </si>
  <si>
    <t>Allied Moulded PLA142 Backplate 14" x 12"</t>
  </si>
  <si>
    <t>PLA142</t>
  </si>
  <si>
    <t>Allied Moulded PLA142 AM - AM-R - AMU Series JIC Size Back Panels 14" x 12" (HxWxD) Aluminum Back Panels.</t>
  </si>
  <si>
    <t>Allied-Moulded-PLA142.jpg</t>
  </si>
  <si>
    <t>Allied Moulded PF122 Backplate 12" x 12"</t>
  </si>
  <si>
    <t>Allied Moulded PF122</t>
  </si>
  <si>
    <r>
      <rPr>
        <sz val="8"/>
        <color rgb="FF231F20"/>
        <rFont val="Arial"/>
        <family val="34"/>
      </rPr>
      <t>PF122</t>
    </r>
  </si>
  <si>
    <t>Allied Moulded PF142,Allied Moulded PG142</t>
  </si>
  <si>
    <t>Allied Moulded PF122 AM - AM-R - AMU Series JIC Size Back Panels 12" x 12" (HxWxD) Fiberglass Back Panels.</t>
  </si>
  <si>
    <t>Allied-Moulded-PF122.jpg</t>
  </si>
  <si>
    <t>Allied Moulded PG108 Backplate 10" x 8"</t>
  </si>
  <si>
    <t>Allied Moulded PG108</t>
  </si>
  <si>
    <r>
      <rPr>
        <sz val="8"/>
        <color rgb="FF231F20"/>
        <rFont val="Arial"/>
        <family val="34"/>
      </rPr>
      <t>PG108</t>
    </r>
  </si>
  <si>
    <t>Allied Moulded PF108</t>
  </si>
  <si>
    <t>Allied Moulded PG108 AM - AM-R - AMU Series JIC Size Back Panels 10" x 8" (HxWxD) Galvannealed Back Panels.</t>
  </si>
  <si>
    <t>Allied-Moulded-PG108.jpg</t>
  </si>
  <si>
    <t>Allied Moulded PG120 Backplate 12" x 10"</t>
  </si>
  <si>
    <t>Allied Moulded PG120</t>
  </si>
  <si>
    <r>
      <rPr>
        <sz val="8"/>
        <color rgb="FF231F20"/>
        <rFont val="Arial"/>
        <family val="34"/>
      </rPr>
      <t>PG120</t>
    </r>
  </si>
  <si>
    <t>Allied Moulded PF120</t>
  </si>
  <si>
    <t>Allied Moulded PG120 AM - AM-R - AMU Series JIC Size Back Panels 12" x 10" (HxWxD) Galvannealed Back Panels.</t>
  </si>
  <si>
    <t>Allied-Moulded-PG120.jpg</t>
  </si>
  <si>
    <t>Allied Moulded PLPVC120 Backplate 12" x 10"</t>
  </si>
  <si>
    <t>Allied Moulded PLPVC120</t>
  </si>
  <si>
    <r>
      <rPr>
        <sz val="8"/>
        <color rgb="FF231F20"/>
        <rFont val="Arial"/>
        <family val="34"/>
      </rPr>
      <t>PLPVC120</t>
    </r>
  </si>
  <si>
    <t>Allied Moulded PLA120,Allied Moulded PL120</t>
  </si>
  <si>
    <t>Allied Moulded PLPVC120 POLYLINE AMP Series JIC Size Back Panels &amp; Hinged Front Panels 12" x 10" (HxWxD) PVC Back Panels.</t>
  </si>
  <si>
    <t>Allied-Moulded-PLPVC120.jpg</t>
  </si>
  <si>
    <t>Allied Moulded PLPVC142 Backplate 14" x 12"</t>
  </si>
  <si>
    <t>Allied Moulded PLPVC142</t>
  </si>
  <si>
    <r>
      <rPr>
        <sz val="8"/>
        <color rgb="FF231F20"/>
        <rFont val="Arial"/>
        <family val="34"/>
      </rPr>
      <t>PLPVC142</t>
    </r>
  </si>
  <si>
    <t>Allied Moulded PLA142,Allied Moulded PL142</t>
  </si>
  <si>
    <t>Allied Moulded PLPVC142 POLYLINE AMP Series JIC Size Back Panels &amp; Hinged Front Panels 14" x 12" (HxWxD) PVC Back Panels.</t>
  </si>
  <si>
    <t>Allied-Moulded-PLPVC142.jpg</t>
  </si>
  <si>
    <t>Allied Moulded PLPVC164 Backplate 16" x 14"</t>
  </si>
  <si>
    <t>Allied Moulded PLPVC164</t>
  </si>
  <si>
    <r>
      <rPr>
        <sz val="8"/>
        <color rgb="FF231F20"/>
        <rFont val="Arial"/>
        <family val="34"/>
      </rPr>
      <t>PLPVC164</t>
    </r>
  </si>
  <si>
    <t>Allied Moulded P164,Allied Moulded PA164</t>
  </si>
  <si>
    <t>Allied Moulded PLPVC164 POLYLINE AMP Series JIC Size Back Panels &amp; Hinged Front Panels 16" x 14" (HxWxD) PVC Back Panels.</t>
  </si>
  <si>
    <t>Allied-Moulded-PLPVC164.jpg</t>
  </si>
  <si>
    <t>Allied Moulded PA74 Aluminum Backplane</t>
  </si>
  <si>
    <t>Allied Moulded PA74</t>
  </si>
  <si>
    <t>PA74</t>
  </si>
  <si>
    <t>Allied Moulded AM743,Allied Moulded AM743SF,Allied Moulded PF74</t>
  </si>
  <si>
    <t>Allied Moulded PA74 Aluminum Backplane for 7"H x 4"W enclosure.</t>
  </si>
  <si>
    <t>Allied-Moulded-PA74.jpg</t>
  </si>
  <si>
    <t>Allied Moulded PA94 Aluminum Backplane</t>
  </si>
  <si>
    <t>Allied Moulded PA94</t>
  </si>
  <si>
    <t>PA94</t>
  </si>
  <si>
    <t>Allied Moulded AM943SF,Allied Moulded PF94,Allied Moulded AM943</t>
  </si>
  <si>
    <t>Allied Moulded PA94 Aluminum Backplane for 9"H x 4"W enclosure.</t>
  </si>
  <si>
    <t>Allied-Moulded-PA94.jpg</t>
  </si>
  <si>
    <t>Allied Moulded PF74 Fiberglass Backplane</t>
  </si>
  <si>
    <t>Allied Moulded PF74</t>
  </si>
  <si>
    <t>PF74</t>
  </si>
  <si>
    <t>Allied Moulded PA74,Allied Moulded AM743SF,Allied Moulded AM743</t>
  </si>
  <si>
    <t>Allied Moulded PF74 Fiberglass Backplane for 7"H x 4"W enclosure.</t>
  </si>
  <si>
    <t>Allied-Moulded-PF74.jpg</t>
  </si>
  <si>
    <t>Allied Moulded PF94 Fiberglass Backplane</t>
  </si>
  <si>
    <t>Allied Moulded PF94</t>
  </si>
  <si>
    <t>PF94</t>
  </si>
  <si>
    <t>Allied Moulded AM943,Allied Moulded PA94,Allied Moulded AM943SF</t>
  </si>
  <si>
    <t>Allied Moulded PF94 Fiberglass Backplane for 9"H x 4"W enclosure.</t>
  </si>
  <si>
    <t>Allied-Moulded-PF94.jpg</t>
  </si>
  <si>
    <t>Allied Moulded PF66 Fiberglass Backplate</t>
  </si>
  <si>
    <t>Allied Moulded PF66</t>
  </si>
  <si>
    <t>PF66</t>
  </si>
  <si>
    <t>Allied Moulded AM1084RHW,Allied Moulded PLA44,Allied Moulded AMVENT4XLG,Allied Moulded AMHMI206L</t>
  </si>
  <si>
    <t>Allied Moulded PF66 Fiberglass Backplate. Use with enclosure size 6" x 6". Height: 4.81" Width: 4.81" Thickness .13"</t>
  </si>
  <si>
    <t>Allied-Moulded-PF66.jpg</t>
  </si>
  <si>
    <t>Allied Moulded PF86 Fiberglass Backplate</t>
  </si>
  <si>
    <t>Allied Moulded PF86</t>
  </si>
  <si>
    <t>PF86</t>
  </si>
  <si>
    <t>Allied Moulded PG86</t>
  </si>
  <si>
    <t>Allied Moulded PF86 Fiberglass Backplate. Use with enclosure size 8" x 6". Height: 6.75" Width: 4.88" Thickness .13"</t>
  </si>
  <si>
    <t>Allied-Moulded-PF86.jpg</t>
  </si>
  <si>
    <t>Allied Moulded PF108 Fiberglass Backplate</t>
  </si>
  <si>
    <t>PF108</t>
  </si>
  <si>
    <t>Allied Moulded PF108 Fiberglass Backplate. Use with enclosure size 10" x 8". Height: 8.75" Width: 6.88" Thickness .13"</t>
  </si>
  <si>
    <t>Allied-Moulded-PF108.jpg</t>
  </si>
  <si>
    <t>Allied Moulded PF120 Fiberglass Backplate</t>
  </si>
  <si>
    <t>PF120</t>
  </si>
  <si>
    <t>Allied Moulded PF120 Fiberglass Backplate. Use with enclosure size 12" x 10". Height: 10.75" Width: 8.88" Thickness .19"</t>
  </si>
  <si>
    <t>Allied-Moulded-PF120.jpg</t>
  </si>
  <si>
    <t>Allied Moulded PL66 Steel Backplate</t>
  </si>
  <si>
    <t>Allied Moulded PL66</t>
  </si>
  <si>
    <t>PL66</t>
  </si>
  <si>
    <t>Allied Moulded PLA66</t>
  </si>
  <si>
    <t>Allied Moulded PL66 Steel Backplate. Use with enclosure size 6" x 6". Height: 4.81" Width: 4.81" Thickness .13"</t>
  </si>
  <si>
    <t>Allied-Moulded-PL66.jpg</t>
  </si>
  <si>
    <t>Allied Moulded PL86 Steel Backplate</t>
  </si>
  <si>
    <t>Allied Moulded PL86</t>
  </si>
  <si>
    <t>PL86</t>
  </si>
  <si>
    <t>Allied Moulded PLA86</t>
  </si>
  <si>
    <t>Allied Moulded PL86 Steel Backplate. Use with enclosure size 8" x 6". Height: 6.75" Width: 4.88" Thickness .13"</t>
  </si>
  <si>
    <t>Allied-Moulded-PL86.jpg</t>
  </si>
  <si>
    <t>Allied Moulded PLA66 Backplate 6" x 6"</t>
  </si>
  <si>
    <t>PLA66</t>
  </si>
  <si>
    <t>Allied Moulded PLA66 AM - AM-R - AMU Series JIC Size Back Panels 6" x 6" (HxWxD) Aluminum Back Panels.</t>
  </si>
  <si>
    <t>Allied-Moulded-PLA66.jpg</t>
  </si>
  <si>
    <t>Allied Moulded PLA86 Backplate 8" x 6"</t>
  </si>
  <si>
    <t>PLA86</t>
  </si>
  <si>
    <t>Allied Moulded PLA86 AM - AM-R - AMU Series JIC Size Back Panels 8" x 6" (HxWxD) Aluminum Back Panels.</t>
  </si>
  <si>
    <t>Allied-Moulded-PLA86.jpg</t>
  </si>
  <si>
    <t>Allied Moulded PLA108 Backplate 10" x 8"</t>
  </si>
  <si>
    <t>PLA108</t>
  </si>
  <si>
    <t>Allied Moulded PLA108 AM - AM-R - AMU Series JIC Size Back Panels 10" x 8" (HxWxD) Aluminum Back Panels.</t>
  </si>
  <si>
    <t>Allied-Moulded-PLA108.jpg</t>
  </si>
  <si>
    <t>Allied Moulded PG66 Backplate 6" x 6"</t>
  </si>
  <si>
    <r>
      <rPr>
        <sz val="8"/>
        <color rgb="FF231F20"/>
        <rFont val="Arial"/>
        <family val="34"/>
      </rPr>
      <t>PG66</t>
    </r>
  </si>
  <si>
    <t>Allied Moulded PG66 AM - AM-R - AMU Series JIC Size Back Panels 6" x 6" (HxWxD) Galvannealed Back Panels.</t>
  </si>
  <si>
    <t>Allied-Moulded-PG66.jpg</t>
  </si>
  <si>
    <t>Allied Moulded PG86 Backplate 8" x 6"</t>
  </si>
  <si>
    <r>
      <rPr>
        <sz val="8"/>
        <color rgb="FF231F20"/>
        <rFont val="Arial"/>
        <family val="34"/>
      </rPr>
      <t>PG86</t>
    </r>
  </si>
  <si>
    <t>Allied Moulded PG86 AM - AM-R - AMU Series JIC Size Back Panels 8" x 6" (HxWxD) Galvannealed Back Panels.</t>
  </si>
  <si>
    <t>Allied-Moulded-PG86.jpg</t>
  </si>
  <si>
    <t>Allied Moulded PL44 Backplate 4" x 4"</t>
  </si>
  <si>
    <t>Allied Moulded PL44</t>
  </si>
  <si>
    <r>
      <rPr>
        <sz val="8"/>
        <color rgb="FF231F20"/>
        <rFont val="Arial"/>
        <family val="34"/>
      </rPr>
      <t>PL44</t>
    </r>
  </si>
  <si>
    <t>Allied Moulded PLPVC44,Allied Moulded AMHMI206CCH,Allied Moulded AM1084LW,Allied Moulded AMU864TWF</t>
  </si>
  <si>
    <t>Allied Moulded PL44 POLYLINE AMP Series JIC Size Back Panels &amp; Hinged Front Panels 4" x 4" (HxWxD) White Painted Steel Back Panels.</t>
  </si>
  <si>
    <t>Allied-Moulded-PL44.jpg</t>
  </si>
  <si>
    <t>Allied Moulded PL88 Backplate 8" x 8"</t>
  </si>
  <si>
    <t>Allied Moulded PL88</t>
  </si>
  <si>
    <r>
      <rPr>
        <sz val="8"/>
        <color rgb="FF231F20"/>
        <rFont val="Arial"/>
        <family val="34"/>
      </rPr>
      <t>PL88</t>
    </r>
  </si>
  <si>
    <t>Allied Moulded PLA88</t>
  </si>
  <si>
    <t>Allied Moulded PL88 POLYLINE AMP Series JIC Size Back Panels &amp; Hinged Front Panels 8" x 8" (HxWxD) White Painted Steel Back Panels.</t>
  </si>
  <si>
    <t>Allied-Moulded-PL88.jpg</t>
  </si>
  <si>
    <t>Allied Moulded PLA44 Backplate 4" x 4"</t>
  </si>
  <si>
    <t>Allied Moulded PLA44</t>
  </si>
  <si>
    <t>PLA44</t>
  </si>
  <si>
    <t>Allied Moulded AMU864WF,Allied Moulded AMU864W,Allied Moulded PL44,Allied Moulded AMHMI206CCHTP</t>
  </si>
  <si>
    <t>Allied Moulded PLA44 POLYLINE AMP Series JIC Size Back Panels &amp; Hinged Front Panels 4" x 4" (HxWxD) Aluminum Back Panels.</t>
  </si>
  <si>
    <t>Allied-Moulded-PLA44.jpg</t>
  </si>
  <si>
    <t>Allied Moulded PLA88 Backplate 8" x 8"</t>
  </si>
  <si>
    <t>PLA88</t>
  </si>
  <si>
    <t>Allied Moulded PLA88 POLYLINE AMP Series JIC Size Back Panels &amp; Hinged Front Panels 8" x 8" (HxWxD) Aluminum Back Panels.</t>
  </si>
  <si>
    <t>Allied-Moulded-PLA88.jpg</t>
  </si>
  <si>
    <t>Allied Moulded PLPVC44 Backplate 4" x 4"</t>
  </si>
  <si>
    <t>Allied Moulded PLPVC44</t>
  </si>
  <si>
    <r>
      <rPr>
        <sz val="8"/>
        <color rgb="FF231F20"/>
        <rFont val="Arial"/>
        <family val="34"/>
      </rPr>
      <t>PLPVC44</t>
    </r>
  </si>
  <si>
    <t>Allied Moulded AMHS075,Allied Moulded AMHMI206CCHTP,Allied Moulded AM1084RT,Allied Moulded AMU864W</t>
  </si>
  <si>
    <t>Allied Moulded PLPVC44 POLYLINE AMP Series JIC Size Back Panels &amp; Hinged Front Panels 4" x 4" (HxWxD) PVC Back Panels.</t>
  </si>
  <si>
    <t>Enclosure back panel accessory for securely mounting electrical/electronic devices. Maximum service temperature 140 deg. F.</t>
  </si>
  <si>
    <t>Allied-Moulded-PLPVC44.jpg</t>
  </si>
  <si>
    <t>Allied Moulded PLPVC66 Backplate 6" x 6"</t>
  </si>
  <si>
    <t>Allied Moulded PLPVC66</t>
  </si>
  <si>
    <r>
      <rPr>
        <sz val="8"/>
        <color rgb="FF231F20"/>
        <rFont val="Arial"/>
        <family val="34"/>
      </rPr>
      <t>PLPVC66</t>
    </r>
  </si>
  <si>
    <t>Allied Moulded PLA66,Allied Moulded PL66</t>
  </si>
  <si>
    <t>Allied Moulded PLPVC66 POLYLINE AMP Series JIC Size Back Panels &amp; Hinged Front Panels 6" x 6" (HxWxD) PVC Back Panels.</t>
  </si>
  <si>
    <t>Allied-Moulded-PLPVC66.jpg</t>
  </si>
  <si>
    <t>Allied Moulded PLPVC86 Backplate 8" x 6"</t>
  </si>
  <si>
    <t>Allied Moulded PLPVC86</t>
  </si>
  <si>
    <r>
      <rPr>
        <sz val="8"/>
        <color rgb="FF231F20"/>
        <rFont val="Arial"/>
        <family val="34"/>
      </rPr>
      <t>PLPVC86</t>
    </r>
  </si>
  <si>
    <t>Allied Moulded PLA86,Allied Moulded PL86</t>
  </si>
  <si>
    <t>Allied Moulded PLPVC86 POLYLINE AMP Series JIC Size Back Panels &amp; Hinged Front Panels 8" x 6" (HxWxD) PVC Back Panels.</t>
  </si>
  <si>
    <t>Allied-Moulded-PLPVC86.jpg</t>
  </si>
  <si>
    <t>Allied Moulded PLPVC88 Backplate 8" x 8"</t>
  </si>
  <si>
    <t>Allied Moulded PLPVC88</t>
  </si>
  <si>
    <r>
      <rPr>
        <sz val="8"/>
        <color rgb="FF231F20"/>
        <rFont val="Arial"/>
        <family val="34"/>
      </rPr>
      <t>PLPVC88</t>
    </r>
  </si>
  <si>
    <t>Allied Moulded PLPVC88 POLYLINE AMP Series JIC Size Back Panels &amp; Hinged Front Panels 8" x 8" (HxWxD) PVC Back Panels.</t>
  </si>
  <si>
    <t>Allied-Moulded-PLPVC88.jpg</t>
  </si>
  <si>
    <t>Allied Moulded PLPVC108 Backplate 10" x 8"</t>
  </si>
  <si>
    <t>Allied Moulded PLPVC108</t>
  </si>
  <si>
    <r>
      <rPr>
        <sz val="8"/>
        <color rgb="FF231F20"/>
        <rFont val="Arial"/>
        <family val="34"/>
      </rPr>
      <t>PLPVC108</t>
    </r>
  </si>
  <si>
    <t>Allied Moulded PLA108,Allied Moulded PL108</t>
  </si>
  <si>
    <t>Allied Moulded PLPVC108 POLYLINE AMP Series JIC Size Back Panels &amp; Hinged Front Panels 10" x 8" (HxWxD) PVC Back Panels.</t>
  </si>
  <si>
    <t>Allied-Moulded-PLPVC108.jpg</t>
  </si>
  <si>
    <t>Hole Seal Composition</t>
  </si>
  <si>
    <t>Hole Seal Color</t>
  </si>
  <si>
    <t>Hole Seal Minimum Hole Diameter</t>
  </si>
  <si>
    <t>Hole Seal Max Hole Diameter</t>
  </si>
  <si>
    <t>Hole Seal For Conduit Size</t>
  </si>
  <si>
    <t>Hole Seal For Pilot Light Size</t>
  </si>
  <si>
    <t>Hole Seal For Micro Size</t>
  </si>
  <si>
    <t>Allied Moulded AMHSPL-S .5" Hole Seal Light Gray</t>
  </si>
  <si>
    <t>Allied Moulded AMHSPL-S</t>
  </si>
  <si>
    <t>AMHSPL-S</t>
  </si>
  <si>
    <t>Allied Moulded AMHSPL,Allied Moulded AMHSPL-GY</t>
  </si>
  <si>
    <t>/Enclosure Accessories/Enclosure Paint, Patch Kits &amp; Hole Seals/Enclosure Hole Seals</t>
  </si>
  <si>
    <t>Allied Moulded AMHSPL-S Light Gray Hole Seal for Micro for .5" (.5"-.624" max) hole diameter. Pilot light size hole seal. Steel seals wirh polyester powder paint finish over galvanized front surface.</t>
  </si>
  <si>
    <t>Allied Moulded AMHSPL-S Gray Hole Seal for Micro and for pilot light .5"-.624" max hole diameter. Fast, flexible and reusable. Easy to use and install with 1 person. Polycarbonate hole plug with Neoprene Gasket Threaded mount.</t>
  </si>
  <si>
    <t>Allied Moulded AMHSPL-S Gray Hole Seal for Micro for .56" max hole diameter. Steel seals wirh polyester powder paint finish over galvanized front surface.</t>
  </si>
  <si>
    <t>Allied Moulded AMHSPL-S Gray Steel Hole Seal .56"</t>
  </si>
  <si>
    <t>Plug fins are self centering, anti-rotational design for fast and easy one person assembly and no-tools tightening;</t>
  </si>
  <si>
    <t>Allied-Moulded-AMHSPL-S.jpg</t>
  </si>
  <si>
    <t>Hole Seal</t>
  </si>
  <si>
    <t>Light Gray</t>
  </si>
  <si>
    <t>.5"</t>
  </si>
  <si>
    <t>.624"</t>
  </si>
  <si>
    <t>.56"</t>
  </si>
  <si>
    <t>Allied Moulded AMHSPL .625" Hole Seal Light Gray</t>
  </si>
  <si>
    <t>Allied Moulded AMHSPL</t>
  </si>
  <si>
    <t>AMHSPL</t>
  </si>
  <si>
    <t>Allied Moulded AMHSPL-GY</t>
  </si>
  <si>
    <t>Allied Moulded AMHSPL Light Gray Hole Seal for .625" (.625"-.812" max) hole diameter. Pilot light size hole seal. Steel seals wirh polyester powder paint finish over galvanized front surface.</t>
  </si>
  <si>
    <t>Allied Moulded AMHSPL Gray Hole Seal for pilot light .625"-.812" max hole diameter. Fast, flexible and reusable. Easy to use and install with 1 person. Polycarbonate hole plug with Neoprene Gasket Threaded mount.</t>
  </si>
  <si>
    <t>Allied Moulded AMHSPL Gray Hole Seal for Micro for .56" max hole diameter. Steel seals wirh polyester powder paint finish over galvanized front surface.</t>
  </si>
  <si>
    <t>Allied Moulded AMHSPL Gray Steel Hole Seal .56"</t>
  </si>
  <si>
    <t>Allied-Moulded-AMHSPL.jpg</t>
  </si>
  <si>
    <t>.625"</t>
  </si>
  <si>
    <t>.812"</t>
  </si>
  <si>
    <t>Allied Moulded AMHS050 .812" Hole Seal Light Gray</t>
  </si>
  <si>
    <t>Allied Moulded AMHS050</t>
  </si>
  <si>
    <t>AMHS050</t>
  </si>
  <si>
    <t>Allied Moulded AMHS200-GY</t>
  </si>
  <si>
    <t>Allied Moulded AMHS050 Light Gray Hole Seal for .812" (.812"-.937" max) hole diameter. 1/2" conduit size hole seal. Steel seals wirh polyester powder paint finish over galvanized front surface.</t>
  </si>
  <si>
    <t>Allied Moulded AMHS050 Gray Hole Seal for Micro and for pilot light .812"-.937" max hole diameter. Fast, flexible and reusable. Easy to use and install with 1 person. Polycarbonate hole plug with Neoprene Gasket Threaded mount.</t>
  </si>
  <si>
    <t>Allied Moulded AMHS050 Gray Hole Seal for Micro for .56" max hole diameter. Steel seals wirh polyester powder paint finish over galvanized front surface.</t>
  </si>
  <si>
    <t>Allied Moulded AMHS050 Gray Steel Hole Seal .56"</t>
  </si>
  <si>
    <t>Allied-Moulded-AMHS050.jpg</t>
  </si>
  <si>
    <t>.937"</t>
  </si>
  <si>
    <t>.5" Conduit</t>
  </si>
  <si>
    <t>Allied Moulded AMHS075 1" Hole Seal Light Gray</t>
  </si>
  <si>
    <t>Allied Moulded AMHS075</t>
  </si>
  <si>
    <t>AMHS075</t>
  </si>
  <si>
    <t>Allied Moulded AMHS075-GY</t>
  </si>
  <si>
    <t>Allied Moulded AMHS075 Light Gray Hole Seal for 1" (1"-1.312" max) hole diameter. 3/4" conduit size hole seal. Steel seals wirh polyester powder paint finish over galvanized front surface.</t>
  </si>
  <si>
    <t>Allied Moulded AMHS075 Gray Hole Seal for Micro and for pilot light 1"-1.312"" max hole diameter. Fast, flexible and reusable. Easy to use and install with 1 person. Polycarbonate hole plug with Neoprene Gasket Threaded mount.</t>
  </si>
  <si>
    <t>Allied Moulded AMHS075 Gray Hole Seal for Micro for .56" max hole diameter. Steel seals wirh polyester powder paint finish over galvanized front surface.</t>
  </si>
  <si>
    <t>Allied Moulded AMHS075 Gray Steel Hole Seal .56"</t>
  </si>
  <si>
    <t>Allied-Moulded-AMHS075.jpg</t>
  </si>
  <si>
    <t>1"</t>
  </si>
  <si>
    <t>1.312""</t>
  </si>
  <si>
    <t>.75" Conduit</t>
  </si>
  <si>
    <t>Allied Moulded AMHS100 1.375" Hole Seal Light Gray</t>
  </si>
  <si>
    <t>Allied Moulded AMHS100</t>
  </si>
  <si>
    <t>AMHS100</t>
  </si>
  <si>
    <t>Allied Moulded AMHS100-GY</t>
  </si>
  <si>
    <t>Allied Moulded AMHS100 Light Gray Hole Seal for 1.375" (1.375"-1.625" max) hole diameter. 1" conduit size hole seal. Steel seals wirh polyester powder paint finish over galvanized front surface.</t>
  </si>
  <si>
    <t>Allied Moulded AMHS100 Gray Hole Seal for Micro and for pilot light 1.375"-1.625" max hole diameter. Fast, flexible and reusable. Easy to use and install with 1 person. Polycarbonate hole plug with Neoprene Gasket Threaded mount.</t>
  </si>
  <si>
    <t>Allied Moulded AMHS100 Gray Hole Seal for Micro for .56" max hole diameter. Steel seals wirh polyester powder paint finish over galvanized front surface.</t>
  </si>
  <si>
    <t>Allied Moulded AMHS100 Gray Steel Hole Seal .56"</t>
  </si>
  <si>
    <t>Allied-Moulded-AMHS100.jpg</t>
  </si>
  <si>
    <t>1.375"</t>
  </si>
  <si>
    <t>1.625""</t>
  </si>
  <si>
    <t>1" Conduit</t>
  </si>
  <si>
    <t>Allied Moulded AMHS125 1.687" Hole Seal Light Gray</t>
  </si>
  <si>
    <t>Allied Moulded AMHS125</t>
  </si>
  <si>
    <t>AMHS125</t>
  </si>
  <si>
    <t>Allied Moulded AMHS125-GY</t>
  </si>
  <si>
    <t>Allied Moulded AMHS125 Light Gray Hole Seal for 1.687" (1.687"-1.875" max) hole diameter. 1-1/4" conduit size hole seal. Steel seals wirh polyester powder paint finish over galvanized front surface.</t>
  </si>
  <si>
    <t>Allied Moulded AMHS125 Gray Hole Seal for Micro and for pilot light 1.687"-1.875" max hole diameter. Fast, flexible and reusable. Easy to use and install with 1 person. Polycarbonate hole plug with Neoprene Gasket Threaded mount.</t>
  </si>
  <si>
    <t>Allied Moulded AMHS125 Gray Hole Seal for Micro for .56" max hole diameter. Steel seals wirh polyester powder paint finish over galvanized front surface.</t>
  </si>
  <si>
    <t>Allied Moulded AMHS125 Gray Steel Hole Seal .56"</t>
  </si>
  <si>
    <t>Allied-Moulded-AMHS125.jpg</t>
  </si>
  <si>
    <t>1.687"</t>
  </si>
  <si>
    <t>1.875""</t>
  </si>
  <si>
    <t>1.25" Conduit</t>
  </si>
  <si>
    <t>Allied Moulded AMHS150 2" Hole Seal Light Gray</t>
  </si>
  <si>
    <t>Allied Moulded AMHS150</t>
  </si>
  <si>
    <t>AMHS150</t>
  </si>
  <si>
    <t>Allied Moulded AMHS150-GY</t>
  </si>
  <si>
    <t>Allied Moulded AMHS150 Light Gray Hole Seal for 2" (2"-2.187" max) hole diameter. 1-1/2" conduit size hole seal. Steel seals wirh polyester powder paint finish over galvanized front surface.</t>
  </si>
  <si>
    <t>Allied Moulded AMHS150 Gray Hole Seal for Micro and for pilot light 2"-2.187" max hole diameter. Fast, flexible and reusable. Easy to use and install with 1 person. Polycarbonate hole plug with Neoprene Gasket Threaded mount.</t>
  </si>
  <si>
    <t>Allied Moulded AMHS150 Gray Hole Seal for Micro for .56" max hole diameter. Steel seals wirh polyester powder paint finish over galvanized front surface.</t>
  </si>
  <si>
    <t>Allied Moulded AMHS150 Gray Steel Hole Seal .56"</t>
  </si>
  <si>
    <t>Allied-Moulded-AMHS150.jpg</t>
  </si>
  <si>
    <t>2.187""</t>
  </si>
  <si>
    <t>1.5" Conduit</t>
  </si>
  <si>
    <t>Allied Moulded AMHS200 2.5" Hole Seal Light Gray</t>
  </si>
  <si>
    <t>Allied Moulded AMHS200</t>
  </si>
  <si>
    <t>AMHS200</t>
  </si>
  <si>
    <t>Allied Moulded AMHS200 Light Gray Hole Seal for 2.5" (2.5"-2.75" max) hole diameter. 2" conduit size hole seal. Steel seals wirh polyester powder paint finish over galvanized front surface.</t>
  </si>
  <si>
    <t>Allied Moulded AMHS200 Gray Hole Seal for Micro and for pilot light 2.5"-2.75" max hole diameter. Fast, flexible and reusable. Easy to use and install with 1 person. Polycarbonate hole plug with Neoprene Gasket Threaded mount.</t>
  </si>
  <si>
    <t>Allied Moulded AMHS200 Gray Hole Seal for Micro for .56" max hole diameter. Steel seals wirh polyester powder paint finish over galvanized front surface.</t>
  </si>
  <si>
    <t>Allied Moulded AMHS200 Gray Steel Hole Seal .56"</t>
  </si>
  <si>
    <t>Allied-Moulded-AMHS200.jpg</t>
  </si>
  <si>
    <t>2.5"</t>
  </si>
  <si>
    <t>2.75""</t>
  </si>
  <si>
    <t>2" Conduit</t>
  </si>
  <si>
    <t>Allied Moulded AMHS250 2.875" Hole Seal Light Gray</t>
  </si>
  <si>
    <t>Allied Moulded AMHS250</t>
  </si>
  <si>
    <t>AMHS250</t>
  </si>
  <si>
    <t>Allied Moulded AMHS250-GY</t>
  </si>
  <si>
    <t>Allied Moulded AMHS250 Light Gray Hole Seal for 2.875" (2.875"-3.125" max) hole diameter. 2-1/2" conduit size hole seal. Steel seals wirh polyester powder paint finish over galvanized front surface.</t>
  </si>
  <si>
    <t>Allied Moulded AMHS250 Gray Hole Seal for Micro and for pilot light 2.875"-3.125" max hole diameter. Fast, flexible and reusable. Easy to use and install with 1 person. Polycarbonate hole plug with Neoprene Gasket Threaded mount.</t>
  </si>
  <si>
    <t>Allied Moulded AMHS250 Gray Hole Seal for Micro for .56" max hole diameter. Steel seals wirh polyester powder paint finish over galvanized front surface.</t>
  </si>
  <si>
    <t>Allied Moulded AMHS250 Gray Steel Hole Seal .56"</t>
  </si>
  <si>
    <t>Allied-Moulded-AMHS250.jpg</t>
  </si>
  <si>
    <t>2.875"</t>
  </si>
  <si>
    <t>3.125""</t>
  </si>
  <si>
    <t>2.5" Conduit</t>
  </si>
  <si>
    <t>Allied Moulded AMHS300 3.5" Hole Seal Light Gray</t>
  </si>
  <si>
    <t>Allied Moulded AMHS300</t>
  </si>
  <si>
    <t>AMHS300</t>
  </si>
  <si>
    <t>Allied Moulded AMHS300-GY</t>
  </si>
  <si>
    <t>Allied Moulded AMHS300 Light Gray Hole Seal for 3.5" (3.5"-3.75" max) hole diameter. 3" conduit size hole seal. Steel seals wirh polyester powder paint finish over galvanized front surface.</t>
  </si>
  <si>
    <t>Allied Moulded AMHS300 Gray Hole Seal for Micro and for pilot light 3.5"-3.75" max hole diameter. Fast, flexible and reusable. Easy to use and install with 1 person. Polycarbonate hole plug with Neoprene Gasket Threaded mount.</t>
  </si>
  <si>
    <t>Allied Moulded AMHS300 Gray Hole Seal for Micro for .56" max hole diameter. Steel seals wirh polyester powder paint finish over galvanized front surface.</t>
  </si>
  <si>
    <t>Allied Moulded AMHS300 Gray Steel Hole Seal .56"</t>
  </si>
  <si>
    <t>Allied-Moulded-AMHS300.jpg</t>
  </si>
  <si>
    <t>3.5"</t>
  </si>
  <si>
    <t>3.75""</t>
  </si>
  <si>
    <t>3" Conduit</t>
  </si>
  <si>
    <t>Allied Moulded AMHS350 4" Hole Seal Light Gray</t>
  </si>
  <si>
    <t>Allied Moulded AMHS350</t>
  </si>
  <si>
    <t>AMHS350</t>
  </si>
  <si>
    <t>Allied Moulded AMHS350-GY</t>
  </si>
  <si>
    <t>Allied Moulded AMHS350 Light Gray Hole Seal for 4" (4"-4.25" max) hole diameter. 3-1/2" conduit size hole seal. Steel seals wirh polyester powder paint finish over galvanized front surface.</t>
  </si>
  <si>
    <t>Allied Moulded AMHS350 Gray Hole Seal for Micro and for pilot light 4"-4.25" max hole diameter. Fast, flexible and reusable. Easy to use and install with 1 person. Polycarbonate hole plug with Neoprene Gasket Threaded mount.</t>
  </si>
  <si>
    <t>Allied Moulded AMHS350 Gray Hole Seal for Micro for .56" max hole diameter. Steel seals wirh polyester powder paint finish over galvanized front surface.</t>
  </si>
  <si>
    <t>Allied Moulded AMHS350 Gray Steel Hole Seal .56"</t>
  </si>
  <si>
    <t>Allied-Moulded-AMHS350.jpg</t>
  </si>
  <si>
    <t>4.25""</t>
  </si>
  <si>
    <t>3.5" Conduit</t>
  </si>
  <si>
    <t>Allied Moulded AMHS400 4.5" Hole Seal Light Gray</t>
  </si>
  <si>
    <t>Allied Moulded AMHS400</t>
  </si>
  <si>
    <t>AMHS400</t>
  </si>
  <si>
    <t>Allied Moulded AMHS400-GY</t>
  </si>
  <si>
    <t>Allied Moulded AMHS400 Light Gray Hole Seal for 4.5" (4.5"-4.75" max) hole diameter. 4" conduit size hole seal. Steel seals wirh polyester powder paint finish over galvanized front surface.</t>
  </si>
  <si>
    <t>Allied Moulded AMHS400 Gray Hole Seal for Micro and for pilot light 4.5"-4.75" max hole diameter. Fast, flexible and reusable. Easy to use and install with 1 person. Polycarbonate hole plug with Neoprene Gasket Threaded mount.</t>
  </si>
  <si>
    <t>Allied Moulded AMHS400 Gray Hole Seal for Micro for .56" max hole diameter. Steel seals wirh polyester powder paint finish over galvanized front surface.</t>
  </si>
  <si>
    <t>Allied Moulded AMHS400 Gray Steel Hole Seal .56"</t>
  </si>
  <si>
    <t>Allied-Moulded-AMHS400.jpg</t>
  </si>
  <si>
    <t>4.5"</t>
  </si>
  <si>
    <t>4.75""</t>
  </si>
  <si>
    <t>4" Conduit</t>
  </si>
  <si>
    <t>Allied Moulded AMHSPL-SGY .5" Hole Seal Gray</t>
  </si>
  <si>
    <t>Allied Moulded AMHSPL-SGY</t>
  </si>
  <si>
    <t>AMHSPL-SGY</t>
  </si>
  <si>
    <t>Allied Moulded AMHSPL-SGY Gray Hole Seal for Micro for .5" (.5"-.624" max) hole diameter. Pilot light size hole seal. Steel seals wirh polyester powder paint finish over galvanized front surface.</t>
  </si>
  <si>
    <t>Allied Moulded AMHSPL-SGY Gray Hole Seal for Micro and for pilot light .5"-.624" max hole diameter. Fast, flexible and reusable. Easy to use and install with 1 person. Polycarbonate hole plug with Neoprene Gasket Threaded mount.</t>
  </si>
  <si>
    <t>Allied Moulded AMHSPL-SGY Gray Hole Seal for Micro for .56" max hole diameter. Steel seals wirh polyester powder paint finish over galvanized front surface.</t>
  </si>
  <si>
    <t>Allied Moulded AMHSPL-SGY Gray Steel Hole Seal .56"</t>
  </si>
  <si>
    <t>Allied-Moulded-AMHSPL-SGY.jpg</t>
  </si>
  <si>
    <t>Gray</t>
  </si>
  <si>
    <t>Allied Moulded AMHSPL-GY .625" Hole Seal Gray</t>
  </si>
  <si>
    <t>AMHSPL-GY</t>
  </si>
  <si>
    <t>Allied Moulded AMHSPL-GY Gray Hole Seal for .625" (.625"-.812" max) hole diameter. Pilot light size hole seal. Steel seals wirh polyester powder paint finish over galvanized front surface.</t>
  </si>
  <si>
    <t>Allied Moulded AMHSPL-GY Gray Hole Seal for pilot light .625"-.812" max hole diameter. Fast, flexible and reusable. Easy to use and install with 1 person. Polycarbonate hole plug with Neoprene Gasket Threaded mount.</t>
  </si>
  <si>
    <t>Allied Moulded AMHSPL-GY Gray Hole Seal for Micro for .56" max hole diameter. Steel seals wirh polyester powder paint finish over galvanized front surface.</t>
  </si>
  <si>
    <t>Allied Moulded AMHSPL-GY Gray Steel Hole Seal .56"</t>
  </si>
  <si>
    <t>Allied-Moulded-AMHSPL-GY.jpg</t>
  </si>
  <si>
    <t>Allied Moulded AMHS050-GY .812" Hole Seal Gray</t>
  </si>
  <si>
    <t>Allied Moulded AMHS050-GY</t>
  </si>
  <si>
    <t>AMHS050-GY</t>
  </si>
  <si>
    <t>Allied Moulded AMHS050-GY Gray Hole Seal for .812" (.812"-.937" max) hole diameter. 1/2" conduit size hole seal. Steel seals wirh polyester powder paint finish over galvanized front surface.</t>
  </si>
  <si>
    <t>Allied Moulded AMHS050-GY Gray Hole Seal for Micro and for pilot light .812"-.937" max hole diameter. Fast, flexible and reusable. Easy to use and install with 1 person. Polycarbonate hole plug with Neoprene Gasket Threaded mount.</t>
  </si>
  <si>
    <t>Allied Moulded AMHS050-GY Gray Hole Seal for Micro for .56" max hole diameter. Steel seals wirh polyester powder paint finish over galvanized front surface.</t>
  </si>
  <si>
    <t>Allied Moulded AMHS050-GY Gray Steel Hole Seal .56"</t>
  </si>
  <si>
    <t>Allied-Moulded-AMHS050-GY.jpg</t>
  </si>
  <si>
    <t>Allied Moulded AMHS075-GY 1" Hole Seal Gray</t>
  </si>
  <si>
    <t>AMHS075-GY</t>
  </si>
  <si>
    <t>Allied Moulded AMHS075-GY Gray Hole Seal for 1" (1"-1.312" max) hole diameter. 3/4" conduit size hole seal. Steel seals wirh polyester powder paint finish over galvanized front surface.</t>
  </si>
  <si>
    <t>Allied Moulded AMHS075-GY Gray Hole Seal for Micro and for pilot light 1"-1.312"" max hole diameter. Fast, flexible and reusable. Easy to use and install with 1 person. Polycarbonate hole plug with Neoprene Gasket Threaded mount.</t>
  </si>
  <si>
    <t>Allied Moulded AMHS075-GY Gray Hole Seal for Micro for .56" max hole diameter. Steel seals wirh polyester powder paint finish over galvanized front surface.</t>
  </si>
  <si>
    <t>Allied Moulded AMHS075-GY Gray Steel Hole Seal .56"</t>
  </si>
  <si>
    <t>Allied-Moulded-AMHS075-GY.jpg</t>
  </si>
  <si>
    <t>Allied Moulded AMHS100-GY 1.375" Hole Seal Gray</t>
  </si>
  <si>
    <t>AMHS100-GY</t>
  </si>
  <si>
    <t>Allied Moulded AMHS100-GY Gray Hole Seal for 1.375" (1.375"-1.625" max) hole diameter. 1" conduit size hole seal. Steel seals wirh polyester powder paint finish over galvanized front surface.</t>
  </si>
  <si>
    <t>Allied Moulded AMHS100-GY Gray Hole Seal for Micro and for pilot light 1.375"-1.625" max hole diameter. Fast, flexible and reusable. Easy to use and install with 1 person. Polycarbonate hole plug with Neoprene Gasket Threaded mount.</t>
  </si>
  <si>
    <t>Allied Moulded AMHS100-GY Gray Hole Seal for Micro for .56" max hole diameter. Steel seals wirh polyester powder paint finish over galvanized front surface.</t>
  </si>
  <si>
    <t>Allied Moulded AMHS100-GY Gray Steel Hole Seal .56"</t>
  </si>
  <si>
    <t>Allied-Moulded-AMHS100-GY.jpg</t>
  </si>
  <si>
    <t>Allied Moulded AMHS125-GY 1.687" Hole Seal Gray</t>
  </si>
  <si>
    <t>AMHS125-GY</t>
  </si>
  <si>
    <t>Allied Moulded AMHS125-GY Gray Hole Seal for 1.687" (1.687"-1.875" max) hole diameter. 1-1/4" conduit size hole seal. Steel seals wirh polyester powder paint finish over galvanized front surface.</t>
  </si>
  <si>
    <t>Allied Moulded AMHS125-GY Gray Hole Seal for Micro and for pilot light 1.687"-1.875" max hole diameter. Fast, flexible and reusable. Easy to use and install with 1 person. Polycarbonate hole plug with Neoprene Gasket Threaded mount.</t>
  </si>
  <si>
    <t>Allied Moulded AMHS125-GY Gray Hole Seal for Micro for .56" max hole diameter. Steel seals wirh polyester powder paint finish over galvanized front surface.</t>
  </si>
  <si>
    <t>Allied Moulded AMHS125-GY Gray Steel Hole Seal .56"</t>
  </si>
  <si>
    <t>Allied-Moulded-AMHS125-GY.jpg</t>
  </si>
  <si>
    <t>Allied Moulded AMHS150-GY 2" Hole Seal Gray</t>
  </si>
  <si>
    <t>AMHS150-GY</t>
  </si>
  <si>
    <t>Allied Moulded AMHS150-GY Gray Hole Seal for 2" (2"-2.187" max) hole diameter. 1-1/2" conduit size hole seal. Steel seals wirh polyester powder paint finish over galvanized front surface.</t>
  </si>
  <si>
    <t>Allied Moulded AMHS150-GY Gray Hole Seal for Micro and for pilot light 2"-2.187" max hole diameter. Fast, flexible and reusable. Easy to use and install with 1 person. Polycarbonate hole plug with Neoprene Gasket Threaded mount.</t>
  </si>
  <si>
    <t>Allied Moulded AMHS150-GY Gray Hole Seal for Micro for .56" max hole diameter. Steel seals wirh polyester powder paint finish over galvanized front surface.</t>
  </si>
  <si>
    <t>Allied Moulded AMHS150-GY Gray Steel Hole Seal .56"</t>
  </si>
  <si>
    <t>Allied-Moulded-AMHS150-GY.jpg</t>
  </si>
  <si>
    <t>Allied Moulded AMHS200-GY 2.5" Hole Seal Gray</t>
  </si>
  <si>
    <t>AMHS200-GY</t>
  </si>
  <si>
    <t>Allied Moulded AMHS200-GY Gray Hole Seal for 2.5" (2.5"-2.75" max) hole diameter. 2" conduit size hole seal. Steel seals wirh polyester powder paint finish over galvanized front surface.</t>
  </si>
  <si>
    <t>Allied Moulded AMHS200-GY Gray Hole Seal for Micro and for pilot light 2.5"-2.75" max hole diameter. Fast, flexible and reusable. Easy to use and install with 1 person. Polycarbonate hole plug with Neoprene Gasket Threaded mount.</t>
  </si>
  <si>
    <t>Allied Moulded AMHS200-GY Gray Hole Seal for Micro for .56" max hole diameter. Steel seals wirh polyester powder paint finish over galvanized front surface.</t>
  </si>
  <si>
    <t>Allied Moulded AMHS200-GY Gray Steel Hole Seal .56"</t>
  </si>
  <si>
    <t>Allied-Moulded-AMHS200-GY.jpg</t>
  </si>
  <si>
    <t>Allied Moulded AMHS250-GY 2.875" Hole Seal Gray</t>
  </si>
  <si>
    <t>AMHS250-GY</t>
  </si>
  <si>
    <t>Allied Moulded AMHS250-GY Gray Hole Seal for 2.875" (2.875"-3.125" max) hole diameter. 2-1/2" conduit size hole seal. Steel seals wirh polyester powder paint finish over galvanized front surface.</t>
  </si>
  <si>
    <t>Allied Moulded AMHS250-GY Gray Hole Seal for Micro and for pilot light 2.875"-3.125" max hole diameter. Fast, flexible and reusable. Easy to use and install with 1 person. Polycarbonate hole plug with Neoprene Gasket Threaded mount.</t>
  </si>
  <si>
    <t>Allied Moulded AMHS250-GY Gray Hole Seal for Micro for .56" max hole diameter. Steel seals wirh polyester powder paint finish over galvanized front surface.</t>
  </si>
  <si>
    <t>Allied Moulded AMHS250-GY Gray Steel Hole Seal .56"</t>
  </si>
  <si>
    <t>Allied-Moulded-AMHS250-GY.jpg</t>
  </si>
  <si>
    <t>Allied Moulded AMHS300-GY 3.5" Hole Seal Gray</t>
  </si>
  <si>
    <t>AMHS300-GY</t>
  </si>
  <si>
    <t>Allied Moulded AMHS300-GY Gray Hole Seal for 3.5" (3.5"-3.75" max) hole diameter. 3" conduit size hole seal. Steel seals wirh polyester powder paint finish over galvanized front surface.</t>
  </si>
  <si>
    <t>Allied Moulded AMHS300-GY Gray Hole Seal for Micro and for pilot light 3.5"-3.75" max hole diameter. Fast, flexible and reusable. Easy to use and install with 1 person. Polycarbonate hole plug with Neoprene Gasket Threaded mount.</t>
  </si>
  <si>
    <t>Allied Moulded AMHS300-GY Gray Hole Seal for Micro for .56" max hole diameter. Steel seals wirh polyester powder paint finish over galvanized front surface.</t>
  </si>
  <si>
    <t>Allied Moulded AMHS300-GY Gray Steel Hole Seal .56"</t>
  </si>
  <si>
    <t>Allied-Moulded-AMHS300-GY.jpg</t>
  </si>
  <si>
    <t>Allied Moulded AMHS350-GY 4" Hole Seal Gray</t>
  </si>
  <si>
    <t>AMHS350-GY</t>
  </si>
  <si>
    <t>Allied Moulded AMHS350-GY Gray Hole Seal for 4" (4"-4.25" max) hole diameter. 3-1/2" conduit size hole seal. Steel seals wirh polyester powder paint finish over galvanized front surface.</t>
  </si>
  <si>
    <t>Allied Moulded AMHS350-GY Gray Hole Seal for Micro and for pilot light 4"-4.25" max hole diameter. Fast, flexible and reusable. Easy to use and install with 1 person. Polycarbonate hole plug with Neoprene Gasket Threaded mount.</t>
  </si>
  <si>
    <t>Allied Moulded AMHS350-GY Gray Hole Seal for Micro for .56" max hole diameter. Steel seals wirh polyester powder paint finish over galvanized front surface.</t>
  </si>
  <si>
    <t>Allied Moulded AMHS350-GY Gray Steel Hole Seal .56"</t>
  </si>
  <si>
    <t>Allied-Moulded-AMHS350-GY.jpg</t>
  </si>
  <si>
    <t>AMHS400-GY</t>
  </si>
  <si>
    <t>Allied Moulded AMHS400-GY Gray Hole Seal for 4.5" (4.5"-4.75" max) hole diameter. 4" conduit size hole seal. Steel seals wirh polyester powder paint finish over galvanized front surface.</t>
  </si>
  <si>
    <t>Allied Moulded AMHS400-GY Gray Hole Seal for Micro and for pilot light 4.5"-4.75" max hole diameter. Fast, flexible and reusable. Easy to use and install with 1 person. Polycarbonate hole plug with Neoprene Gasket Threaded mount.</t>
  </si>
  <si>
    <t>Allied Moulded AMHS400-GY Gray Hole Seal for Micro for .56" max hole diameter. Steel seals wirh polyester powder paint finish over galvanized front surface.</t>
  </si>
  <si>
    <t>Allied Moulded AMHS400-GY Gray Steel Hole Seal .56"</t>
  </si>
  <si>
    <t>Allied-Moulded-AMHS400-GY.jpg</t>
  </si>
  <si>
    <t>Filter13</t>
  </si>
  <si>
    <t>Window Composition</t>
  </si>
  <si>
    <t>Window Color</t>
  </si>
  <si>
    <t>Window Height</t>
  </si>
  <si>
    <t>Window Width</t>
  </si>
  <si>
    <t>Window Cover Type</t>
  </si>
  <si>
    <t>Window Hinge Type</t>
  </si>
  <si>
    <t>Window Latch Type</t>
  </si>
  <si>
    <t>Window Tamper Proof</t>
  </si>
  <si>
    <t>Window Lockable</t>
  </si>
  <si>
    <t>Allied Moulded AMHMI66CX 6" x 6" Inspection Window</t>
  </si>
  <si>
    <t>Allied Moulded AMHMI66CX</t>
  </si>
  <si>
    <t>AMHMI66CX</t>
  </si>
  <si>
    <t>Allied Moulded AMHMI95CX,Allied Moulded AMHMI138CX,Allied Moulded AMHMI120CCL,Allied Moulded AMHMIPROP88</t>
  </si>
  <si>
    <t>IN STOCK. SHIPS SAME DAY IF ORDERED BEFORE 12:00PM MST.</t>
  </si>
  <si>
    <t>/Enclosure Accessories/Enclosure Windows &amp; Inspection Windows/Enclosure Window Kits</t>
  </si>
  <si>
    <t>Allied Moulded AMHMI66CX 6" x 6" Inspeciton Window Lift-Off Screw Cover Clear Polycarbonate.</t>
  </si>
  <si>
    <t>Allied Moulded AMHMI66CX 6" x 6" Inspeciton Window. Includes  Clear Polycarbonate Lift-Off Screw Cover.</t>
  </si>
  <si>
    <t>Allied Moulded AMHMI66CX Gray Hole Seal for Micro for .56" max hole diameter. Steel seals wirh polyester powder paint finish over galvanized front surface.</t>
  </si>
  <si>
    <t>Allied Moulded AMHMI66CX Gray Steel Hole Seal .56"</t>
  </si>
  <si>
    <t>Rigid clear window design with a gasket system encased in a continuous channel to provide an inspection point to see inside the enclosure, but also seal to the exterior of the enclosure and maintain it’s intended rating. UL recognized component for use with NEMA 4X enclosures.;UL recognized component for use with NEMA 4X enclosures.;</t>
  </si>
  <si>
    <t>Allied-Moulded-AMHMI66CX.jpg</t>
  </si>
  <si>
    <t>Inspection Window Kits</t>
  </si>
  <si>
    <t>Not Lockable</t>
  </si>
  <si>
    <t>Allied Moulded AMHMI120H 12" x 10" HMI Cover Opaque</t>
  </si>
  <si>
    <t>Allied Moulded AMHMI120H</t>
  </si>
  <si>
    <t>AMHMI120H</t>
  </si>
  <si>
    <t>Allied Moulded AMHMI120CCH,Allied Moulded AMHMIPROP120,Allied Moulded AMHMI95CX</t>
  </si>
  <si>
    <t>Allied Moulded AMHMI120H 12" x10" (HxW) HMI Cover Kit Opaque with hinged Screw Cover Polycarbonate.</t>
  </si>
  <si>
    <t>Allied Moulded AMHMI120H 12"H x 10"W  HMI Cover Opaque. Includes Opaque Polycarbonate Hinged Screw Cover.</t>
  </si>
  <si>
    <t>Allied Moulded AMHMI120H Gray Hole Seal for Micro for .56" max hole diameter. Steel seals wirh polyester powder paint finish over galvanized front surface.</t>
  </si>
  <si>
    <t>Allied Moulded AMHMI120H Gray Steel Hole Seal .56"</t>
  </si>
  <si>
    <t>Non-corrosive, non-conductive, light weight with lower installation cost and longer life cycle cost compared to steel. Rigid design with a gasket system encased in a continuous channel on the cover and frame. Open back frame design with an opening size of 10.47″ x 8.69″ and is a UL recognized component for use with NEMA 4X enclosures.Â *Will fit Allied Moulded enclosure sizes 14â?x12â? and larger.;Rigid design with a gasket system encased in a continuous channel on the cover and frame;Open back frame design with an opening size of 10.47″ x 8.69″ and is a UL recognized component for use with NEMA 4X enclosures.Â *Will fit Allied Moulded enclosure sizes 14â?x12â? and larger.</t>
  </si>
  <si>
    <t>Allied-Moulded-AMHMI120H.jpg</t>
  </si>
  <si>
    <t>HMI Cover</t>
  </si>
  <si>
    <t>Opaque</t>
  </si>
  <si>
    <t>Allied Moulded AMHMI120CCH 12" x 10" HMI Cover Clear</t>
  </si>
  <si>
    <t>Allied Moulded AMHMI120CCH</t>
  </si>
  <si>
    <t>AMHMI120CCH</t>
  </si>
  <si>
    <t>Allied Moulded AMHMI120H,Allied Moulded AMHMIPROP120,Allied Moulded AMHMI95CX</t>
  </si>
  <si>
    <t>Allied Moulded AMHMI120CCH 12" x10" (HxW) HMI Cover Kit Clear with hinged Screw Cover Polycarbonate.</t>
  </si>
  <si>
    <t>Allied Moulded AMHMI120CCH 12"H x 10"W  HMI Cover Clear. Includes Clear Polycarbonate Hinged Screw Cover.</t>
  </si>
  <si>
    <t>Allied Moulded AMHMI120CCH Gray Hole Seal for Micro for .56" max hole diameter. Steel seals wirh polyester powder paint finish over galvanized front surface.</t>
  </si>
  <si>
    <t>Allied Moulded AMHMI120CCH Gray Steel Hole Seal .56"</t>
  </si>
  <si>
    <t>Allied-Moulded-AMHMI120CCH.jpg</t>
  </si>
  <si>
    <t>Allied Moulded AMHMI142H 14" x 12" HMI Cover Opaque</t>
  </si>
  <si>
    <t>Allied Moulded AMHMI142H</t>
  </si>
  <si>
    <t>AMHMI142H</t>
  </si>
  <si>
    <t>Allied Moulded AMHMI138CX,Allied Moulded AMHMIPROP142,Allied Moulded AMHMI142CCH</t>
  </si>
  <si>
    <t>Allied Moulded AMHMI142H 14" x12" (HxW) HMI Cover Kit Opaque with hinged Screw Cover Polycarbonate.</t>
  </si>
  <si>
    <t>Allied Moulded AMHMI142H 14"H x 12"W  HMI Cover Opaque. Includes Opaque Polycarbonate Hinged Screw Cover.</t>
  </si>
  <si>
    <t>Allied Moulded AMHMI142H Gray Hole Seal for Micro for .56" max hole diameter. Steel seals wirh polyester powder paint finish over galvanized front surface.</t>
  </si>
  <si>
    <t>Allied Moulded AMHMI142H Gray Steel Hole Seal .56"</t>
  </si>
  <si>
    <t>Non-corrosive, non-conductive, light weight with lower installation cost and longer life cycle cost compared to steel. Rigid design with a gasket system encased in a continuous channel on the cover and frame. Open back frame design with an opening size of 12.49″ x 10.71″ and is a UL recognized component for use with NEMA 4X enclosures.Â *Will fit Allied Moulded enclosure sizes 16â?x14â? and larger.;Rigid design with a gasket system encased in a continuous channel on the cover and frame;Open back frame design with an opening size of 12.49″ x 10.71″ and is a UL recognized component for use with NEMA 4X enclosures.Â *Will fit Allied Moulded enclosure sizes 16â?x14â? and larger.</t>
  </si>
  <si>
    <t>Allied-Moulded-AMHMI142H.jpg</t>
  </si>
  <si>
    <t>Allied Moulded AMHMI142CCH 14" x 12" HMI Cover Clear</t>
  </si>
  <si>
    <t>Allied Moulded AMHMI142CCH</t>
  </si>
  <si>
    <t>AMHMI142CCH</t>
  </si>
  <si>
    <t>Allied Moulded AMHMI142H,Allied Moulded AMHMI138CX,Allied Moulded AMHMIPROP142</t>
  </si>
  <si>
    <t>Allied Moulded AMHMI142CCH 14" x12" (HxW) HMI Cover Kit Clear with hinged Screw Cover Polycarbonate.</t>
  </si>
  <si>
    <t>Allied Moulded AMHMI142CCH 14"H x 12"W  HMI Cover Clear. Includes Clear Polycarbonate Hinged Screw Cover.</t>
  </si>
  <si>
    <t>Allied Moulded AMHMI142CCH Gray Hole Seal for Micro for .56" max hole diameter. Steel seals wirh polyester powder paint finish over galvanized front surface.</t>
  </si>
  <si>
    <t>Allied Moulded AMHMI142CCH Gray Steel Hole Seal .56"</t>
  </si>
  <si>
    <t>Allied-Moulded-AMHMI142CCH.jpg</t>
  </si>
  <si>
    <t>Allied Moulded AMHMI120HTP 12" x 10" HMI Cover Opaque</t>
  </si>
  <si>
    <t>Allied Moulded AMHMI120HTP</t>
  </si>
  <si>
    <t>AMHMI120HTP</t>
  </si>
  <si>
    <t>Allied Moulded AMHMI95CX,Allied Moulded AMHMIPROP120,Allied Moulded AMHMI120CCHTP</t>
  </si>
  <si>
    <t>Allied Moulded AMHMI120HTP 12" x10" (HxW) HMI Cover Kit Opaque with hinged Tamper-Proof Screw Cover Polycarbonate.</t>
  </si>
  <si>
    <t>Allied Moulded AMHMI120HTP 12"H x 10"W  HMI Cover Opaque. Includes Opaque Polycarbonate Tamper-Proof Hinged Screw Cover.</t>
  </si>
  <si>
    <t>Allied Moulded AMHMI120HTP Gray Hole Seal for Micro for .56" max hole diameter. Steel seals wirh polyester powder paint finish over galvanized front surface.</t>
  </si>
  <si>
    <t>Allied Moulded AMHMI120HTP Gray Steel Hole Seal .56"</t>
  </si>
  <si>
    <t>Non-corrosive, non-conductive, light weight with lower installation cost and longer life cycle cost compared to steel. Rigid design with a gasket system encased in a continuous channel on the cover and frame. Open back frame design with an opening of 10.47″ x 8.69″ and is a UL recognized component for use with NEMA 4X enclosures.Â *Will fit Allied Moulded enclosure sizes 14â?x12â? and larger.;Rigid design with a gasket system encased in a continuous channel on the cover and frame;Open back frame design with an opening of 10.47″ x 8.69″ and is a UL recognized component for use with NEMA 4X enclosures.Â *Will fit Allied Moulded enclosure sizes 14â?x12â? and larger.</t>
  </si>
  <si>
    <t>Allied-Moulded-AMHMI120HTP.jpg</t>
  </si>
  <si>
    <t>Tamper Proof</t>
  </si>
  <si>
    <t>Allied Moulded AMHMI120CCHTP 12" x 10" HMI Cover Clear</t>
  </si>
  <si>
    <t>Allied Moulded AMHMI120CCHTP</t>
  </si>
  <si>
    <t>AMHMI120CCHTP</t>
  </si>
  <si>
    <t>Allied Moulded AMHMI95CX,Allied Moulded AMHMI120HTP,Allied Moulded AMHMIPROP120</t>
  </si>
  <si>
    <t>Allied Moulded AMHMI120CCHTP 12" x10" (HxW) HMI Cover Kit Clear with hinged Tamper-Proof Screw Cover Polycarbonate.</t>
  </si>
  <si>
    <t>Allied Moulded AMHMI120CCHTP 12"H x 10"W  HMI Cover Clear. Includes Clear Polycarbonate Tamper-Proof Hinged Screw Cover.</t>
  </si>
  <si>
    <t>Allied Moulded AMHMI120CCHTP Gray Hole Seal for Micro for .56" max hole diameter. Steel seals wirh polyester powder paint finish over galvanized front surface.</t>
  </si>
  <si>
    <t>Allied Moulded AMHMI120CCHTP Gray Steel Hole Seal .56"</t>
  </si>
  <si>
    <t>Allied-Moulded-AMHMI120CCHTP.jpg</t>
  </si>
  <si>
    <t>Allied Moulded AMHMI142HTP 14" x 12" HMI Cover Opaque</t>
  </si>
  <si>
    <t>Allied Moulded AMHMI142HTP</t>
  </si>
  <si>
    <t>AMHMI142HTP</t>
  </si>
  <si>
    <t>Allied Moulded AMHMIPROP142,Allied Moulded AMHMI138CX,Allied Moulded AMHMI142CCHTP</t>
  </si>
  <si>
    <t>Allied Moulded AMHMI142HTP 14" x12" (HxW) HMI Cover Kit Opaque with hinged Tamper-Proof Screw Cover Polycarbonate.</t>
  </si>
  <si>
    <t>Allied Moulded AMHMI142HTP 14"H x 12"W  HMI Cover Opaque. Includes Opaque Polycarbonate Tamper-Proof Hinged Screw Cover.</t>
  </si>
  <si>
    <t>Allied Moulded AMHMI142HTP Gray Hole Seal for Micro for .56" max hole diameter. Steel seals wirh polyester powder paint finish over galvanized front surface.</t>
  </si>
  <si>
    <t>Allied Moulded AMHMI142HTP Gray Steel Hole Seal .56"</t>
  </si>
  <si>
    <t>Allied-Moulded-AMHMI142HTP.jpg</t>
  </si>
  <si>
    <t>Allied Moulded AMHMI142CCHTP 14" x 12" HMI Cover Clear</t>
  </si>
  <si>
    <t>Allied Moulded AMHMI142CCHTP</t>
  </si>
  <si>
    <t>AMHMI142CCHTP</t>
  </si>
  <si>
    <t>Allied Moulded AMHMI142HTP,Allied Moulded AMHMIPROP142,Allied Moulded AMHMI138CX</t>
  </si>
  <si>
    <t>Allied Moulded AMHMI142CCHTP 14" x12" (HxW) HMI Cover Kit Clear with hinged Tamper-Proof Screw Cover Polycarbonate.</t>
  </si>
  <si>
    <t>Allied Moulded AMHMI142CCHTP 14"H x 12"W  HMI Cover Clear. Includes Clear Polycarbonate Tamper-Proof Hinged Screw Cover.</t>
  </si>
  <si>
    <t>Allied Moulded AMHMI142CCHTP Gray Hole Seal for Micro for .56" max hole diameter. Steel seals wirh polyester powder paint finish over galvanized front surface.</t>
  </si>
  <si>
    <t>Allied Moulded AMHMI142CCHTP Gray Steel Hole Seal .56"</t>
  </si>
  <si>
    <t>Allied-Moulded-AMHMI142CCHTP.jpg</t>
  </si>
  <si>
    <t>Allied Moulded AMHMI120L 12" x 10" HMI Cover Opaque</t>
  </si>
  <si>
    <t>Allied Moulded AMHMI120L</t>
  </si>
  <si>
    <t>AMHMI120L</t>
  </si>
  <si>
    <t>Allied Moulded AMHMI95CX,Allied Moulded AMHMI120CCL,Allied Moulded AMHMIPROP120</t>
  </si>
  <si>
    <t>Allied Moulded AMHMI120L 12" x10" (HxW) HMI Cover Kit Opaque with Stainless Steel Lockable Snap Latch Hinged Cover Polycarbonate.</t>
  </si>
  <si>
    <t>Allied Moulded AMHMI120L 12"H x 10"W  HMI Cover Opaque. Includes Opaque Polycarbonate Stainless Steel Lockable Snap Latch Hinged Cover.</t>
  </si>
  <si>
    <t>Allied Moulded AMHMI120L Gray Hole Seal for Micro for .56" max hole diameter. Steel seals wirh polyester powder paint finish over galvanized front surface.</t>
  </si>
  <si>
    <t>Allied Moulded AMHMI120L Gray Steel Hole Seal .56"</t>
  </si>
  <si>
    <t>Allied-Moulded-AMHMI120L.jpg</t>
  </si>
  <si>
    <t>Lockable</t>
  </si>
  <si>
    <t>Allied Moulded AMHMI120CCL 12" x 10" HMI Cover Clear</t>
  </si>
  <si>
    <t>Allied Moulded AMHMI120CCL</t>
  </si>
  <si>
    <t>AMHMI120CCL</t>
  </si>
  <si>
    <t>Allied Moulded AMHMI95CX,Allied Moulded AMHMI120L,Allied Moulded AMHMIPROP120</t>
  </si>
  <si>
    <t>Allied Moulded AMHMI120CCL 12" x10" (HxW) HMI Cover Kit Clear with Stainless Steel Lockable Snap Latch Hinged Cover Polycarbonate.</t>
  </si>
  <si>
    <t>Allied Moulded AMHMI120CCL 12"H x 10"W  HMI Cover Clear. Includes Clear Polycarbonate Stainless Steel Lockable Snap Latch Hinged Cover.</t>
  </si>
  <si>
    <t>Allied Moulded AMHMI120CCL Gray Hole Seal for Micro for .56" max hole diameter. Steel seals wirh polyester powder paint finish over galvanized front surface.</t>
  </si>
  <si>
    <t>Allied Moulded AMHMI120CCL Gray Steel Hole Seal .56"</t>
  </si>
  <si>
    <t>Allied-Moulded-AMHMI120CCL.jpg</t>
  </si>
  <si>
    <t>Allied Moulded AMHMI142L 14" x 12" HMI Cover Opaque</t>
  </si>
  <si>
    <t>Allied Moulded AMHMI142L</t>
  </si>
  <si>
    <t>AMHMI142L</t>
  </si>
  <si>
    <t>Allied Moulded AMHMI138CX,Allied Moulded AMHMI142CCL,Allied Moulded AMHMIPROP142</t>
  </si>
  <si>
    <t>Allied Moulded AMHMI142L 14" x12" (HxW) HMI Cover Kit Opaque with Stainless Steel Lockable Snap Latch Hinged Cover Polycarbonate.</t>
  </si>
  <si>
    <t>Allied Moulded AMHMI142L 14"H x 12"W  HMI Cover Opaque. Includes Opaque Polycarbonate Stainless Steel Lockable Snap Latch Hinged Cover.</t>
  </si>
  <si>
    <t>Allied Moulded AMHMI142L Gray Hole Seal for Micro for .56" max hole diameter. Steel seals wirh polyester powder paint finish over galvanized front surface.</t>
  </si>
  <si>
    <t>Allied Moulded AMHMI142L Gray Steel Hole Seal .56"</t>
  </si>
  <si>
    <t>Allied-Moulded-AMHMI142L.jpg</t>
  </si>
  <si>
    <t>Allied Moulded AMHMI142CCL 14" x 12" HMI Cover Clear</t>
  </si>
  <si>
    <t>Allied Moulded AMHMI142CCL</t>
  </si>
  <si>
    <t>AMHMI142CCL</t>
  </si>
  <si>
    <t>Allied Moulded AMHMI142L,Allied Moulded AMHMI138CX,Allied Moulded AMHMIPROP142</t>
  </si>
  <si>
    <t>Allied Moulded AMHMI142CCL 14" x12" (HxW) HMI Cover Kit Clear with Stainless Steel Lockable Snap Latch Hinged Cover Polycarbonate.</t>
  </si>
  <si>
    <t>Allied Moulded AMHMI142CCL 14"H x 12"W  HMI Cover Clear. Includes Clear Polycarbonate Stainless Steel Lockable Snap Latch Hinged Cover.</t>
  </si>
  <si>
    <t>Allied Moulded AMHMI142CCL Gray Hole Seal for Micro for .56" max hole diameter. Steel seals wirh polyester powder paint finish over galvanized front surface.</t>
  </si>
  <si>
    <t>Allied Moulded AMHMI142CCL Gray Steel Hole Seal .56"</t>
  </si>
  <si>
    <t>Allied-Moulded-AMHMI142CCL.jpg</t>
  </si>
  <si>
    <t>Allied Moulded AMHMI206H Accessories HMI Cover Kit &amp; Inspection Windows  (HxWxD) Hinged Screw Cover (Opaque &amp; "CC" Clear Cover).</t>
  </si>
  <si>
    <t>Allied Moulded AMHMI206H</t>
  </si>
  <si>
    <t>AMHMI206H</t>
  </si>
  <si>
    <t>Allied Moulded AMHMIPROP206,Allied Moulded AMHMI206CCH,Allied Moulded AMHMI138CX</t>
  </si>
  <si>
    <t>Non-corrosive, non-conductive, light weight with lower installation cost and longer life cycle cost compared to steel. Rigid design with a gasket system encased in a continuous channel on the cover and frame. Open back frame design with an opening size of 14.71″ x 18.49″ and is a UL recognized component for use with NEMA 4X enclosures.*Will fit Allied Moulded enclosure sizes 24 x 24 and larger.;Rigid design with a gasket system encased in a continuous channel on the cover and frame;Open back frame design with an opening size of 14.71″ x 18.49″ and is a UL recognized component for use with NEMA 4X enclosures.*Will fit Allied Moulded enclosure sizes 24 x 24 and larger.</t>
  </si>
  <si>
    <t>Allied-Moulded-AMHMI206H.jpg</t>
  </si>
  <si>
    <t>HMI Cover Kits</t>
  </si>
  <si>
    <t>Allied Moulded AMHMI206CCH Accessories HMI Cover Kit &amp; Inspection Windows  (HxWxD) Hinged Screw Cover (Opaque &amp; "CC" Clear Cover).</t>
  </si>
  <si>
    <t>Allied Moulded AMHMI206CCH</t>
  </si>
  <si>
    <t>AMHMI206CCH</t>
  </si>
  <si>
    <t>Allied Moulded AMHMIPROP206,Allied Moulded AMHMI138CX,Allied Moulded AMHMI206H</t>
  </si>
  <si>
    <t>Allied-Moulded-AMHMI206CCH.jpg</t>
  </si>
  <si>
    <t>Clear Polycarbonate</t>
  </si>
  <si>
    <t>Allied Moulded AMHMI206HTP Accessories HMI Cover Kit &amp; Inspection Windows 20" x 16" (HxWxD) Hinged Tamper-Proof Screw Cover (Opaque &amp; "CC" Clear Cover).</t>
  </si>
  <si>
    <t>Allied Moulded AMHMI206HTP</t>
  </si>
  <si>
    <t>AMHMI206HTP</t>
  </si>
  <si>
    <t>Allied Moulded AMHMI206CCHTP,Allied Moulded AMHMI138CX,Allied Moulded AMHMIPROP206</t>
  </si>
  <si>
    <t>Allied-Moulded-AMHMI206HTP.jpg</t>
  </si>
  <si>
    <t>Allied Moulded AMHMI206CCHTP Accessories HMI Cover Kit &amp; Inspection Windows 20" x 16" (HxWxD) Hinged Tamper-Proof Screw Cover (Opaque &amp; "CC" Clear Cover).</t>
  </si>
  <si>
    <t>Allied Moulded AMHMI206CCHTP</t>
  </si>
  <si>
    <t>AMHMI206CCHTP</t>
  </si>
  <si>
    <t>Allied Moulded AMHMIPROP206,Allied Moulded AMHMI206HTP,Allied Moulded AMHMI138CX</t>
  </si>
  <si>
    <t>Allied-Moulded-AMHMI206CCHTP.jpg</t>
  </si>
  <si>
    <t>Allied Moulded AMHMI206L Accessories HMI Cover Kit &amp; Inspection Windows 20" x 16" (HxWxD) Stainless Steel Lockable Snap Latch Hinged Cover (Opaque &amp; "CC" Clear Cover).</t>
  </si>
  <si>
    <t>Allied Moulded AMHMI206L</t>
  </si>
  <si>
    <t>AMHMI206L</t>
  </si>
  <si>
    <t>Allied Moulded AMHMI138CX,Allied Moulded AMHMIPROP206,Allied Moulded AMHMI206CCL</t>
  </si>
  <si>
    <t>Allied-Moulded-AMHMI206L.jpg</t>
  </si>
  <si>
    <t>Allied Moulded AMHMI206CCL Accessories HMI Cover Kit &amp; Inspection Windows 20" x 16" (HxWxD) Stainless Steel Lockable Snap Latch Hinged Cover (Opaque &amp; "CC" Clear Cover).</t>
  </si>
  <si>
    <t>Allied Moulded AMHMI206CCL</t>
  </si>
  <si>
    <t>AMHMI206CCL</t>
  </si>
  <si>
    <t>Allied Moulded AMHMI206L,Allied Moulded AMHMI138CX,Allied Moulded AMHMIPROP206</t>
  </si>
  <si>
    <t>Allied-Moulded-AMHMI206CCL.jpg</t>
  </si>
  <si>
    <t>Allied Moulded AMHMI164H Accessories HMI Cover Kit &amp; Inspection Windows  (HxWxD) Hinged Screw Cover (Opaque &amp; "CC" Clear Cover).</t>
  </si>
  <si>
    <t>Allied Moulded AMHMI164H</t>
  </si>
  <si>
    <t>AMHMI164H</t>
  </si>
  <si>
    <t>Allied Moulded AMHMIPROP164,Allied Moulded AMHMI138CX,Allied Moulded AMHMI164CCH</t>
  </si>
  <si>
    <t>Non-corrosive, non-conductive, light weight with lower installation cost and longer life cycle cost compared to steel. Rigid design with a gasket system encased in a continuous channel on the cover and frame. Open back frame design with an opening size of 14.49″ x 12.71″ and is a UL recognized component for use with NEMA 4X enclosures.Â *Will fit Allied Moulded enclosure sizes 18â?x16â? and larger.;Rigid design with a gasket system encased in a continuous channel on the cover and frame;Open back frame design with an opening size of 14.49″ x 12.71″ and is a UL recognized component for use with NEMA 4X enclosures.Â *Will fit Allied Moulded enclosure sizes 18â?x16â? and larger.</t>
  </si>
  <si>
    <t>Allied-Moulded-AMHMI164H.jpg</t>
  </si>
  <si>
    <t>Allied Moulded AMHMI164CCH Accessories HMI Cover Kit &amp; Inspection Windows  (HxWxD) Hinged Screw Cover (Opaque &amp; "CC" Clear Cover).</t>
  </si>
  <si>
    <t>Allied Moulded AMHMI164CCH</t>
  </si>
  <si>
    <t>AMHMI164CCH</t>
  </si>
  <si>
    <t>Allied Moulded AMHMI164H,Allied Moulded AMHMI138CX,Allied Moulded AMHMIPROP164</t>
  </si>
  <si>
    <t>Non-corrosive, non-conductive, light weight with lower installation cost and longer life cycle cost compared to steel. Rigid design with a gasket system encased in a continuous channel on the cover and frame. Open back frame design with an opeining size of 14.49″ x 12.71″ and is a UL recognized component for use with NEMA 4X enclosures.Â *Will fit Allied Moulded enclosure sizes 18â?x16â? and larger.;Rigid design with a gasket system encased in a continuous channel on the cover and frame;Open back frame design with an opeining size of 14.49″ x 12.71″ and is a UL recognized component for use with NEMA 4X enclosures.Â *Will fit Allied Moulded enclosure sizes 18â?x16â? and larger.</t>
  </si>
  <si>
    <t>Allied-Moulded-AMHMI164CCH.jpg</t>
  </si>
  <si>
    <t>Allied Moulded AMHMI164HTP Accessories HMI Cover Kit &amp; Inspection Windows 16" x 14" (HxWxD) Hinged Tamper-Proof Screw Cover (Opaque &amp; "CC" Clear Cover).</t>
  </si>
  <si>
    <t>Allied Moulded AMHMI164HTP</t>
  </si>
  <si>
    <t>AMHMI164HTP</t>
  </si>
  <si>
    <t>Allied Moulded AMHMIPROP164,Allied Moulded AMHMI164CCHTP,Allied Moulded AMHMI138CX</t>
  </si>
  <si>
    <t>Non-corrosive, non-conductive, light weight with lower installation cost and longer life cycle cost compared to steel. Rigid design with a gasket system encased in a continuous channel on the cover and frame. Open back frame design, UL recognized component for use with NEMA 4X enclosures.Â *Will fit Allied Moulded enclosure sizes 18â?x16â? and larger.;Rigid design with a gasket system encased in a continuous channel on the cover and frame;Open back frame design, UL recognized component for use with NEMA 4X enclosures.Â *Will fit Allied Moulded enclosure sizes 18â?x16â? and larger.</t>
  </si>
  <si>
    <t>Allied-Moulded-AMHMI164HTP.jpg</t>
  </si>
  <si>
    <t>Allied Moulded AMHMI164CCHTP Accessories HMI Cover Kit &amp; Inspection Windows 16" x 14" (HxWxD) Hinged Tamper-Proof Screw Cover (Opaque &amp; "CC" Clear Cover).</t>
  </si>
  <si>
    <t>Allied Moulded AMHMI164CCHTP</t>
  </si>
  <si>
    <t>AMHMI164CCHTP</t>
  </si>
  <si>
    <t>Allied Moulded AMHMI164HTP,Allied Moulded AMHMIPROP164,Allied Moulded AMHMI138CX</t>
  </si>
  <si>
    <t>Allied-Moulded-AMHMI164CCHTP.jpg</t>
  </si>
  <si>
    <t>Allied Moulded AMHMI164L Accessories HMI Cover Kit &amp; Inspection Windows 16" x 14" (HxWxD) Stainless Steel Lockable Snap Latch Hinged Cover (Opaque &amp; "CC" Clear Cover).</t>
  </si>
  <si>
    <t>Allied Moulded AMHMI164L</t>
  </si>
  <si>
    <t>AMHMI164L</t>
  </si>
  <si>
    <t>Allied Moulded AMHMI138CX,Allied Moulded AMHMI164CCL,Allied Moulded AMHMIPROP164</t>
  </si>
  <si>
    <t>Allied-Moulded-AMHMI164L.jpg</t>
  </si>
  <si>
    <t>Allied Moulded AMHMI164CCL Accessories HMI Cover Kit &amp; Inspection Windows 16" x 14" (HxWxD) Stainless Steel Lockable Snap Latch Hinged Cover (Opaque &amp; "CC" Clear Cover).</t>
  </si>
  <si>
    <t>Allied Moulded AMHMI164CCL</t>
  </si>
  <si>
    <t>AMHMI164CCL</t>
  </si>
  <si>
    <t>Allied Moulded AMHMI164L,Allied Moulded AMHMI138CX,Allied Moulded AMHMIPROP164</t>
  </si>
  <si>
    <t>Allied-Moulded-AMHMI164CCL.jpg</t>
  </si>
  <si>
    <t>Allied Moulded AMHMI88H Accessories HMI Cover Kit &amp; Inspection Windows  (HxWxD) Hinged Screw Cover (Opaque &amp; "CC" Clear Cover).</t>
  </si>
  <si>
    <t>Allied Moulded AMHMI88H</t>
  </si>
  <si>
    <t>AMHMI88H</t>
  </si>
  <si>
    <t>Allied Moulded AMHMIPROP88,Allied Moulded AMHMI66CX,Allied Moulded AMHMI88CCH</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</si>
  <si>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for use with Type 4X enclosures.Â *Will fit Allied Moulded enclosure sizes 10â?x12â? and larger.;Rigid design with a gasket system encased in a continuous channel on the cover and frame;Open back frame design with an opening size of 6.47″ x 6.69″ and is UL listed for use with Type 4X enclosures.Â *Will fit Allied Moulded enclosure sizes 10â?x12â? and larger.</t>
  </si>
  <si>
    <t>Allied-Moulded-AMHMI88H.jpg</t>
  </si>
  <si>
    <t>Allied Moulded AMHMI88CCH Accessories HMI Cover Kit &amp; Inspection Windows  (HxWxD) Hinged Screw Cover (Opaque &amp; "CC" Clear Cover).</t>
  </si>
  <si>
    <t>Allied Moulded AMHMI88CCH</t>
  </si>
  <si>
    <t>AMHMI88CCH</t>
  </si>
  <si>
    <t>Allied Moulded AMHMI66CX,Allied Moulded AMHMI88H,Allied Moulded AMHMIPROP88</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</si>
  <si>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accessory for use with Type 4X enclosures.Â *Will fit Allied Moulded enclosure sizes 10â?x12â? and larger.;Rigid design with a gasket system encased in a continuous channel on the cover and frame;Open back frame design with an opening size of 6.47″ x 6.69″ and is UL listed accessory for use with Type 4X enclosures.Â *Will fit Allied Moulded enclosure sizes 10â?x12â? and larger.</t>
  </si>
  <si>
    <t>Allied-Moulded-AMHMI88CCH.jpg</t>
  </si>
  <si>
    <t>Allied Moulded AMHMI108H Accessories HMI Cover Kit &amp; Inspection Windows  (HxWxD) Hinged Screw Cover (Opaque &amp; "CC" Clear Cover).</t>
  </si>
  <si>
    <t>Allied Moulded AMHMI108H</t>
  </si>
  <si>
    <t>AMHMI108H</t>
  </si>
  <si>
    <t>Allied Moulded AMHMI108CCH,Allied Moulded AMHMI95CX,Allied Moulded AMHMIPROP108</t>
  </si>
  <si>
    <t>Non-corrosive, non-conductive, light weight with lower installation cost and longer life cycle cost compared to steel. Rigid design with a gasket system encased in a continuous channel on the cover and frame. Open back frame design with an opening size of 8.47″ x 6.69″ and is a UL recognized component for use with NEMA 4X enclosures.Â *Will fit Allied Moulded enclosure sizes 12â?x10â? and larger.;Rigid design with a gasket system encased in a continuous channel on the cover and frame;Open back frame design with an opening size of 8.47″ x 6.69″ and is a UL recognized component for use with NEMA 4X enclosures.Â *Will fit Allied Moulded enclosure sizes 12â?x10â? and larger.</t>
  </si>
  <si>
    <t>Allied-Moulded-AMHMI108H.jpg</t>
  </si>
  <si>
    <t>Allied Moulded AMHMI108CCH Accessories HMI Cover Kit &amp; Inspection Windows  (HxWxD) Hinged Screw Cover (Opaque &amp; "CC" Clear Cover).</t>
  </si>
  <si>
    <t>Allied Moulded AMHMI108CCH</t>
  </si>
  <si>
    <t>AMHMI108CCH</t>
  </si>
  <si>
    <t>Allied Moulded AMHMIPROP108,Allied Moulded AMHMI108H,Allied Moulded AMHMI95CX</t>
  </si>
  <si>
    <t>Allied-Moulded-AMHMI108CCH.jpg</t>
  </si>
  <si>
    <t>Allied Moulded AMHMI88HTP Accessories HMI Cover Kit &amp; Inspection Windows 8" x 8" (HxWxD) Hinged Tamper-Proof Screw Cover (Opaque &amp; "CC" Clear Cover).</t>
  </si>
  <si>
    <t>Allied Moulded AMHMI88HTP</t>
  </si>
  <si>
    <t>AMHMI88HTP</t>
  </si>
  <si>
    <t>Allied Moulded AMHMI88CCHTP,Allied Moulded AMHMI66CX,Allied Moulded AMHMIPROP88</t>
  </si>
  <si>
    <t>Allied-Moulded-AMHMI88HTP.jpg</t>
  </si>
  <si>
    <t>Allied Moulded AMHMI88CCHTP Accessories HMI Cover Kit &amp; Inspection Windows 8" x 8" (HxWxD) Hinged Tamper-Proof Screw Cover (Opaque &amp; "CC" Clear Cover).</t>
  </si>
  <si>
    <t>Allied Moulded AMHMI88CCHTP</t>
  </si>
  <si>
    <t>AMHMI88CCHTP</t>
  </si>
  <si>
    <t>Allied Moulded AMHMI88HTP,Allied Moulded AMHMI66CX,Allied Moulded AMHMIPROP88</t>
  </si>
  <si>
    <t>Allied-Moulded-AMHMI88CCHTP.jpg</t>
  </si>
  <si>
    <t>Allied Moulded AMHMI108HTP Accessories HMI Cover Kit &amp; Inspection Windows 10" x 8" (HxWxD) Hinged Tamper-Proof Screw Cover (Opaque &amp; "CC" Clear Cover).</t>
  </si>
  <si>
    <t>Allied Moulded AMHMI108HTP</t>
  </si>
  <si>
    <t>AMHMI108HTP</t>
  </si>
  <si>
    <t>Allied Moulded AMHMI95CX,Allied Moulded AMHMI108CCHTP,Allied Moulded AMHMIPROP108</t>
  </si>
  <si>
    <t>Allied-Moulded-AMHMI108HTP.jpg</t>
  </si>
  <si>
    <t>Allied Moulded AMHMI108CCHTP Accessories HMI Cover Kit &amp; Inspection Windows 10" x 8" (HxWxD) Hinged Tamper-Proof Screw Cover (Opaque &amp; "CC" Clear Cover).</t>
  </si>
  <si>
    <t>Allied Moulded AMHMI108CCHTP</t>
  </si>
  <si>
    <t>AMHMI108CCHTP</t>
  </si>
  <si>
    <t>Allied Moulded AMHMI95CX,Allied Moulded AMHMIPROP108,Allied Moulded AMHMI108HTP</t>
  </si>
  <si>
    <t>Allied-Moulded-AMHMI108CCHTP.jpg</t>
  </si>
  <si>
    <t>Allied Moulded AMHMI88L Accessories HMI Cover Kit &amp; Inspection Windows 8" x 8" (HxWxD) Stainless Steel Lockable Snap Latch Hinged Cover (Opaque &amp; "CC" Clear Cover).</t>
  </si>
  <si>
    <t>Allied Moulded AMHMI88L</t>
  </si>
  <si>
    <t>AMHMI88L</t>
  </si>
  <si>
    <t>Allied Moulded AMHMI66CX,Allied Moulded AMHMI88CCL,Allied Moulded AMHMIPROP88</t>
  </si>
  <si>
    <t>Allied-Moulded-AMHMI88L.jpg</t>
  </si>
  <si>
    <t>Allied Moulded AMHMI88CCL Accessories HMI Cover Kit &amp; Inspection Windows 8" x 8" (HxWxD) Stainless Steel Lockable Snap Latch Hinged Cover (Opaque &amp; "CC" Clear Cover).</t>
  </si>
  <si>
    <t>Allied Moulded AMHMI88CCL</t>
  </si>
  <si>
    <t>AMHMI88CCL</t>
  </si>
  <si>
    <t>Allied Moulded AMHMI88L,Allied Moulded AMHMI66CX,Allied Moulded AMHMIPROP88</t>
  </si>
  <si>
    <t>Allied-Moulded-AMHMI88CCL.jpg</t>
  </si>
  <si>
    <t>Allied Moulded AMHMI108L Accessories HMI Cover Kit &amp; Inspection Windows 10" x 8" (HxWxD) Stainless Steel Lockable Snap Latch Hinged Cover (Opaque &amp; "CC" Clear Cover).</t>
  </si>
  <si>
    <t>Allied Moulded AMHMI108L</t>
  </si>
  <si>
    <t>AMHMI108L</t>
  </si>
  <si>
    <t>Allied Moulded AMHMIPROP108,Allied Moulded AMHMI95CX,Allied Moulded AMHMI108CCL</t>
  </si>
  <si>
    <t>Allied-Moulded-AMHMI108L.jpg</t>
  </si>
  <si>
    <t>Allied Moulded AMHMI108CCL Accessories HMI Cover Kit &amp; Inspection Windows 10" x 8" (HxWxD) Stainless Steel Lockable Snap Latch Hinged Cover (Opaque &amp; "CC" Clear Cover).</t>
  </si>
  <si>
    <t>Allied Moulded AMHMI108CCL</t>
  </si>
  <si>
    <t>AMHMI108CCL</t>
  </si>
  <si>
    <t>Allied Moulded AMHMIPROP108,Allied Moulded AMHMI95CX,Allied Moulded AMHMI108L</t>
  </si>
  <si>
    <t>Allied-Moulded-AMHMI108CCL.jpg</t>
  </si>
  <si>
    <t>Allied Moulded AMHMI138CX Accessories HMI Cover Kit &amp; Inspection Windows 13" x 8" (HxWxD) Use with Enclosure Size Inspection Window Kit.</t>
  </si>
  <si>
    <t>Allied Moulded AMHMI138CX</t>
  </si>
  <si>
    <t>AMHMI138CX</t>
  </si>
  <si>
    <t>Allied Moulded AMHMI66CX,Allied Moulded AMHMI95CX,Allied Moulded AMHMI120CCL</t>
  </si>
  <si>
    <t>Allied-Moulded-AMHMI138CX.jpg</t>
  </si>
  <si>
    <t>13"</t>
  </si>
  <si>
    <t>Allied Moulded AMHMI95CX Accessories HMI Cover Kit &amp; Inspection Windows 9" x 5.5" (HxWxD) Use with Enclosure Size Inspection Window Kit.</t>
  </si>
  <si>
    <t>Allied Moulded AMHMI95CX</t>
  </si>
  <si>
    <t>AMHMI95CX</t>
  </si>
  <si>
    <t>Allied Moulded AMHMI120CCL,Allied Moulded AMHMI66CX</t>
  </si>
  <si>
    <t>Allied-Moulded-AMHMI95CX.jpg</t>
  </si>
  <si>
    <t>9.5"</t>
  </si>
  <si>
    <t>5"</t>
  </si>
  <si>
    <t>ProductName</t>
  </si>
  <si>
    <t>RelatedProducts</t>
  </si>
  <si>
    <t>MiscText</t>
  </si>
  <si>
    <t>ExtensionData</t>
  </si>
  <si>
    <t>Weight</t>
  </si>
  <si>
    <t>Cost</t>
  </si>
  <si>
    <t>Critical Notice in RedCK</t>
  </si>
  <si>
    <r>
      <rPr>
        <b/>
        <sz val="12"/>
        <color theme="1"/>
        <rFont val="Calibri"/>
        <family val="2"/>
        <scheme val="minor"/>
      </rPr>
      <t>Must Buy in Pack</t>
    </r>
    <r>
      <rPr>
        <sz val="12"/>
        <color theme="1"/>
        <rFont val="Calibri"/>
        <family val="2"/>
        <scheme val="minor"/>
      </rPr>
      <t>s (CL)</t>
    </r>
  </si>
  <si>
    <t>Tariff (CM)</t>
  </si>
  <si>
    <t>(text field)</t>
  </si>
  <si>
    <t>text field</t>
  </si>
  <si>
    <t>(text name of manufacturer)</t>
  </si>
  <si>
    <t>(text name of distributor)</t>
  </si>
  <si>
    <t>Shipping</t>
  </si>
  <si>
    <t>decimal field (lbs)</t>
  </si>
  <si>
    <t>decimal field</t>
  </si>
  <si>
    <t>Level 1</t>
  </si>
  <si>
    <t>Level 2</t>
  </si>
  <si>
    <t>Level 3</t>
  </si>
  <si>
    <t>Level 4</t>
  </si>
  <si>
    <t>Level 5</t>
  </si>
  <si>
    <t>Level 6</t>
  </si>
  <si>
    <t>Level 7</t>
  </si>
  <si>
    <t>Level 8</t>
  </si>
  <si>
    <t>Level 9</t>
  </si>
  <si>
    <t>Level 10</t>
  </si>
  <si>
    <t>Level 11</t>
  </si>
  <si>
    <t>Level 12</t>
  </si>
  <si>
    <t>Level 13</t>
  </si>
  <si>
    <t>Level 14</t>
  </si>
  <si>
    <t>Level 15</t>
  </si>
  <si>
    <t>Level 16</t>
  </si>
  <si>
    <t>Level 17</t>
  </si>
  <si>
    <t>Level 18</t>
  </si>
  <si>
    <t>Level 19</t>
  </si>
  <si>
    <t>Level 20</t>
  </si>
  <si>
    <t>Level 21</t>
  </si>
  <si>
    <t>Level 22</t>
  </si>
  <si>
    <t>Allied Moulded AMADJUST-CXL Adjustable Inner Panel</t>
  </si>
  <si>
    <t>Allied Moulded AMHMI66CCH HMI Cover Kit</t>
  </si>
  <si>
    <t>Allied Moulded AMHMI66CCHTP HMI Cover Kit</t>
  </si>
  <si>
    <t>Allied Moulded AMHMI66CCL HMI Cover Kit</t>
  </si>
  <si>
    <t>Allied Moulded AMHMI66H HMI Cover Kit</t>
  </si>
  <si>
    <t>Allied Moulded AMHMI66HTP HMI Cover Kit</t>
  </si>
  <si>
    <t>Allied Moulded AMHMI66L HMI Cover Kit</t>
  </si>
  <si>
    <t>Allied Moulded AMHMI86CCH HMI Cover Kit</t>
  </si>
  <si>
    <t>Allied Moulded AMHMI86CCHTP HMI Cover Kit</t>
  </si>
  <si>
    <t>Allied Moulded AMHMI86CCL HMI Cover Kit</t>
  </si>
  <si>
    <t>Allied Moulded AMHMI86H HMI Cover Kit</t>
  </si>
  <si>
    <t>Allied Moulded AMHMI86HTP HMI Cover Kit</t>
  </si>
  <si>
    <t>Allied Moulded AMHMI86L HMI Cover Kit</t>
  </si>
  <si>
    <t>Allied Moulded AMHMIPROP66 Arm Kit</t>
  </si>
  <si>
    <t>Allied Moulded AMHMIPROP86 Arm Kit</t>
  </si>
  <si>
    <t>Allied Moulded AMPFA1000 Enclosure Filter Kit</t>
  </si>
  <si>
    <t>Allied Moulded AMPFA2000 Enclosure Filter Kit</t>
  </si>
  <si>
    <t>Allied Moulded AMPFA3000 Enclosure Filter Kit</t>
  </si>
  <si>
    <t>Allied Moulded AMADJUST-CXL</t>
  </si>
  <si>
    <t>Allied Moulded AMHMI66CCH</t>
  </si>
  <si>
    <t>Allied Moulded AMHMI66CCHTP</t>
  </si>
  <si>
    <t>Allied Moulded AMHMI66CCL</t>
  </si>
  <si>
    <t>Allied Moulded AMHMI66H</t>
  </si>
  <si>
    <t>Allied Moulded AMHMI66HTP</t>
  </si>
  <si>
    <t>Allied Moulded AMHMI66L</t>
  </si>
  <si>
    <t>Allied Moulded AMHMI86CCH</t>
  </si>
  <si>
    <t>Allied Moulded AMHMI86CCHTP</t>
  </si>
  <si>
    <t>Allied Moulded AMHMI86CCL</t>
  </si>
  <si>
    <t>Allied Moulded AMHMI86H</t>
  </si>
  <si>
    <t>Allied Moulded AMHMI86HTP</t>
  </si>
  <si>
    <t>Allied Moulded AMHMI86L</t>
  </si>
  <si>
    <t>Allied Moulded AMHMIPROP66</t>
  </si>
  <si>
    <t>Allied Moulded AMHMIPROP86</t>
  </si>
  <si>
    <t>Allied Moulded AMPFA1000</t>
  </si>
  <si>
    <t>Allied Moulded AMPFA2000</t>
  </si>
  <si>
    <t>Allied Moulded AMPFA3000</t>
  </si>
  <si>
    <t>AMADJUST-CXL</t>
  </si>
  <si>
    <t>AMHMI66CCH</t>
  </si>
  <si>
    <t>AMHMI66CCHTP</t>
  </si>
  <si>
    <t>AMHMI66CCL</t>
  </si>
  <si>
    <t>AMHMI66H</t>
  </si>
  <si>
    <t>AMHMI66HTP</t>
  </si>
  <si>
    <t>AMHMI66L</t>
  </si>
  <si>
    <t>AMHMI86CCH</t>
  </si>
  <si>
    <t>AMHMI86CCHTP</t>
  </si>
  <si>
    <t>AMHMI86CCL</t>
  </si>
  <si>
    <t>AMHMI86H</t>
  </si>
  <si>
    <t>AMHMI86HTP</t>
  </si>
  <si>
    <t>AMHMI86L</t>
  </si>
  <si>
    <t>AMHMIPROP66</t>
  </si>
  <si>
    <t>AMHMIPROP86</t>
  </si>
  <si>
    <t>AMPFA1000</t>
  </si>
  <si>
    <t>AMPFA2000</t>
  </si>
  <si>
    <t>AMPFA3000</t>
  </si>
  <si>
    <t>Allied Moulded AMADJUST-CXL Adjustable inner panel mounting kit for use with 40×32 Control XL Series enclosures</t>
  </si>
  <si>
    <t>Allied Moulded AMHMI66CCH 6′′x6′′ HMI Cover Kit with 2-screw hinged clear cover</t>
  </si>
  <si>
    <t>Allied Moulded AMHMI66CCHTP 6′′x6′′ HMI Cover Kit with 2-screw (tamper-proof) hinged clear cover</t>
  </si>
  <si>
    <t>Allied Moulded AMHMI66CCL 6′′x6′′ HMI Cover Kit with hinged clear cover and stainless-steel snap latch</t>
  </si>
  <si>
    <t>Allied Moulded AMHMI66H 6′′x6′′ HMI Cover Kit with 2-screw hinged cover</t>
  </si>
  <si>
    <t>Allied Moulded AMHMI66HTP 6′′x6′′ HMI Cover Kit with 2-screw (tamper-proof) hinged cover</t>
  </si>
  <si>
    <t>Allied Moulded AMHMI66L 6′′x6′′ HMI Cover Kit with hinged cover and stainless-steel snap latch</t>
  </si>
  <si>
    <t>Allied Moulded AMHMI86CCH 8′′x6′′ HMI Cover Kit with 2-screw hinged clear cover</t>
  </si>
  <si>
    <t>Allied Moulded AMHMI86CCHTP 8′′x6′′ HMI Cover Kit with 2-screw (tamper-proof) hinged clear cover</t>
  </si>
  <si>
    <t>Allied Moulded AMHMI86CCL 8′′x6′′ HMI Cover Kit with hinged clear cover and stainless-steel snap latch</t>
  </si>
  <si>
    <t>Allied Moulded AMHMI86H 8′′x6′′ HMI Cover Kit with 2-screw hinged cover</t>
  </si>
  <si>
    <t>Allied Moulded AMHMI86HTP 8′′x6′′ HMI Cover Kit with 2-screw (tamper-proof) hinged cover</t>
  </si>
  <si>
    <t>Allied Moulded AMHMI86L 8′′x6′′ HMI Cover Kit with hinged cover and stainless-steel snap latch</t>
  </si>
  <si>
    <t>Allied Moulded AMHMIPROP66 HMI Cover Prop Arm Kit for use with 6′′x6′′ HMI Covers</t>
  </si>
  <si>
    <t>Allied Moulded AMHMIPROP86 HMI Cover Prop Arm Kit for use with 8′′x6′′ HMI Covers</t>
  </si>
  <si>
    <t>Allied Moulded AMPFA1000 4′′x4′′ enclosure filter kit</t>
  </si>
  <si>
    <t>Allied Moulded AMPFA2000 6′′x6′′ enclosure filter kit</t>
  </si>
  <si>
    <t>Allied Moulded AMPFA3000 10′′x10′′ enclosure filter kit</t>
  </si>
  <si>
    <t>When used with either P4032 or PA4032 back panels, end user can provide an adjustable inner panel system in the AMXL403212L3PT enclosure.</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</si>
  <si>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accessory for use with Type 4X enclosures.Â *Will fit Allied Moulded enclosure sizes 10â?x12â? and larger.</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</si>
  <si>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for use with Type 4X enclosures.Â *Will fit Allied Moulded enclosure sizes 10â?x12â? and larger.</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</si>
  <si>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for use with Type 4X enclosures. *Will fit Allied Moulded enclosure sizes 10′′x12′′ and larger.</t>
  </si>
  <si>
    <t>The stainless steel prop arm and hardware is durable and the silicone rubber tip will prevent the support arm from slipping once in the open position.</t>
  </si>
  <si>
    <t>Snap in fastening without screws. Integrated foam seal to enclosure surface. Injection molded with thermoplastic that is self-extinguishing, UL 94 VO.</t>
  </si>
  <si>
    <t>Snap in fastening without screws. Integrated foam seal to enclosure surface. Injection molded with thermoplastic that is self extinguishing, UL 94 VO.</t>
  </si>
  <si>
    <t>Allied-Moulded-AMADJUST-CXL.jpg</t>
  </si>
  <si>
    <t>Allied-Moulded-AMHMI66CCH.jpg</t>
  </si>
  <si>
    <t>Allied-Moulded-AMHMI66CCHTP.jpg</t>
  </si>
  <si>
    <t>Allied-Moulded-AMHMI66CCL.jpg</t>
  </si>
  <si>
    <t>Allied-Moulded-AMHMI66H.jpg</t>
  </si>
  <si>
    <t>Allied-Moulded-AMHMI66HTP.jpg</t>
  </si>
  <si>
    <t>Allied-Moulded-AMHMI66L.jpg</t>
  </si>
  <si>
    <t>Allied-Moulded-AMHMI86CCH.jpg</t>
  </si>
  <si>
    <t>Allied-Moulded-AMHMI86CCHTP.jpg</t>
  </si>
  <si>
    <t>Allied-Moulded-AMHMI86CCL.jpg</t>
  </si>
  <si>
    <t>Allied-Moulded-AMHMI86H.jpg</t>
  </si>
  <si>
    <t>Allied-Moulded-AMHMI86HTP.jpg</t>
  </si>
  <si>
    <t>Allied-Moulded-AMHMI86L.jpg</t>
  </si>
  <si>
    <t>Allied-Moulded-AMHMIPROP66.jpg</t>
  </si>
  <si>
    <t>Allied-Moulded-AMHMIPROP86.jpg</t>
  </si>
  <si>
    <t>Allied-Moulded-AMPFA1000.jpg</t>
  </si>
  <si>
    <t>Allied-Moulded-AMPFA2000.jpg</t>
  </si>
  <si>
    <t>Allied-Moulded-AMPFA3000.jpg</t>
  </si>
  <si>
    <t>Adjustable Inner Panel</t>
  </si>
  <si>
    <t>HMI Cover Kit</t>
  </si>
  <si>
    <t>Arm Kit</t>
  </si>
  <si>
    <t>Enclosure Filter Kit</t>
  </si>
  <si>
    <t>Allied Moulded AMP1226 Polycarbonate Wall Mount Enclosure</t>
  </si>
  <si>
    <t>Allied Moulded AMP1226CC Polycarbonate Wall Mount Enclosure</t>
  </si>
  <si>
    <t>Allied Moulded AMP1226CCF Polycarbonate Wall Mount Enclosure</t>
  </si>
  <si>
    <t>Allied Moulded AMP1226CCH Polycarbonate Wall Mount Enclosure</t>
  </si>
  <si>
    <t>Allied Moulded AMP1226CCHF Polycarbonate Wall Mount Enclosure</t>
  </si>
  <si>
    <t>Allied Moulded AMP1226CCL Polycarbonate Wall Mount Enclosure</t>
  </si>
  <si>
    <t>Allied Moulded AMP1226CCLF Polycarbonate Wall Mount Enclosure</t>
  </si>
  <si>
    <t>Allied Moulded AMP1226CCNL Polycarbonate Wall Mount Enclosure</t>
  </si>
  <si>
    <t>Allied Moulded AMP1226CCNLF Polycarbonate Wall Mount Enclosure</t>
  </si>
  <si>
    <t>Allied Moulded AMP1226F Polycarbonate Wall Mount Enclosure</t>
  </si>
  <si>
    <t>Allied Moulded AMP1226H Polycarbonate Wall Mount Enclosure</t>
  </si>
  <si>
    <t>Allied Moulded AMP1226HF Polycarbonate Wall Mount Enclosure</t>
  </si>
  <si>
    <t>Allied Moulded AMP1226L Polycarbonate Wall Mount Enclosure</t>
  </si>
  <si>
    <t>Allied Moulded AMP1226LF Polycarbonate Wall Mount Enclosure</t>
  </si>
  <si>
    <t>Allied Moulded AMP1226NL Polycarbonate Wall Mount Enclosure</t>
  </si>
  <si>
    <t>Allied Moulded AMP1226NLF Polycarbonate Wall Mount Enclosure</t>
  </si>
  <si>
    <t>Allied Moulded AMP2060 Polycarbonate Wall Mount Enclosure</t>
  </si>
  <si>
    <t>Allied Moulded AMP2060CC Polycarbonate Wall Mount Enclosure</t>
  </si>
  <si>
    <t>Allied Moulded AMP2060CCF Polycarbonate Wall Mount Enclosure</t>
  </si>
  <si>
    <t>Allied Moulded AMP2060CCH Polycarbonate Wall Mount Enclosure</t>
  </si>
  <si>
    <t>Allied Moulded AMP2060CCHF Polycarbonate Wall Mount Enclosure</t>
  </si>
  <si>
    <t>Allied Moulded AMP2060CCL Polycarbonate Wall Mount Enclosure</t>
  </si>
  <si>
    <t>Allied Moulded AMP2060CCLF Polycarbonate Wall Mount Enclosure</t>
  </si>
  <si>
    <t>Allied Moulded AMP2060CCNL Polycarbonate Wall Mount Enclosure</t>
  </si>
  <si>
    <t>Allied Moulded AMP2060CCNLF Polycarbonate Wall Mount Enclosure</t>
  </si>
  <si>
    <t>Allied Moulded AMP2060F Polycarbonate Wall Mount Enclosure</t>
  </si>
  <si>
    <t>Allied Moulded AMP2060H Polycarbonate Wall Mount Enclosure</t>
  </si>
  <si>
    <t>Allied Moulded AMP2060HF Polycarbonate Wall Mount Enclosure</t>
  </si>
  <si>
    <t>Allied Moulded AMP2060L Polycarbonate Wall Mount Enclosure</t>
  </si>
  <si>
    <t>Allied Moulded AMP2060LF Polycarbonate Wall Mount Enclosure</t>
  </si>
  <si>
    <t>Allied Moulded AMP2060NL Polycarbonate Wall Mount Enclosure</t>
  </si>
  <si>
    <t>Allied Moulded AMP2060NLF Polycarbonate Wall Mount Enclosure</t>
  </si>
  <si>
    <t>Allied Moulded AMU884 Fiberglass Wall Mount Enclosure</t>
  </si>
  <si>
    <t>Allied Moulded AMU884CC Fiberglass Wall Mount Enclosure</t>
  </si>
  <si>
    <t>Allied Moulded AMU884CCF Fiberglass Wall Mount Enclosure</t>
  </si>
  <si>
    <t>Allied Moulded AMU884CCH Fiberglass Wall Mount Enclosure</t>
  </si>
  <si>
    <t>Allied Moulded AMU884CCHF Fiberglass Wall Mount Enclosure</t>
  </si>
  <si>
    <t>Allied Moulded AMU884CCL Fiberglass Wall Mount Enclosure</t>
  </si>
  <si>
    <t>Allied Moulded AMU884CCLF Fiberglass Wall Mount Enclosure</t>
  </si>
  <si>
    <t>Allied Moulded AMU884CCNL Fiberglass Wall Mount Enclosure</t>
  </si>
  <si>
    <t>Allied Moulded AMU884CCNLF Fiberglass Wall Mount Enclosure</t>
  </si>
  <si>
    <t>Allied Moulded AMU884CCT Fiberglass Wall Mount Enclosure</t>
  </si>
  <si>
    <t>Allied Moulded AMU884CCTF Fiberglass Wall Mount Enclosure</t>
  </si>
  <si>
    <t>Allied Moulded AMU884F Fiberglass Wall Mount Enclosure</t>
  </si>
  <si>
    <t>Allied Moulded AMU884H Fiberglass Wall Mount Enclosure</t>
  </si>
  <si>
    <t>Allied Moulded AMU884HF Fiberglass Wall Mount Enclosure</t>
  </si>
  <si>
    <t>Allied Moulded AMU884HW Fiberglass Wall Mount Enclosure</t>
  </si>
  <si>
    <t>Allied Moulded AMU884HWF Fiberglass Wall Mount Enclosure</t>
  </si>
  <si>
    <t>Allied Moulded AMU884L Fiberglass Wall Mount Enclosure</t>
  </si>
  <si>
    <t>Allied Moulded AMU884LF Fiberglass Wall Mount Enclosure</t>
  </si>
  <si>
    <t>Allied Moulded AMU884LW Fiberglass Wall Mount Enclosure</t>
  </si>
  <si>
    <t>Allied Moulded AMU884LWF Fiberglass Wall Mount Enclosure</t>
  </si>
  <si>
    <t>Allied Moulded AMU884NL Fiberglass Wall Mount Enclosure</t>
  </si>
  <si>
    <t>Allied Moulded AMU884NLF Fiberglass Wall Mount Enclosure</t>
  </si>
  <si>
    <t>Allied Moulded AMU884NLW Fiberglass Wall Mount Enclosure</t>
  </si>
  <si>
    <t>Allied Moulded AMU884NLWF Fiberglass Wall Mount Enclosure</t>
  </si>
  <si>
    <t>Allied Moulded AMU884T Fiberglass Wall Mount Enclosure</t>
  </si>
  <si>
    <t>Allied Moulded AMU884TF Fiberglass Wall Mount Enclosure</t>
  </si>
  <si>
    <t>Allied Moulded AMU884TW Fiberglass Wall Mount Enclosure</t>
  </si>
  <si>
    <t>Allied Moulded AMU884TWF Fiberglass Wall Mount Enclosure</t>
  </si>
  <si>
    <t>Allied Moulded AMU884W Fiberglass Wall Mount Enclosure</t>
  </si>
  <si>
    <t>Allied Moulded AMU884WF Fiberglass Wall Mount Enclosure</t>
  </si>
  <si>
    <t>Allied Moulded AMP1226</t>
  </si>
  <si>
    <t>Allied Moulded AMP1226CC</t>
  </si>
  <si>
    <t>Allied Moulded AMP1226CCF</t>
  </si>
  <si>
    <t>Allied Moulded AMP1226CCH</t>
  </si>
  <si>
    <t>Allied Moulded AMP1226CCHF</t>
  </si>
  <si>
    <t>Allied Moulded AMP1226CCL</t>
  </si>
  <si>
    <t>Allied Moulded AMP1226CCLF</t>
  </si>
  <si>
    <t>Allied Moulded AMP1226CCNL</t>
  </si>
  <si>
    <t>Allied Moulded AMP1226CCNLF</t>
  </si>
  <si>
    <t>Allied Moulded AMP1226F</t>
  </si>
  <si>
    <t>Allied Moulded AMP1226H</t>
  </si>
  <si>
    <t>Allied Moulded AMP1226HF</t>
  </si>
  <si>
    <t>Allied Moulded AMP1226L</t>
  </si>
  <si>
    <t>Allied Moulded AMP1226LF</t>
  </si>
  <si>
    <t>Allied Moulded AMP1226NL</t>
  </si>
  <si>
    <t>Allied Moulded AMP1226NLF</t>
  </si>
  <si>
    <t>Allied Moulded AMP2060</t>
  </si>
  <si>
    <t>Allied Moulded AMP2060CC</t>
  </si>
  <si>
    <t>Allied Moulded AMP2060CCF</t>
  </si>
  <si>
    <t>Allied Moulded AMP2060CCH</t>
  </si>
  <si>
    <t>Allied Moulded AMP2060CCHF</t>
  </si>
  <si>
    <t>Allied Moulded AMP2060CCL</t>
  </si>
  <si>
    <t>Allied Moulded AMP2060CCLF</t>
  </si>
  <si>
    <t>Allied Moulded AMP2060CCNL</t>
  </si>
  <si>
    <t>Allied Moulded AMP2060CCNLF</t>
  </si>
  <si>
    <t>Allied Moulded AMP2060F</t>
  </si>
  <si>
    <t>Allied Moulded AMP2060H</t>
  </si>
  <si>
    <t>Allied Moulded AMP2060HF</t>
  </si>
  <si>
    <t>Allied Moulded AMP2060L</t>
  </si>
  <si>
    <t>Allied Moulded AMP2060LF</t>
  </si>
  <si>
    <t>Allied Moulded AMP2060NL</t>
  </si>
  <si>
    <t>Allied Moulded AMP2060NLF</t>
  </si>
  <si>
    <t>Allied Moulded AMU884</t>
  </si>
  <si>
    <t>Allied Moulded AMU884CC</t>
  </si>
  <si>
    <t>Allied Moulded AMU884CCF</t>
  </si>
  <si>
    <t>Allied Moulded AMU884CCH</t>
  </si>
  <si>
    <t>Allied Moulded AMU884CCHF</t>
  </si>
  <si>
    <t>Allied Moulded AMU884CCL</t>
  </si>
  <si>
    <t>Allied Moulded AMU884CCLF</t>
  </si>
  <si>
    <t>Allied Moulded AMU884CCNL</t>
  </si>
  <si>
    <t>Allied Moulded AMU884CCNLF</t>
  </si>
  <si>
    <t>Allied Moulded AMU884CCT</t>
  </si>
  <si>
    <t>Allied Moulded AMU884CCTF</t>
  </si>
  <si>
    <t>Allied Moulded AMU884F</t>
  </si>
  <si>
    <t>Allied Moulded AMU884H</t>
  </si>
  <si>
    <t>Allied Moulded AMU884HF</t>
  </si>
  <si>
    <t>Allied Moulded AMU884HW</t>
  </si>
  <si>
    <t>Allied Moulded AMU884HWF</t>
  </si>
  <si>
    <t>Allied Moulded AMU884L</t>
  </si>
  <si>
    <t>Allied Moulded AMU884LF</t>
  </si>
  <si>
    <t>Allied Moulded AMU884LW</t>
  </si>
  <si>
    <t>Allied Moulded AMU884LWF</t>
  </si>
  <si>
    <t>Allied Moulded AMU884NL</t>
  </si>
  <si>
    <t>Allied Moulded AMU884NLF</t>
  </si>
  <si>
    <t>Allied Moulded AMU884NLW</t>
  </si>
  <si>
    <t>Allied Moulded AMU884NLWF</t>
  </si>
  <si>
    <t>Allied Moulded AMU884T</t>
  </si>
  <si>
    <t>Allied Moulded AMU884TF</t>
  </si>
  <si>
    <t>Allied Moulded AMU884TW</t>
  </si>
  <si>
    <t>Allied Moulded AMU884TWF</t>
  </si>
  <si>
    <t>Allied Moulded AMU884W</t>
  </si>
  <si>
    <t>Allied Moulded AMU884WF</t>
  </si>
  <si>
    <t>AMP1226</t>
  </si>
  <si>
    <t>AMP1226CC</t>
  </si>
  <si>
    <t>AMP1226CCF</t>
  </si>
  <si>
    <t>AMP1226CCH</t>
  </si>
  <si>
    <t>AMP1226CCHF</t>
  </si>
  <si>
    <t>AMP1226CCL</t>
  </si>
  <si>
    <t>AMP1226CCLF</t>
  </si>
  <si>
    <t>AMP1226CCNL</t>
  </si>
  <si>
    <t>AMP1226CCNLF</t>
  </si>
  <si>
    <t>AMP1226F</t>
  </si>
  <si>
    <t>AMP1226H</t>
  </si>
  <si>
    <t>AMP1226HF</t>
  </si>
  <si>
    <t>AMP1226L</t>
  </si>
  <si>
    <t>AMP1226LF</t>
  </si>
  <si>
    <t>AMP1226NL</t>
  </si>
  <si>
    <t>AMP1226NLF</t>
  </si>
  <si>
    <t>AMP2060</t>
  </si>
  <si>
    <t>AMP2060CC</t>
  </si>
  <si>
    <t>AMP2060CCF</t>
  </si>
  <si>
    <t>AMP2060CCH</t>
  </si>
  <si>
    <t>AMP2060CCHF</t>
  </si>
  <si>
    <t>AMP2060CCL</t>
  </si>
  <si>
    <t>AMP2060CCLF</t>
  </si>
  <si>
    <t>AMP2060CCNL</t>
  </si>
  <si>
    <t>AMP2060CCNLF</t>
  </si>
  <si>
    <t>AMP2060F</t>
  </si>
  <si>
    <t>AMP2060H</t>
  </si>
  <si>
    <t>AMP2060HF</t>
  </si>
  <si>
    <t>AMP2060L</t>
  </si>
  <si>
    <t>AMP2060LF</t>
  </si>
  <si>
    <t>AMP2060NL</t>
  </si>
  <si>
    <t>AMP2060NLF</t>
  </si>
  <si>
    <t>AMU884</t>
  </si>
  <si>
    <t>AMU884CC</t>
  </si>
  <si>
    <t>AMU884CCF</t>
  </si>
  <si>
    <t>AMU884CCH</t>
  </si>
  <si>
    <t>AMU884CCHF</t>
  </si>
  <si>
    <t>AMU884CCL</t>
  </si>
  <si>
    <t>AMU884CCLF</t>
  </si>
  <si>
    <t>AMU884CCNL</t>
  </si>
  <si>
    <t>AMU884CCNLF</t>
  </si>
  <si>
    <t>AMU884CCT</t>
  </si>
  <si>
    <t>AMU884CCTF</t>
  </si>
  <si>
    <t>AMU884F</t>
  </si>
  <si>
    <t>AMU884H</t>
  </si>
  <si>
    <t>AMU884HF</t>
  </si>
  <si>
    <t>AMU884HW</t>
  </si>
  <si>
    <t>AMU884HWF</t>
  </si>
  <si>
    <t>AMU884L</t>
  </si>
  <si>
    <t>AMU884LF</t>
  </si>
  <si>
    <t>AMU884LW</t>
  </si>
  <si>
    <t>AMU884LWF</t>
  </si>
  <si>
    <t>AMU884NL</t>
  </si>
  <si>
    <t>AMU884NLF</t>
  </si>
  <si>
    <t>AMU884NLW</t>
  </si>
  <si>
    <t>AMU884NLWF</t>
  </si>
  <si>
    <t>AMU884T</t>
  </si>
  <si>
    <t>AMU884TF</t>
  </si>
  <si>
    <t>AMU884TW</t>
  </si>
  <si>
    <t>AMU884TWF</t>
  </si>
  <si>
    <t>AMU884W</t>
  </si>
  <si>
    <t>AMU884WF</t>
  </si>
  <si>
    <t>Allied Moulded PLA44, Allied Moulded AMU864W, Allied Moulded AMHMI206L, Allied Moulded AMP1860CCLF</t>
  </si>
  <si>
    <t>Allied Moulded AM1084RT, Allied Moulded AMU864TWF, Allied Moulded AM1084RLW, Allied Moulded AM1084RHW</t>
  </si>
  <si>
    <t>Allied Moulded PLA44, Allied Moulded AM1084LW, Allied Moulded AMU864TWF, Allied Moulded AM1084RHW</t>
  </si>
  <si>
    <t>Allied Moulded AM1084RLW, Allied Moulded AMVENT4XLG, Allied Moulded AM1084RHW, Allied Moulded PLPVC44</t>
  </si>
  <si>
    <t>Allied Moulded PLA44, Allied Moulded AM1084RLW, Allied Moulded AM1084RT, Allied Moulded AMHS075</t>
  </si>
  <si>
    <t>Allied Moulded AM1084RT, Allied Moulded PLA44, Allied Moulded AMHS075, Allied Moulded AM1084LW</t>
  </si>
  <si>
    <t>Allied Moulded AMHMI206HTP, Allied Moulded PLA44, Allied Moulded AM1868RTW, Allied Moulded AMVENT4XLG</t>
  </si>
  <si>
    <t>Allied Moulded AM1084LW, Allied Moulded AM1084L, Allied Moulded AM1084RLW, Allied Moulded AMP1860CCLF</t>
  </si>
  <si>
    <t>Allied Moulded AMHMI206H, Allied Moulded AM1084RLW, Allied Moulded AM1084RHW, Allied Moulded AMHMI206CCH</t>
  </si>
  <si>
    <t>Allied Moulded AMHMI206H, Allied Moulded AMU864TWF, Allied Moulded AMP1860CCLF, Allied Moulded AMHMI206CCH</t>
  </si>
  <si>
    <t>Allied Moulded AM1084LW, Allied Moulded AMP1PB22, Allied Moulded AMHS075, Allied Moulded AM1084RL</t>
  </si>
  <si>
    <t>Allied Moulded AMHMI206H, Allied Moulded AM1084R, Allied Moulded PL44, Allied Moulded AMHMI66CCL</t>
  </si>
  <si>
    <t>Allied Moulded AM1084L, Allied Moulded AM1084RT, Allied Moulded AMU864WF, Allied Moulded AM1084RHW</t>
  </si>
  <si>
    <t>Allied Moulded AM1868RTW, Allied Moulded PL44, Allied Moulded AMU864TWF, Allied Moulded AMHMI66CCL</t>
  </si>
  <si>
    <t>Allied Moulded AMHMI206H, Allied Moulded AMHMI206HTP, Allied Moulded AM1084RLW, Allied Moulded AMHMI66CCL</t>
  </si>
  <si>
    <t>Allied Moulded AM1084L, Allied Moulded AM1868RTW, Allied Moulded AMP1PB22, Allied Moulded AMHS075</t>
  </si>
  <si>
    <t>Allied Moulded AMP1226 12′′x12′′x6′′ POLYLINE polycarbonate wall mount enclosure assembly with 4-screw lift-off cover</t>
  </si>
  <si>
    <t>Allied Moulded AMP1226CC 12′′x12′′x6′′ POLYLINE polycarbonate wall mount enclosure assembly with 4-screw lift-off clear cover</t>
  </si>
  <si>
    <t>Allied Moulded AMP1226CCF 12′′x12′′x6′′ POLYLINE polycarbonate wall mount enclosure assembly with 4-screw lift-off clear cover</t>
  </si>
  <si>
    <t>Allied Moulded AMP1226CCH 12′′x12′′x6′′ POLYLINE polycarbonate wall mount enclosure assembly with 2-screw hinged clear cover</t>
  </si>
  <si>
    <t>Allied Moulded AMP1226CCHF 12′′x12′′x6′′ POLYLINE polycarbonate wall mount enclosure assembly with 2-screw hinged clear cover</t>
  </si>
  <si>
    <t>Allied Moulded AMP1226CCL 12′′x12′′x6′′ POLYLINE polycarbonate wall mount enclosure assembly with hinged clear cover and stainless-steel snap latch</t>
  </si>
  <si>
    <t>Allied Moulded AMP1226CCLF 12′′x12′′x6′′ POLYLINE polycarbonate wall mount enclosure assembly with hinged clear cover and stainless-steel snap latch</t>
  </si>
  <si>
    <t>Allied Moulded AMP1226CCNL 12′′x12′′x6′′ POLYLINE polycarbonate wall mount enclosure assembly with hinged clear cover and nonmetal snap latch</t>
  </si>
  <si>
    <t>Allied Moulded AMP1226CCNLF 12′′x12′′x6′′ POLYLINE polycarbonate wall mount enclosure assembly with hinged clear cover and nonmetal snap latch</t>
  </si>
  <si>
    <t>Allied Moulded AMP1226F 12′′x12′′x6′′ POLYLINE polycarbonate wall mount enclosure assembly with 4-screw lift-off cover</t>
  </si>
  <si>
    <t>Allied Moulded AMP1226H 12′′x12′′x6′′ POLYLINE polycarbonate wall mount enclosure assembly with 2-screw hinged cover</t>
  </si>
  <si>
    <t>Allied Moulded AMP1226HF 12′′x12′′x6′′ POLYLINE polycarbonate wall mount enclosure assembly with 2-screw hinged cover</t>
  </si>
  <si>
    <t>Allied Moulded AMP1226L 12′′x12′′x6′′ POLYLINE polycarbonate wall mount enclosure assembly with hinged cover and stainless-steel snap latch</t>
  </si>
  <si>
    <t>Allied Moulded AMP1226LF 12′′x12′′x6′′ POLYLINE polycarbonate wall mount enclosure assembly with hinged cover and stainless-steel snap latch</t>
  </si>
  <si>
    <t>Allied Moulded AMP1226NL 12′′x12′′x6′′ POLYLINE polycarbonate wall mount enclosure assembly with hinged cover and nonmetal snap latch</t>
  </si>
  <si>
    <t>Allied Moulded AMP1226NLF 12′′x12′′x6′′ POLYLINE polycarbonate wall mount enclosure assembly with hinged cover and nonmetal snap latch</t>
  </si>
  <si>
    <t>Allied Moulded AMP2060 20′′x16′′x10′′ POLYLINE polycarbonate wall mount enclosure assembly with 4-screw lift-off cover</t>
  </si>
  <si>
    <t>Allied Moulded AMP2060CC 20′′x16′′x10′′ POLYLINE polycarbonate wall mount enclosure assembly with 4-screw lift-off clear cover</t>
  </si>
  <si>
    <t>Allied Moulded AMP2060CCF 20′′x16′′x10′′ POLYLINE polycarbonate wall mount enclosure assembly with 4-screw lift-off clear cover</t>
  </si>
  <si>
    <t>Allied Moulded AMP2060CCH 20′′x16′′x10′′ POLYLINE polycarbonate wall mount enclosure assembly with 2-screw hinged clear cover</t>
  </si>
  <si>
    <t>Allied Moulded AMP2060CCHF 20′′x16′′x10′′ POLYLINE polycarbonate wall mount enclosure assembly with 2-screw hinged clear cover</t>
  </si>
  <si>
    <t>Allied Moulded AMP2060CCL 20′′x16′′x10′′ POLYLINE polycarbonate wall mount enclosure assembly with hinged clear cover and stainless-steel snap latch</t>
  </si>
  <si>
    <t>Allied Moulded AMP2060CCLF 20′′x16′′x10′′ POLYLINE polycarbonate wall mount enclosure assembly with hinged clear cover and stainless-steel snap latch</t>
  </si>
  <si>
    <t>Allied Moulded AMP2060CCNL 20′′x16′′x10′′ POLYLINE polycarbonate wall mount enclosure assembly with hinged clear cover and nonmetal snap latch</t>
  </si>
  <si>
    <t>Allied Moulded AMP2060CCNLF 20′′x16′′x10′′ POLYLINE polycarbonate wall mount enclosure assembly with hinged clear cover and nonmetal snap latch</t>
  </si>
  <si>
    <t>Allied Moulded AMP2060F 20′′x16′′x10′′ POLYLINE polycarbonate wall mount enclosure assembly with 4-screw lift-off cover</t>
  </si>
  <si>
    <t>Allied Moulded AMP2060H 20′′x16′′x10′′ POLYLINE polycarbonate wall mount enclosure assembly with 2-screw hinged cover</t>
  </si>
  <si>
    <t>Allied Moulded AMP2060HF 20′′x16′′x10′′ POLYLINE polycarbonate wall mount enclosure assembly with 2-screw hinged cover</t>
  </si>
  <si>
    <t>Allied Moulded AMP2060L 20′′x16′′x10′′ POLYLINE polycarbonate wall mount enclosure assembly with hinged cover and stainless-steel snap latch</t>
  </si>
  <si>
    <t>Allied Moulded AMP2060LF 20′′x16′′x10′′ POLYLINE polycarbonate wall mount enclosure assembly with hinged cover and stainless-steel snap latch</t>
  </si>
  <si>
    <t>Allied Moulded AMP2060NL 20′′x16′′x10′′ POLYLINE polycarbonate wall mount enclosure assembly with hinged cover and nonmetal snap latch</t>
  </si>
  <si>
    <t>Allied Moulded AMP2060NLF 20′′x16′′x10′′ POLYLINE polycarbonate wall mount enclosure assembly with hinged cover and nonmetal snap latch</t>
  </si>
  <si>
    <t>Allied Moulded AMU884 8′′x8′′x4′′ ULTRALINE fiberglass wall mount enclosure assembly with 4-screw lift-off cover</t>
  </si>
  <si>
    <t>Allied Moulded AMU884CC 8′′x8′′x4′′ ULTRALINE fiberglass wall mount enclosure assembly with 4-screw lift-off clear cover</t>
  </si>
  <si>
    <t>Allied Moulded AMU884CCF 8′′x8′′x4′′ ULTRALINE fiberglass wall mount enclosure assembly with 4-screw lift-off clear cover</t>
  </si>
  <si>
    <t>Allied Moulded AMU884CCH 8′′x8′′x4′′ ULTRALINE fiberglass wall mount enclosure assembly with 2-screw hinged clear cover</t>
  </si>
  <si>
    <t>Allied Moulded AMU884CCHF 8′′x8′′x4′′ ULTRALINE fiberglass wall mount enclosure assembly with 2-screw hinged clear cover</t>
  </si>
  <si>
    <t>Allied Moulded AMU884CCL 8′′x8′′x4′′ ULTRALINE fiberglass wall mount enclosure assembly with clear cover and stainless-steel snap latch</t>
  </si>
  <si>
    <t>Allied Moulded AMU884CCLF 8′′x8′′x4′′ ULTRALINE fiberglass wall mount enclosure assembly with clear cover and stainless-steel snap latch</t>
  </si>
  <si>
    <t>Allied Moulded AMU884CCNL 8′′x8′′x4′′ ULTRALINE fiberglass wall mount enclosure assembly with clear cover and nonmetal snap latch</t>
  </si>
  <si>
    <t>Allied Moulded AMU884CCNLF 8′′x8′′x4′′ ULTRALINE fiberglass wall mount enclosure assembly with clear cover and nonmetal snap latch</t>
  </si>
  <si>
    <t>Allied Moulded AMU884CCT 8′′x8′′x4′′ ULTRALINE fiberglass wall mount enclosure assembly with clear cover and stainless-steel twist latch</t>
  </si>
  <si>
    <t>Allied Moulded AMU884CCTF 8′′x8′′x4′′ ULTRALINE fiberglass wall mount enclosure assembly with clear cover and stainless-steel twist latch</t>
  </si>
  <si>
    <t>Allied Moulded AMU884F 8′′x8′′x4′′ ULTRALINE fiberglass wall mount enclosure assembly with 4-screw lift-off cover</t>
  </si>
  <si>
    <t>Allied Moulded AMU884H 8′′x8′′x4′′ ULTRALINE fiberglass wall mount enclosure assembly with 2-screw hinged cover</t>
  </si>
  <si>
    <t>Allied Moulded AMU884HF 8′′x8′′x4′′ ULTRALINE fiberglass wall mount enclosure assembly with 2-screw hinged cover</t>
  </si>
  <si>
    <t>Allied Moulded AMU884HW 8′′x8′′x4′′ ULTRALINE fiberglass wall mount enclosure assembly with 2-screw hinged window cover</t>
  </si>
  <si>
    <t>Allied Moulded AMU884HWF 8′′x8′′x4′′ ULTRALINE fiberglass wall mount enclosure assembly with 2-screw hinged window cover</t>
  </si>
  <si>
    <t>Allied Moulded AMU884L 8′′x8′′x4′′ ULTRALINE fiberglass wall mount enclosure assembly with hinged cover and stainless-steel snap latch</t>
  </si>
  <si>
    <t>Allied Moulded AMU884LF 8′′x8′′x4′′ ULTRALINE fiberglass wall mount enclosure assembly with hinged cover and stainless-steel snap latch</t>
  </si>
  <si>
    <t>Allied Moulded AMU884LW 8′′x8′′x4′′ ULTRALINE fiberglass wall mount enclosure assembly with hinged window cover and stainless-steel snap latch</t>
  </si>
  <si>
    <t>Allied Moulded AMU884LWF 8′′x8′′x4′′ ULTRALINE fiberglass wall mount enclosure assembly with hinged window cover and stainless-steel snap latch</t>
  </si>
  <si>
    <t>Allied Moulded AMU884NL 8′′x8′′x4′′ ULTRALINE fiberglass wall mount enclosure assembly with hinged cover and nonmetal snap latch</t>
  </si>
  <si>
    <t>Allied Moulded AMU884NLF 8′′x8′′x4′′ ULTRALINE fiberglass wall mount enclosure assembly with hinged cover and nonmetal snap latch</t>
  </si>
  <si>
    <t>Allied Moulded AMU884NLW 8′′x8′′x4′′ ULTRALINE fiberglass wall mount enclosure assembly with hinged window cover and nonmetal snap latch</t>
  </si>
  <si>
    <t>Allied Moulded AMU884NLWF 8′′x8′′x4′′ ULTRALINE fiberglass wall mount enclosure assembly with hinged window cover and nonmetal snap latch</t>
  </si>
  <si>
    <t>Allied Moulded AMU884T 8′′x8′′x4′′ ULTRALINE fiberglass wall mount enclosure assembly with hinged cover and stainless-steel twist latch</t>
  </si>
  <si>
    <t>Allied Moulded AMU884TF 8′′x8′′x4′′ ULTRALINE fiberglass wall mount enclosure assembly with hinged cover and stainless-steel twist latch</t>
  </si>
  <si>
    <t>Allied Moulded AMU884TW 8′′x8′′x4′′ ULTRALINE fiberglass wall mount enclosure assembly with hinged window cover and stainless-steel twist latch</t>
  </si>
  <si>
    <t>Allied Moulded AMU884TWF 8′′x8′′x4′′ ULTRALINE fiberglass wall mount enclosure assembly with hinged window cover and stainless-steel twist latch</t>
  </si>
  <si>
    <t>Allied Moulded AMU884W 8′′x8′′x4′′ ULTRALINE fiberglass wall mount enclosure assembly with 4-screw lift-off window cover</t>
  </si>
  <si>
    <t>Allied Moulded AMU884WF 8′′x8′′x4′′ ULTRALINE fiberglass wall mount enclosure assembly with 4-screw lift-off window cover</t>
  </si>
  <si>
    <t>Allied-Moulded-AMP1226.jpg</t>
  </si>
  <si>
    <t>Allied-Moulded-AMP1226CC.jpg</t>
  </si>
  <si>
    <t>Allied-Moulded-AMP1226CCF.jpg</t>
  </si>
  <si>
    <t>Allied-Moulded-AMP1226CCH.jpg</t>
  </si>
  <si>
    <t>Allied-Moulded-AMP1226CCHF.jpg</t>
  </si>
  <si>
    <t>Allied-Moulded-AMP1226CCL.jpg</t>
  </si>
  <si>
    <t>Allied-Moulded-AMP1226CCLF.jpg</t>
  </si>
  <si>
    <t>Allied-Moulded-AMP1226CCNL.jpg</t>
  </si>
  <si>
    <t>Allied-Moulded-AMP1226CCNLF.jpg</t>
  </si>
  <si>
    <t>Allied-Moulded-AMP1226F.jpg</t>
  </si>
  <si>
    <t>Allied-Moulded-AMP1226H.jpg</t>
  </si>
  <si>
    <t>Allied-Moulded-AMP1226HF.jpg</t>
  </si>
  <si>
    <t>Allied-Moulded-AMP1226L.jpg</t>
  </si>
  <si>
    <t>Allied-Moulded-AMP1226LF.jpg</t>
  </si>
  <si>
    <t>Allied-Moulded-AMP1226NL.jpg</t>
  </si>
  <si>
    <t>Allied-Moulded-AMP1226NLF.jpg</t>
  </si>
  <si>
    <t>Allied-Moulded-AMP2060.jpg</t>
  </si>
  <si>
    <t>Allied-Moulded-AMP2060CC.jpg</t>
  </si>
  <si>
    <t>Allied-Moulded-AMP2060CCF.jpg</t>
  </si>
  <si>
    <t>Allied-Moulded-AMP2060CCH.jpg</t>
  </si>
  <si>
    <t>Allied-Moulded-AMP2060CCHF.jpg</t>
  </si>
  <si>
    <t>Allied-Moulded-AMP2060CCL.jpg</t>
  </si>
  <si>
    <t>Allied-Moulded-AMP2060CCLF.jpg</t>
  </si>
  <si>
    <t>Allied-Moulded-AMP2060CCNL.jpg</t>
  </si>
  <si>
    <t>Allied-Moulded-AMP2060CCNLF.jpg</t>
  </si>
  <si>
    <t>Allied-Moulded-AMP2060F.jpg</t>
  </si>
  <si>
    <t>Allied-Moulded-AMP2060H.jpg</t>
  </si>
  <si>
    <t>Allied-Moulded-AMP2060HF.jpg</t>
  </si>
  <si>
    <t>Allied-Moulded-AMP2060L.jpg</t>
  </si>
  <si>
    <t>Allied-Moulded-AMP2060LF.jpg</t>
  </si>
  <si>
    <t>Allied-Moulded-AMP2060NL.jpg</t>
  </si>
  <si>
    <t>Allied-Moulded-AMP2060NLF.jpg</t>
  </si>
  <si>
    <t>Allied-Moulded-AMU884.jpg</t>
  </si>
  <si>
    <t>Allied-Moulded-AMU884CC.jpg</t>
  </si>
  <si>
    <t>Allied-Moulded-AMU884CCF.jpg</t>
  </si>
  <si>
    <t>Allied-Moulded-AMU884CCH.jpg</t>
  </si>
  <si>
    <t>Allied-Moulded-AMU884CCHF.jpg</t>
  </si>
  <si>
    <t>Allied-Moulded-AMU884CCL.jpg</t>
  </si>
  <si>
    <t>Allied-Moulded-AMU884CCLF.jpg</t>
  </si>
  <si>
    <t>Allied-Moulded-AMU884CCNL.jpg</t>
  </si>
  <si>
    <t>Allied-Moulded-AMU884CCNLF.jpg</t>
  </si>
  <si>
    <t>Allied-Moulded-AMU884CCT.jpg</t>
  </si>
  <si>
    <t>Allied-Moulded-AMU884CCTF.jpg</t>
  </si>
  <si>
    <t>Allied-Moulded-AMU884F.jpg</t>
  </si>
  <si>
    <t>Allied-Moulded-AMU884H.jpg</t>
  </si>
  <si>
    <t>Allied-Moulded-AMU884HF.jpg</t>
  </si>
  <si>
    <t>Allied-Moulded-AMU884HW.jpg</t>
  </si>
  <si>
    <t>Allied-Moulded-AMU884HWF.jpg</t>
  </si>
  <si>
    <t>Allied-Moulded-AMU884L.jpg</t>
  </si>
  <si>
    <t>Allied-Moulded-AMU884LF.jpg</t>
  </si>
  <si>
    <t>Allied-Moulded-AMU884LW.jpg</t>
  </si>
  <si>
    <t>Allied-Moulded-AMU884LWF.jpg</t>
  </si>
  <si>
    <t>Allied-Moulded-AMU884NL.jpg</t>
  </si>
  <si>
    <t>Allied-Moulded-AMU884NLF.jpg</t>
  </si>
  <si>
    <t>Allied-Moulded-AMU884NLW.jpg</t>
  </si>
  <si>
    <t>Allied-Moulded-AMU884NLWF.jpg</t>
  </si>
  <si>
    <t>Allied-Moulded-AMU884T.jpg</t>
  </si>
  <si>
    <t>Allied-Moulded-AMU884TF.jpg</t>
  </si>
  <si>
    <t>Allied-Moulded-AMU884TW.jpg</t>
  </si>
  <si>
    <t>Allied-Moulded-AMU884TWF.jpg</t>
  </si>
  <si>
    <t>Allied-Moulded-AMU884W.jpg</t>
  </si>
  <si>
    <t>Allied-Moulded-AMU884WF.jpg</t>
  </si>
  <si>
    <t>Non-corrosive, non-conductive, light weight with lower installation cost, easy to modify and longer life cycle compared to steel. Rigid design with back panel inserts plus nonmetallic mounting brackets and a gasket system encased in a continuous channel on the cover.</t>
  </si>
  <si>
    <t>Allied Moulded HFPP1212 Hinged Front Panel Kit 12" x 12"</t>
  </si>
  <si>
    <t>Allied Moulded HFPP206 Hinged Front Panel Kit 20" x 16"</t>
  </si>
  <si>
    <t>Allied Moulded HFPU88 Hinged Front Panel Kit 8" x 8"</t>
  </si>
  <si>
    <t>Allied Moulded HFPP1212</t>
  </si>
  <si>
    <t>Allied Moulded HFPP206</t>
  </si>
  <si>
    <t>Allied Moulded HFPU88</t>
  </si>
  <si>
    <t>HFPP1212</t>
  </si>
  <si>
    <t>HFPP206</t>
  </si>
  <si>
    <t>HFPU88</t>
  </si>
  <si>
    <t>Allied Moulded HFPP1212 Hinged front panel kit for use with 12′′x12′′ POLYLINE enclosures</t>
  </si>
  <si>
    <t>Allied Moulded HFPP206 Hinged front panel kit for use with 20′′x16′′ POLYLINE enclosures</t>
  </si>
  <si>
    <t>Allied Moulded HFPU88 Hinged front panel kit for use with 8′′x8′′ ULTRALINE enclosures</t>
  </si>
  <si>
    <t>Allied-Moulded-HFPP1212.jpg</t>
  </si>
  <si>
    <t>Allied-Moulded-HFPP206.jpg</t>
  </si>
  <si>
    <t>Allied-Moulded-HFPU88.jpg</t>
  </si>
  <si>
    <t>Allied Moulded PF88</t>
  </si>
  <si>
    <t>Allied Moulded PG88</t>
  </si>
  <si>
    <t>Allied Moulded PLL1212</t>
  </si>
  <si>
    <t>Allied Moulded PLLPVC1212</t>
  </si>
  <si>
    <t>Allied Moulded PLPVC206</t>
  </si>
  <si>
    <t>PF88</t>
  </si>
  <si>
    <t>PG88</t>
  </si>
  <si>
    <t>PLL1212</t>
  </si>
  <si>
    <t>PLLPVC1212</t>
  </si>
  <si>
    <t>PLPVC206</t>
  </si>
  <si>
    <t>Field installable</t>
  </si>
  <si>
    <t>Enclosure Backplate accessory for mounting electrical/electronic devices securely down inside</t>
  </si>
  <si>
    <t>Enclosure Backplate accessory for securely mounting electrical/electronic devices. Maximum service temperature 140 deg F.</t>
  </si>
  <si>
    <t>Enclosure Backplate accessory for securely mounting electrical/electronic devices. Maximum service temperature 140 deg. F.</t>
  </si>
  <si>
    <t>Allied Moulded PF88 Fiberglass Backplate for use with 8′′x8′′ fiberglass enclosures</t>
  </si>
  <si>
    <t>Allied Moulded PG88 Galvannealed steel Backplate for use with 8′′x6′′ fiberglass enclosures</t>
  </si>
  <si>
    <t>Allied Moulded PLL1212 White painted carbon steel Backplate for use with 12′′x12′′ POLYLINE enclosures</t>
  </si>
  <si>
    <t>Allied Moulded PLLPVC1212 Polyvinyl chloride Backplate for use with 12′′x12′′ POLYLINE enclosures</t>
  </si>
  <si>
    <t>Allied Moulded PLPVC206 Polyvinyl chloride Backplate for use with 20′′x16′′ POLYLINE enclosures</t>
  </si>
  <si>
    <t>Allied Moulded PF88 Fiberglass Backplate 8" x 8"</t>
  </si>
  <si>
    <t>Allied Moulded PG88 Steel Backplate 8" x 6"</t>
  </si>
  <si>
    <t>Allied Moulded PLL1212 Backplate 12" x 12"</t>
  </si>
  <si>
    <t>Allied Moulded PLLPVC1212 Backplate 12" x 12"</t>
  </si>
  <si>
    <t>Allied Moulded PLPVC206 Backplate 20" x 16"</t>
  </si>
  <si>
    <t>Allied-Moulded-PF88.jpg</t>
  </si>
  <si>
    <t>Allied-Moulded-PG88.jpg</t>
  </si>
  <si>
    <t>Allied-Moulded-PLL1212.jpg</t>
  </si>
  <si>
    <t>Allied-Moulded-PLLPVC1212.jpg</t>
  </si>
  <si>
    <t>Allied-Moulded-PLPVC206.jpg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</si>
</sst>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_);\(0.00\)"/>
  </numFmts>
  <fonts count="29">
    <font>
      <sz val="11"/>
      <color theme="1"/>
      <name val="Calibri"/>
      <family val="2"/>
      <scheme val="minor"/>
    </font>
    <font>
      <sz val="10"/>
      <name val="Verdana"/>
      <family val="2"/>
    </font>
    <font>
      <b/>
      <sz val="10"/>
      <name val="Arial"/>
      <family val="2"/>
    </font>
    <font>
      <sz val="10"/>
      <name val="Arial"/>
      <family val="2"/>
    </font>
    <font>
      <sz val="12"/>
      <color theme="1"/>
      <name val="Calibri"/>
      <family val="2"/>
      <scheme val="minor"/>
    </font>
    <font>
      <sz val="10"/>
      <color indexed="8"/>
      <name val="Arial"/>
      <family val="2"/>
    </font>
    <font>
      <b/>
      <sz val="12"/>
      <color indexed="63"/>
      <name val="Calibri"/>
      <family val="1"/>
      <charset val="136"/>
    </font>
    <font>
      <b/>
      <sz val="14"/>
      <name val="Verdana"/>
      <family val="2"/>
    </font>
    <font>
      <b/>
      <sz val="14"/>
      <color theme="1"/>
      <name val="Calibri"/>
      <family val="2"/>
      <scheme val="minor"/>
    </font>
    <font>
      <b/>
      <sz val="14"/>
      <name val="Arial"/>
      <family val="2"/>
    </font>
    <font>
      <b/>
      <sz val="10"/>
      <name val="Verdana"/>
      <family val="2"/>
    </font>
    <font>
      <sz val="8"/>
      <color rgb="FF231F20"/>
      <name val="Arial"/>
      <family val="34"/>
    </font>
    <font>
      <b/>
      <sz val="12"/>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2"/>
      <color rgb="FF231F20"/>
      <name val="Arial"/>
      <family val="2"/>
    </font>
    <font>
      <sz val="8"/>
      <color rgb="FF231F20"/>
      <name val="Calibri"/>
      <family val="2"/>
      <scheme val="minor"/>
    </font>
    <font>
      <b/>
      <sz val="12"/>
      <name val="Calibri"/>
      <family val="2"/>
      <scheme val="minor"/>
    </font>
    <font>
      <b/>
      <sz val="12"/>
      <color rgb="FF231F20"/>
      <name val="Calibri"/>
      <family val="2"/>
      <scheme val="minor"/>
    </font>
    <font>
      <sz val="11"/>
      <color rgb="FF444444"/>
      <name val="Calibri"/>
      <family val="2"/>
      <charset val="1"/>
    </font>
    <font>
      <sz val="12"/>
      <color rgb="FF000000"/>
      <name val="Aptos"/>
      <family val="2"/>
    </font>
    <font>
      <sz val="11"/>
      <color rgb="FF000000"/>
      <name val="Calibri"/>
      <family val="2"/>
    </font>
    <font>
      <sz val="11"/>
      <color rgb="FF000000"/>
      <name val="Calibri"/>
      <family val="2"/>
      <scheme val="minor"/>
    </font>
    <font>
      <b/>
      <sz val="10"/>
      <color rgb="FFFF0000"/>
      <name val="Arial"/>
      <family val="2"/>
    </font>
    <font>
      <sz val="12"/>
      <color rgb="FF000000"/>
      <name val="Calibri"/>
      <family val="2"/>
      <scheme val="minor"/>
    </font>
    <font>
      <b/>
      <sz val="10"/>
      <color rgb="FFFF0000"/>
      <name val="Verdana"/>
      <family val="2"/>
    </font>
    <font>
      <b/>
      <sz val="14"/>
      <color rgb="FF000000"/>
      <name val="Calibri"/>
      <family val="2"/>
      <scheme val="minor"/>
    </font>
    <font>
      <b/>
      <sz val="12"/>
      <color rgb="FF000000"/>
      <name val="Calibri"/>
      <family val="2"/>
      <scheme val="minor"/>
    </font>
  </fonts>
  <fills count="27">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theme="3"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00B050"/>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indexed="22"/>
      </patternFill>
    </fill>
    <fill>
      <patternFill patternType="solid">
        <fgColor rgb="FFFFC000"/>
        <bgColor indexed="64"/>
      </patternFill>
    </fill>
    <fill>
      <patternFill patternType="solid">
        <fgColor rgb="FF00FF00"/>
        <bgColor indexed="64"/>
      </patternFill>
    </fill>
    <fill>
      <patternFill patternType="solid">
        <fgColor rgb="FFDCDDDE"/>
      </patternFill>
    </fill>
    <fill>
      <patternFill patternType="solid">
        <fgColor rgb="FFFFFFFF"/>
      </patternFill>
    </fill>
    <fill>
      <patternFill patternType="solid">
        <fgColor theme="9" tint="0.79998168889431442"/>
        <bgColor indexed="64"/>
      </patternFill>
    </fill>
    <fill>
      <patternFill patternType="solid">
        <fgColor rgb="FF87CEEB"/>
        <bgColor indexed="64"/>
      </patternFill>
    </fill>
    <fill>
      <patternFill patternType="solid">
        <fgColor rgb="FFFF0000"/>
        <bgColor rgb="FF000000"/>
      </patternFill>
    </fill>
    <fill>
      <patternFill patternType="solid">
        <fgColor rgb="FF00B0F0"/>
        <bgColor rgb="FF000000"/>
      </patternFill>
    </fill>
    <fill>
      <patternFill patternType="solid">
        <fgColor rgb="FFFFC000"/>
        <bgColor rgb="FF000000"/>
      </patternFill>
    </fill>
    <fill>
      <patternFill patternType="solid">
        <fgColor rgb="FFD6DCE4"/>
        <bgColor rgb="FF000000"/>
      </patternFill>
    </fill>
    <fill>
      <patternFill patternType="solid">
        <fgColor rgb="FFFCE4D6"/>
        <bgColor rgb="FF000000"/>
      </patternFill>
    </fill>
    <fill>
      <patternFill patternType="solid">
        <fgColor rgb="FFFFFF00"/>
        <bgColor rgb="FF000000"/>
      </patternFill>
    </fill>
  </fills>
  <borders count="15">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right style="medium">
        <color indexed="64"/>
      </right>
      <top/>
      <bottom/>
      <diagonal/>
    </border>
    <border>
      <left/>
      <right style="medium">
        <color indexed="64"/>
      </right>
      <top style="medium">
        <color indexed="64"/>
      </top>
      <bottom/>
      <diagonal/>
    </border>
    <border>
      <left style="thin">
        <color indexed="63"/>
      </left>
      <right style="thin">
        <color indexed="63"/>
      </right>
      <top style="thin">
        <color indexed="63"/>
      </top>
      <bottom style="thin">
        <color indexed="63"/>
      </bottom>
      <diagonal/>
    </border>
    <border>
      <left/>
      <right/>
      <top style="thin">
        <color rgb="FF231F20"/>
      </top>
      <bottom/>
      <diagonal/>
    </border>
    <border>
      <left style="thin">
        <color rgb="FF231F20"/>
      </left>
      <right/>
      <top style="thin">
        <color rgb="FF231F20"/>
      </top>
      <bottom/>
      <diagonal/>
    </border>
    <border>
      <left style="thin">
        <color rgb="FF231F20"/>
      </left>
      <right/>
      <top/>
      <bottom/>
      <diagonal/>
    </border>
    <border>
      <left/>
      <right style="thin">
        <color rgb="FF231F20"/>
      </right>
      <top style="thin">
        <color rgb="FF231F20"/>
      </top>
      <bottom/>
      <diagonal/>
    </border>
    <border>
      <left/>
      <right style="thin">
        <color rgb="FF231F20"/>
      </right>
      <top/>
      <bottom/>
      <diagonal/>
    </border>
    <border>
      <left/>
      <right/>
      <top/>
      <bottom style="thin">
        <color rgb="FF231F20"/>
      </bottom>
      <diagonal/>
    </border>
    <border>
      <left style="thin">
        <color rgb="FF231F20"/>
      </left>
      <right/>
      <top/>
      <bottom style="thin">
        <color rgb="FF231F20"/>
      </bottom>
      <diagonal/>
    </border>
    <border>
      <left/>
      <right/>
      <top style="thin">
        <color indexed="64"/>
      </top>
      <bottom style="thin">
        <color indexed="64"/>
      </bottom>
      <diagonal/>
    </border>
    <border>
      <left/>
      <right/>
      <top style="medium">
        <color indexed="64"/>
      </top>
      <bottom style="thin">
        <color indexed="64"/>
      </bottom>
      <diagonal/>
    </border>
  </borders>
  <cellStyleXfs count="7">
    <xf numFmtId="0" fontId="0" fillId="0" borderId="0"/>
    <xf numFmtId="0" fontId="4" fillId="0" borderId="0"/>
    <xf numFmtId="0" fontId="5" fillId="0" borderId="0"/>
    <xf numFmtId="0" fontId="6" fillId="14" borderId="5" applyNumberFormat="0" applyAlignment="0" applyProtection="0">
      <alignment vertical="center"/>
    </xf>
    <xf numFmtId="44" fontId="13" fillId="0" borderId="0" applyFont="0" applyFill="0" applyBorder="0" applyAlignment="0" applyProtection="0"/>
    <xf numFmtId="0" fontId="1" fillId="0" borderId="0"/>
    <xf numFmtId="0" fontId="1" fillId="0" borderId="0"/>
  </cellStyleXfs>
  <cellXfs count="266">
    <xf numFmtId="0" fontId="0" fillId="0" borderId="0" xfId="0"/>
    <xf numFmtId="0" fontId="0" fillId="2" borderId="0" xfId="0" applyFill="1" applyAlignment="1">
      <alignment vertical="top"/>
    </xf>
    <xf numFmtId="0" fontId="0" fillId="3" borderId="0" xfId="0" applyFill="1" applyAlignment="1">
      <alignment vertical="top"/>
    </xf>
    <xf numFmtId="0" fontId="0" fillId="0" borderId="0" xfId="0" applyAlignment="1">
      <alignment vertical="top"/>
    </xf>
    <xf numFmtId="0" fontId="0" fillId="0" borderId="0" xfId="0" applyAlignment="1">
      <alignment vertical="top" wrapText="1"/>
    </xf>
    <xf numFmtId="0" fontId="0" fillId="4" borderId="0" xfId="0" applyFill="1" applyAlignment="1">
      <alignment vertical="top"/>
    </xf>
    <xf numFmtId="2" fontId="0" fillId="0" borderId="0" xfId="0" applyNumberFormat="1" applyAlignment="1">
      <alignment vertical="top"/>
    </xf>
    <xf numFmtId="1" fontId="0" fillId="0" borderId="0" xfId="0" applyNumberFormat="1" applyAlignment="1">
      <alignment vertical="top"/>
    </xf>
    <xf numFmtId="0" fontId="0" fillId="5" borderId="0" xfId="0" applyFill="1" applyAlignment="1">
      <alignment vertical="top"/>
    </xf>
    <xf numFmtId="2" fontId="0" fillId="5" borderId="0" xfId="0" applyNumberFormat="1" applyFill="1" applyAlignment="1">
      <alignment vertical="top"/>
    </xf>
    <xf numFmtId="2" fontId="0" fillId="2" borderId="0" xfId="0" applyNumberFormat="1" applyFill="1" applyAlignment="1">
      <alignment vertical="top"/>
    </xf>
    <xf numFmtId="0" fontId="0" fillId="0" borderId="0" xfId="0" applyAlignment="1">
      <alignment horizontal="center"/>
    </xf>
    <xf numFmtId="10" fontId="0" fillId="0" borderId="0" xfId="0" applyNumberFormat="1" applyAlignment="1">
      <alignment vertical="top"/>
    </xf>
    <xf numFmtId="0" fontId="1" fillId="6" borderId="0" xfId="0" applyFont="1" applyFill="1" applyAlignment="1">
      <alignment vertical="top"/>
    </xf>
    <xf numFmtId="0" fontId="2" fillId="0" borderId="0" xfId="0" applyFont="1"/>
    <xf numFmtId="0" fontId="0" fillId="3" borderId="0" xfId="0" applyFill="1"/>
    <xf numFmtId="0" fontId="3" fillId="0" borderId="0" xfId="0" applyFont="1" applyAlignment="1">
      <alignment vertical="top"/>
    </xf>
    <xf numFmtId="4" fontId="0" fillId="2" borderId="2" xfId="0" applyNumberFormat="1" applyFill="1" applyBorder="1"/>
    <xf numFmtId="9" fontId="0" fillId="0" borderId="0" xfId="0" applyNumberFormat="1" applyAlignment="1">
      <alignment vertical="top"/>
    </xf>
    <xf numFmtId="0" fontId="1" fillId="0" borderId="0" xfId="0" applyFont="1" applyAlignment="1">
      <alignment vertical="top"/>
    </xf>
    <xf numFmtId="0" fontId="0" fillId="9" borderId="0" xfId="0" applyFill="1"/>
    <xf numFmtId="0" fontId="0" fillId="10" borderId="0" xfId="0" applyFill="1"/>
    <xf numFmtId="0" fontId="0" fillId="11" borderId="0" xfId="0" applyFill="1" applyAlignment="1">
      <alignment vertical="top"/>
    </xf>
    <xf numFmtId="0" fontId="1" fillId="0" borderId="3" xfId="0" applyFont="1" applyBorder="1" applyAlignment="1">
      <alignment vertical="center" wrapText="1"/>
    </xf>
    <xf numFmtId="0" fontId="0" fillId="12" borderId="0" xfId="0" applyFill="1"/>
    <xf numFmtId="0" fontId="3" fillId="7" borderId="0" xfId="0" applyFont="1" applyFill="1" applyProtection="1">
      <protection locked="0"/>
    </xf>
    <xf numFmtId="0" fontId="3" fillId="0" borderId="0" xfId="0" applyFont="1" applyAlignment="1">
      <alignment horizontal="left" vertical="top"/>
    </xf>
    <xf numFmtId="0" fontId="3" fillId="0" borderId="0" xfId="0" applyFont="1" applyAlignment="1">
      <alignment horizontal="left" vertical="top" wrapText="1"/>
    </xf>
    <xf numFmtId="0" fontId="8" fillId="0" borderId="1" xfId="0" applyFont="1" applyBorder="1" applyAlignment="1">
      <alignment vertical="top"/>
    </xf>
    <xf numFmtId="0" fontId="10" fillId="0" borderId="0" xfId="0" applyFont="1" applyAlignment="1">
      <alignment vertical="top"/>
    </xf>
    <xf numFmtId="49" fontId="5" fillId="0" borderId="0" xfId="2" applyNumberFormat="1" applyAlignment="1">
      <alignment vertical="top"/>
    </xf>
    <xf numFmtId="49" fontId="0" fillId="0" borderId="0" xfId="0" applyNumberFormat="1" applyAlignment="1">
      <alignment vertical="top"/>
    </xf>
    <xf numFmtId="49" fontId="1" fillId="0" borderId="0" xfId="0" applyNumberFormat="1" applyFont="1" applyAlignment="1">
      <alignment vertical="top"/>
    </xf>
    <xf numFmtId="0" fontId="0" fillId="17" borderId="7" xfId="0" applyFill="1" applyBorder="1" applyAlignment="1">
      <alignment horizontal="left" vertical="top" wrapText="1"/>
    </xf>
    <xf numFmtId="0" fontId="0" fillId="18" borderId="8" xfId="0" applyFill="1" applyBorder="1" applyAlignment="1">
      <alignment horizontal="left" vertical="top" wrapText="1"/>
    </xf>
    <xf numFmtId="0" fontId="0" fillId="17" borderId="8" xfId="0" applyFill="1" applyBorder="1" applyAlignment="1">
      <alignment horizontal="left" vertical="top" wrapText="1"/>
    </xf>
    <xf numFmtId="0" fontId="0" fillId="18" borderId="7" xfId="0" applyFill="1" applyBorder="1" applyAlignment="1">
      <alignment horizontal="left" vertical="top" wrapText="1"/>
    </xf>
    <xf numFmtId="0" fontId="0" fillId="4" borderId="0" xfId="0" applyFill="1" applyAlignment="1">
      <alignment vertical="top" wrapText="1"/>
    </xf>
    <xf numFmtId="0" fontId="0" fillId="17" borderId="6" xfId="0" applyFill="1" applyBorder="1" applyAlignment="1">
      <alignment horizontal="left" vertical="top" wrapText="1"/>
    </xf>
    <xf numFmtId="0" fontId="0" fillId="18" borderId="0" xfId="0" applyFill="1" applyAlignment="1">
      <alignment horizontal="left" vertical="top" wrapText="1"/>
    </xf>
    <xf numFmtId="0" fontId="0" fillId="17" borderId="0" xfId="0" applyFill="1" applyAlignment="1">
      <alignment horizontal="left" vertical="top" wrapText="1"/>
    </xf>
    <xf numFmtId="0" fontId="0" fillId="18" borderId="6" xfId="0" applyFill="1" applyBorder="1" applyAlignment="1">
      <alignment horizontal="left" vertical="top" wrapText="1"/>
    </xf>
    <xf numFmtId="0" fontId="0" fillId="18" borderId="9" xfId="0" applyFill="1" applyBorder="1" applyAlignment="1">
      <alignment horizontal="left" vertical="top" wrapText="1"/>
    </xf>
    <xf numFmtId="0" fontId="0" fillId="17" borderId="10" xfId="0" applyFill="1" applyBorder="1" applyAlignment="1">
      <alignment horizontal="left" vertical="top" wrapText="1"/>
    </xf>
    <xf numFmtId="0" fontId="0" fillId="18" borderId="10" xfId="0" applyFill="1" applyBorder="1" applyAlignment="1">
      <alignment horizontal="left" vertical="top" wrapText="1"/>
    </xf>
    <xf numFmtId="0" fontId="0" fillId="2" borderId="0" xfId="0" applyFill="1"/>
    <xf numFmtId="10" fontId="0" fillId="2" borderId="0" xfId="0" applyNumberFormat="1" applyFill="1" applyAlignment="1">
      <alignment vertical="top"/>
    </xf>
    <xf numFmtId="0" fontId="11" fillId="18" borderId="0" xfId="0" applyFont="1" applyFill="1" applyAlignment="1">
      <alignment horizontal="left" vertical="top" wrapText="1"/>
    </xf>
    <xf numFmtId="0" fontId="0" fillId="17" borderId="9" xfId="0" applyFill="1" applyBorder="1" applyAlignment="1">
      <alignment horizontal="left" vertical="top" wrapText="1"/>
    </xf>
    <xf numFmtId="0" fontId="0" fillId="17" borderId="7" xfId="0" applyFill="1" applyBorder="1" applyAlignment="1">
      <alignment horizontal="center" vertical="top" wrapText="1"/>
    </xf>
    <xf numFmtId="0" fontId="0" fillId="18" borderId="8" xfId="0" applyFill="1" applyBorder="1" applyAlignment="1">
      <alignment horizontal="center" vertical="top" wrapText="1"/>
    </xf>
    <xf numFmtId="0" fontId="0" fillId="17" borderId="8" xfId="0" applyFill="1" applyBorder="1" applyAlignment="1">
      <alignment horizontal="center" vertical="top" wrapText="1"/>
    </xf>
    <xf numFmtId="0" fontId="0" fillId="18" borderId="7" xfId="0" applyFill="1" applyBorder="1" applyAlignment="1">
      <alignment horizontal="center" vertical="top" wrapText="1"/>
    </xf>
    <xf numFmtId="0" fontId="11" fillId="18" borderId="8" xfId="0" applyFont="1" applyFill="1" applyBorder="1" applyAlignment="1">
      <alignment horizontal="left" vertical="top" wrapText="1"/>
    </xf>
    <xf numFmtId="0" fontId="0" fillId="18" borderId="0" xfId="0" applyFill="1" applyAlignment="1">
      <alignment horizontal="center" vertical="top" wrapText="1"/>
    </xf>
    <xf numFmtId="0" fontId="0" fillId="5" borderId="0" xfId="0" applyFill="1"/>
    <xf numFmtId="0" fontId="3" fillId="2" borderId="0" xfId="0" applyFont="1" applyFill="1" applyAlignment="1">
      <alignment vertical="top"/>
    </xf>
    <xf numFmtId="9" fontId="0" fillId="2" borderId="0" xfId="0" applyNumberFormat="1" applyFill="1" applyAlignment="1">
      <alignment vertical="top"/>
    </xf>
    <xf numFmtId="0" fontId="0" fillId="17" borderId="0" xfId="0" applyFill="1" applyAlignment="1">
      <alignment horizontal="center" vertical="top" wrapText="1"/>
    </xf>
    <xf numFmtId="49" fontId="0" fillId="0" borderId="0" xfId="0" applyNumberFormat="1"/>
    <xf numFmtId="49" fontId="5" fillId="2" borderId="0" xfId="2" applyNumberFormat="1" applyFill="1" applyAlignment="1">
      <alignment vertical="top"/>
    </xf>
    <xf numFmtId="49" fontId="0" fillId="2" borderId="0" xfId="0" applyNumberFormat="1" applyFill="1" applyAlignment="1">
      <alignment vertical="top"/>
    </xf>
    <xf numFmtId="0" fontId="0" fillId="0" borderId="0" xfId="0" applyAlignment="1">
      <alignment horizontal="center" vertical="top"/>
    </xf>
    <xf numFmtId="2" fontId="16" fillId="16" borderId="7" xfId="0" applyNumberFormat="1" applyFont="1" applyFill="1" applyBorder="1" applyAlignment="1">
      <alignment horizontal="center" vertical="top" wrapText="1"/>
    </xf>
    <xf numFmtId="2" fontId="16" fillId="16" borderId="8" xfId="0" applyNumberFormat="1" applyFont="1" applyFill="1" applyBorder="1" applyAlignment="1">
      <alignment horizontal="center" vertical="top" wrapText="1"/>
    </xf>
    <xf numFmtId="2" fontId="4" fillId="5" borderId="0" xfId="0" applyNumberFormat="1" applyFont="1" applyFill="1" applyAlignment="1">
      <alignment horizontal="center"/>
    </xf>
    <xf numFmtId="2" fontId="15" fillId="5" borderId="0" xfId="0" applyNumberFormat="1" applyFont="1" applyFill="1" applyAlignment="1">
      <alignment horizontal="center" vertical="top"/>
    </xf>
    <xf numFmtId="2" fontId="18" fillId="16" borderId="0" xfId="0" applyNumberFormat="1" applyFont="1" applyFill="1" applyAlignment="1">
      <alignment horizontal="center" vertical="center"/>
    </xf>
    <xf numFmtId="2" fontId="19" fillId="16" borderId="7" xfId="0" applyNumberFormat="1" applyFont="1" applyFill="1" applyBorder="1" applyAlignment="1">
      <alignment horizontal="center" vertical="top" wrapText="1"/>
    </xf>
    <xf numFmtId="2" fontId="19" fillId="16" borderId="8" xfId="0" applyNumberFormat="1" applyFont="1" applyFill="1" applyBorder="1" applyAlignment="1">
      <alignment horizontal="center" vertical="top" wrapText="1"/>
    </xf>
    <xf numFmtId="2" fontId="18" fillId="16" borderId="0" xfId="0" applyNumberFormat="1" applyFont="1" applyFill="1" applyAlignment="1">
      <alignment vertical="center"/>
    </xf>
    <xf numFmtId="164" fontId="18" fillId="16" borderId="13" xfId="4" applyNumberFormat="1" applyFont="1" applyFill="1" applyBorder="1" applyAlignment="1">
      <alignment horizontal="center"/>
    </xf>
    <xf numFmtId="2" fontId="18" fillId="16" borderId="0" xfId="0" applyNumberFormat="1" applyFont="1" applyFill="1"/>
    <xf numFmtId="2" fontId="12" fillId="5" borderId="0" xfId="0" applyNumberFormat="1" applyFont="1" applyFill="1" applyAlignment="1">
      <alignment horizontal="center" vertical="top"/>
    </xf>
    <xf numFmtId="2" fontId="19" fillId="16" borderId="0" xfId="0" applyNumberFormat="1" applyFont="1" applyFill="1" applyAlignment="1">
      <alignment horizontal="center" vertical="top" wrapText="1"/>
    </xf>
    <xf numFmtId="2" fontId="19" fillId="16" borderId="11" xfId="0" applyNumberFormat="1" applyFont="1" applyFill="1" applyBorder="1" applyAlignment="1">
      <alignment horizontal="center" vertical="top" wrapText="1"/>
    </xf>
    <xf numFmtId="0" fontId="0" fillId="17" borderId="6" xfId="0" applyFill="1" applyBorder="1" applyAlignment="1">
      <alignment horizontal="center" vertical="top" wrapText="1"/>
    </xf>
    <xf numFmtId="0" fontId="0" fillId="18" borderId="6" xfId="0" applyFill="1" applyBorder="1" applyAlignment="1">
      <alignment horizontal="center" vertical="top" wrapText="1"/>
    </xf>
    <xf numFmtId="0" fontId="1" fillId="0" borderId="3" xfId="0" applyFont="1" applyBorder="1" applyAlignment="1">
      <alignment vertical="center"/>
    </xf>
    <xf numFmtId="0" fontId="20" fillId="0" borderId="0" xfId="0" applyFont="1"/>
    <xf numFmtId="0" fontId="1" fillId="0" borderId="0" xfId="0" applyFont="1" applyAlignment="1">
      <alignment vertical="center" wrapText="1"/>
    </xf>
    <xf numFmtId="0" fontId="0" fillId="0" borderId="3" xfId="0" applyBorder="1" applyAlignment="1">
      <alignment vertical="top"/>
    </xf>
    <xf numFmtId="0" fontId="0" fillId="17" borderId="3" xfId="0" applyFill="1" applyBorder="1" applyAlignment="1">
      <alignment horizontal="left" vertical="top" wrapText="1"/>
    </xf>
    <xf numFmtId="0" fontId="0" fillId="3" borderId="3" xfId="0" applyFill="1" applyBorder="1" applyAlignment="1">
      <alignment vertical="top"/>
    </xf>
    <xf numFmtId="0" fontId="0" fillId="2" borderId="3" xfId="0" applyFill="1" applyBorder="1"/>
    <xf numFmtId="0" fontId="0" fillId="0" borderId="12" xfId="0" applyBorder="1"/>
    <xf numFmtId="0" fontId="1" fillId="0" borderId="0" xfId="0" applyFont="1" applyAlignment="1">
      <alignment vertical="center"/>
    </xf>
    <xf numFmtId="0" fontId="0" fillId="0" borderId="3" xfId="0" applyBorder="1"/>
    <xf numFmtId="0" fontId="0" fillId="0" borderId="0" xfId="0" applyAlignment="1">
      <alignment horizontal="left" vertical="top"/>
    </xf>
    <xf numFmtId="0" fontId="2" fillId="0" borderId="0" xfId="0" applyFont="1" applyAlignment="1">
      <alignment horizontal="left"/>
    </xf>
    <xf numFmtId="0" fontId="8" fillId="0" borderId="1" xfId="0" applyFont="1" applyBorder="1" applyAlignment="1">
      <alignment horizontal="left" vertical="top"/>
    </xf>
    <xf numFmtId="2" fontId="0" fillId="2" borderId="8" xfId="0" applyNumberFormat="1" applyFill="1" applyBorder="1" applyAlignment="1">
      <alignment vertical="top"/>
    </xf>
    <xf numFmtId="164" fontId="18" fillId="16" borderId="8" xfId="0" applyNumberFormat="1" applyFont="1" applyFill="1" applyBorder="1" applyAlignment="1">
      <alignment horizontal="center"/>
    </xf>
    <xf numFmtId="0" fontId="21" fillId="0" borderId="0" xfId="0" applyFont="1"/>
    <xf numFmtId="0" fontId="1" fillId="0" borderId="6" xfId="0" applyFont="1" applyBorder="1" applyAlignment="1">
      <alignment vertical="center" wrapText="1"/>
    </xf>
    <xf numFmtId="0" fontId="0" fillId="18" borderId="3" xfId="0" applyFill="1" applyBorder="1" applyAlignment="1">
      <alignment horizontal="left" vertical="top" wrapText="1"/>
    </xf>
    <xf numFmtId="2" fontId="0" fillId="0" borderId="7" xfId="0" applyNumberFormat="1" applyBorder="1" applyAlignment="1">
      <alignment vertical="top"/>
    </xf>
    <xf numFmtId="2" fontId="0" fillId="0" borderId="8" xfId="0" applyNumberFormat="1" applyBorder="1" applyAlignment="1">
      <alignment vertical="top"/>
    </xf>
    <xf numFmtId="2" fontId="18" fillId="16" borderId="7" xfId="0" applyNumberFormat="1" applyFont="1" applyFill="1" applyBorder="1" applyAlignment="1">
      <alignment horizontal="center" vertical="center"/>
    </xf>
    <xf numFmtId="2" fontId="18" fillId="16" borderId="8" xfId="0" applyNumberFormat="1" applyFont="1" applyFill="1" applyBorder="1" applyAlignment="1">
      <alignment horizontal="center" vertical="center"/>
    </xf>
    <xf numFmtId="0" fontId="22" fillId="0" borderId="0" xfId="0" applyFont="1"/>
    <xf numFmtId="0" fontId="0" fillId="0" borderId="4" xfId="0" applyBorder="1"/>
    <xf numFmtId="0" fontId="0" fillId="0" borderId="4" xfId="0" applyBorder="1" applyAlignment="1">
      <alignment vertical="top"/>
    </xf>
    <xf numFmtId="0" fontId="0" fillId="3" borderId="3" xfId="0" applyFill="1" applyBorder="1" applyAlignment="1">
      <alignment horizontal="left" vertical="top" wrapText="1"/>
    </xf>
    <xf numFmtId="0" fontId="1" fillId="0" borderId="10" xfId="0" applyFont="1" applyBorder="1" applyAlignment="1">
      <alignment vertical="center" wrapText="1"/>
    </xf>
    <xf numFmtId="0" fontId="1" fillId="0" borderId="0" xfId="0" applyFont="1" applyAlignment="1">
      <alignment vertical="top" wrapText="1"/>
    </xf>
    <xf numFmtId="0" fontId="0" fillId="0" borderId="8" xfId="0" applyBorder="1"/>
    <xf numFmtId="0" fontId="0" fillId="0" borderId="7" xfId="0" applyBorder="1"/>
    <xf numFmtId="0" fontId="3" fillId="0" borderId="0" xfId="0" applyFont="1" applyProtection="1">
      <protection locked="0"/>
    </xf>
    <xf numFmtId="0" fontId="1" fillId="0" borderId="9" xfId="0" applyFont="1" applyBorder="1" applyAlignment="1">
      <alignment vertical="center" wrapText="1"/>
    </xf>
    <xf numFmtId="0" fontId="0" fillId="3" borderId="6" xfId="0" applyFill="1" applyBorder="1" applyAlignment="1">
      <alignment horizontal="left" vertical="top" wrapText="1"/>
    </xf>
    <xf numFmtId="0" fontId="0" fillId="18" borderId="11" xfId="0" applyFill="1" applyBorder="1" applyAlignment="1">
      <alignment horizontal="left" vertical="top" wrapText="1"/>
    </xf>
    <xf numFmtId="2" fontId="12" fillId="16" borderId="0" xfId="0" applyNumberFormat="1" applyFont="1" applyFill="1" applyAlignment="1">
      <alignment horizontal="center"/>
    </xf>
    <xf numFmtId="2" fontId="0" fillId="0" borderId="0" xfId="0" applyNumberFormat="1" applyAlignment="1">
      <alignment horizontal="right" vertical="top"/>
    </xf>
    <xf numFmtId="0" fontId="0" fillId="0" borderId="0" xfId="0" applyAlignment="1">
      <alignment horizontal="right"/>
    </xf>
    <xf numFmtId="0" fontId="0" fillId="18" borderId="0" xfId="0" applyFill="1" applyAlignment="1">
      <alignment horizontal="right" vertical="top" wrapText="1"/>
    </xf>
    <xf numFmtId="0" fontId="0" fillId="17" borderId="0" xfId="0" applyFill="1" applyAlignment="1">
      <alignment horizontal="right" vertical="top" wrapText="1"/>
    </xf>
    <xf numFmtId="0" fontId="1" fillId="2" borderId="0" xfId="0" applyFont="1" applyFill="1" applyAlignment="1">
      <alignment vertical="center"/>
    </xf>
    <xf numFmtId="0" fontId="1" fillId="2" borderId="10" xfId="0" applyFont="1" applyFill="1" applyBorder="1" applyAlignment="1">
      <alignment vertical="center"/>
    </xf>
    <xf numFmtId="0" fontId="1" fillId="0" borderId="6" xfId="0" applyFont="1" applyBorder="1" applyAlignment="1">
      <alignment vertical="top"/>
    </xf>
    <xf numFmtId="2" fontId="18" fillId="16" borderId="13" xfId="0" applyNumberFormat="1" applyFont="1" applyFill="1" applyBorder="1" applyAlignment="1">
      <alignment horizontal="center" vertical="center"/>
    </xf>
    <xf numFmtId="2" fontId="18" fillId="16" borderId="14" xfId="0" applyNumberFormat="1" applyFont="1" applyFill="1" applyBorder="1" applyAlignment="1">
      <alignment horizontal="center" vertical="center"/>
    </xf>
    <xf numFmtId="164" fontId="18" fillId="16" borderId="8" xfId="4" applyNumberFormat="1" applyFont="1" applyFill="1" applyBorder="1" applyAlignment="1">
      <alignment horizontal="center"/>
    </xf>
    <xf numFmtId="164" fontId="18" fillId="16" borderId="13" xfId="0" applyNumberFormat="1" applyFont="1" applyFill="1" applyBorder="1" applyAlignment="1">
      <alignment horizontal="center"/>
    </xf>
    <xf numFmtId="164" fontId="18" fillId="16" borderId="7" xfId="4" applyNumberFormat="1" applyFont="1" applyFill="1" applyBorder="1" applyAlignment="1">
      <alignment horizontal="center"/>
    </xf>
    <xf numFmtId="0" fontId="0" fillId="3" borderId="0" xfId="0" applyFill="1" applyAlignment="1">
      <alignment horizontal="left" vertical="top" wrapText="1"/>
    </xf>
    <xf numFmtId="0" fontId="11" fillId="17" borderId="0" xfId="0" applyFont="1" applyFill="1" applyAlignment="1">
      <alignment horizontal="left" vertical="top" wrapText="1"/>
    </xf>
    <xf numFmtId="0" fontId="0" fillId="19" borderId="3" xfId="0" applyFill="1" applyBorder="1"/>
    <xf numFmtId="0" fontId="0" fillId="19" borderId="3" xfId="0" applyFill="1" applyBorder="1" applyAlignment="1">
      <alignment vertical="top"/>
    </xf>
    <xf numFmtId="0" fontId="0" fillId="0" borderId="10" xfId="0" applyBorder="1" applyAlignment="1">
      <alignment horizontal="left" vertical="top" wrapText="1"/>
    </xf>
    <xf numFmtId="0" fontId="0" fillId="20" borderId="0" xfId="0" applyFill="1"/>
    <xf numFmtId="0" fontId="0" fillId="20" borderId="0" xfId="0" applyFill="1" applyAlignment="1">
      <alignment vertical="top"/>
    </xf>
    <xf numFmtId="0" fontId="1" fillId="20" borderId="0" xfId="0" applyFont="1" applyFill="1" applyAlignment="1">
      <alignment vertical="center" wrapText="1"/>
    </xf>
    <xf numFmtId="0" fontId="1" fillId="20" borderId="0" xfId="0" applyFont="1" applyFill="1" applyAlignment="1">
      <alignment vertical="top"/>
    </xf>
    <xf numFmtId="0" fontId="0" fillId="20" borderId="7" xfId="0" applyFill="1" applyBorder="1"/>
    <xf numFmtId="0" fontId="0" fillId="20" borderId="8" xfId="0" applyFill="1" applyBorder="1"/>
    <xf numFmtId="0" fontId="0" fillId="20" borderId="8" xfId="0" applyFill="1" applyBorder="1" applyAlignment="1">
      <alignment vertical="top" wrapText="1"/>
    </xf>
    <xf numFmtId="0" fontId="0" fillId="20" borderId="0" xfId="0" applyFill="1" applyAlignment="1">
      <alignment horizontal="left" vertical="top" wrapText="1"/>
    </xf>
    <xf numFmtId="0" fontId="0" fillId="20" borderId="7" xfId="0" applyFill="1" applyBorder="1" applyAlignment="1">
      <alignment horizontal="left" vertical="top" wrapText="1"/>
    </xf>
    <xf numFmtId="0" fontId="1" fillId="0" borderId="0" xfId="0" applyFont="1"/>
    <xf numFmtId="0" fontId="4" fillId="15" borderId="0" xfId="1" applyFill="1"/>
    <xf numFmtId="0" fontId="2" fillId="0" borderId="0" xfId="0" applyFont="1" applyAlignment="1">
      <alignment vertical="top"/>
    </xf>
    <xf numFmtId="2" fontId="2" fillId="0" borderId="0" xfId="0" applyNumberFormat="1" applyFont="1" applyAlignment="1">
      <alignment vertical="top"/>
    </xf>
    <xf numFmtId="2" fontId="2" fillId="0" borderId="0" xfId="0" applyNumberFormat="1" applyFont="1"/>
    <xf numFmtId="0" fontId="4" fillId="5" borderId="0" xfId="1" applyFill="1"/>
    <xf numFmtId="0" fontId="2" fillId="0" borderId="1" xfId="0" applyFont="1" applyBorder="1"/>
    <xf numFmtId="0" fontId="1" fillId="20" borderId="0" xfId="0" applyFont="1" applyFill="1" applyAlignment="1">
      <alignment vertical="center"/>
    </xf>
    <xf numFmtId="0" fontId="0" fillId="20" borderId="3" xfId="0" applyFill="1" applyBorder="1" applyAlignment="1">
      <alignment vertical="top"/>
    </xf>
    <xf numFmtId="0" fontId="3" fillId="20" borderId="3" xfId="0" applyFont="1" applyFill="1" applyBorder="1" applyAlignment="1">
      <alignment vertical="top"/>
    </xf>
    <xf numFmtId="0" fontId="1" fillId="20" borderId="3" xfId="0" applyFont="1" applyFill="1" applyBorder="1" applyAlignment="1">
      <alignment vertical="center" wrapText="1"/>
    </xf>
    <xf numFmtId="0" fontId="3" fillId="20" borderId="0" xfId="0" applyFont="1" applyFill="1" applyAlignment="1">
      <alignment vertical="top"/>
    </xf>
    <xf numFmtId="0" fontId="0" fillId="17" borderId="4" xfId="0" applyFill="1" applyBorder="1" applyAlignment="1">
      <alignment horizontal="left" vertical="top" wrapText="1"/>
    </xf>
    <xf numFmtId="0" fontId="11" fillId="18" borderId="10" xfId="0" applyFont="1" applyFill="1" applyBorder="1" applyAlignment="1">
      <alignment horizontal="left" vertical="top" wrapText="1"/>
    </xf>
    <xf numFmtId="0" fontId="1" fillId="0" borderId="11" xfId="0" applyFont="1" applyBorder="1" applyAlignment="1">
      <alignment vertical="center" wrapText="1"/>
    </xf>
    <xf numFmtId="2" fontId="0" fillId="0" borderId="11" xfId="0" applyNumberFormat="1" applyBorder="1" applyAlignment="1">
      <alignment vertical="top"/>
    </xf>
    <xf numFmtId="2" fontId="18" fillId="16" borderId="11" xfId="0" applyNumberFormat="1" applyFont="1" applyFill="1" applyBorder="1" applyAlignment="1">
      <alignment horizontal="center" vertical="center"/>
    </xf>
    <xf numFmtId="164" fontId="18" fillId="16" borderId="7" xfId="0" applyNumberFormat="1" applyFont="1" applyFill="1" applyBorder="1" applyAlignment="1">
      <alignment horizontal="center"/>
    </xf>
    <xf numFmtId="164" fontId="18" fillId="16" borderId="0" xfId="4" applyNumberFormat="1" applyFont="1" applyFill="1" applyBorder="1" applyAlignment="1">
      <alignment horizontal="center"/>
    </xf>
    <xf numFmtId="0" fontId="23" fillId="21" borderId="0" xfId="0" applyFont="1" applyFill="1" applyAlignment="1">
      <alignment vertical="top"/>
    </xf>
    <xf numFmtId="0" fontId="23" fillId="0" borderId="0" xfId="0" applyFont="1"/>
    <xf numFmtId="0" fontId="23" fillId="22" borderId="0" xfId="0" applyFont="1" applyFill="1" applyAlignment="1">
      <alignment vertical="top"/>
    </xf>
    <xf numFmtId="0" fontId="23" fillId="0" borderId="0" xfId="0" applyFont="1" applyAlignment="1">
      <alignment vertical="top"/>
    </xf>
    <xf numFmtId="0" fontId="23" fillId="23" borderId="0" xfId="0" applyFont="1" applyFill="1" applyAlignment="1">
      <alignment vertical="top"/>
    </xf>
    <xf numFmtId="0" fontId="24" fillId="0" borderId="0" xfId="0" applyFont="1" applyAlignment="1">
      <alignment horizontal="right"/>
    </xf>
    <xf numFmtId="0" fontId="24" fillId="0" borderId="0" xfId="0" applyFont="1" applyAlignment="1">
      <alignment horizontal="left"/>
    </xf>
    <xf numFmtId="0" fontId="23" fillId="24" borderId="0" xfId="0" applyFont="1" applyFill="1" applyAlignment="1">
      <alignment vertical="top"/>
    </xf>
    <xf numFmtId="2" fontId="23" fillId="0" borderId="0" xfId="0" applyNumberFormat="1" applyFont="1" applyAlignment="1">
      <alignment vertical="top"/>
    </xf>
    <xf numFmtId="0" fontId="23" fillId="0" borderId="0" xfId="0" applyFont="1" applyAlignment="1">
      <alignment horizontal="left" vertical="top"/>
    </xf>
    <xf numFmtId="0" fontId="23" fillId="5" borderId="0" xfId="0" applyFont="1" applyFill="1" applyAlignment="1">
      <alignment horizontal="left" vertical="top"/>
    </xf>
    <xf numFmtId="9" fontId="23" fillId="0" borderId="0" xfId="0" applyNumberFormat="1" applyFont="1" applyAlignment="1">
      <alignment vertical="top"/>
    </xf>
    <xf numFmtId="0" fontId="1" fillId="25" borderId="0" xfId="0" applyFont="1" applyFill="1" applyAlignment="1">
      <alignment vertical="top"/>
    </xf>
    <xf numFmtId="0" fontId="25" fillId="23" borderId="0" xfId="0" applyFont="1" applyFill="1"/>
    <xf numFmtId="0" fontId="26" fillId="0" borderId="0" xfId="0" applyFont="1" applyAlignment="1">
      <alignment vertical="top"/>
    </xf>
    <xf numFmtId="0" fontId="2" fillId="21" borderId="0" xfId="0" applyFont="1" applyFill="1" applyAlignment="1">
      <alignment vertical="top"/>
    </xf>
    <xf numFmtId="0" fontId="24" fillId="0" borderId="0" xfId="0" applyFont="1" applyAlignment="1">
      <alignment vertical="top"/>
    </xf>
    <xf numFmtId="0" fontId="2" fillId="22" borderId="0" xfId="0" applyFont="1" applyFill="1" applyAlignment="1">
      <alignment vertical="top"/>
    </xf>
    <xf numFmtId="0" fontId="2" fillId="23" borderId="0" xfId="0" applyFont="1" applyFill="1"/>
    <xf numFmtId="0" fontId="2" fillId="23" borderId="0" xfId="0" applyFont="1" applyFill="1" applyAlignment="1">
      <alignment vertical="top"/>
    </xf>
    <xf numFmtId="0" fontId="2" fillId="24" borderId="0" xfId="0" applyFont="1" applyFill="1" applyAlignment="1">
      <alignment vertical="top"/>
    </xf>
    <xf numFmtId="0" fontId="3" fillId="26" borderId="0" xfId="0" applyFont="1" applyFill="1"/>
    <xf numFmtId="0" fontId="24" fillId="26" borderId="0" xfId="0" applyFont="1" applyFill="1" applyAlignment="1">
      <alignment vertical="top"/>
    </xf>
    <xf numFmtId="0" fontId="2" fillId="26" borderId="0" xfId="0" applyFont="1" applyFill="1"/>
    <xf numFmtId="9" fontId="2" fillId="15" borderId="0" xfId="0" applyNumberFormat="1" applyFont="1" applyFill="1"/>
    <xf numFmtId="2" fontId="24" fillId="0" borderId="0" xfId="0" applyNumberFormat="1" applyFont="1" applyAlignment="1">
      <alignment vertical="top"/>
    </xf>
    <xf numFmtId="2" fontId="2" fillId="26" borderId="1" xfId="0" applyNumberFormat="1" applyFont="1" applyFill="1" applyBorder="1" applyAlignment="1">
      <alignment vertical="top"/>
    </xf>
    <xf numFmtId="2" fontId="2" fillId="21" borderId="0" xfId="0" applyNumberFormat="1" applyFont="1" applyFill="1" applyAlignment="1">
      <alignment vertical="top"/>
    </xf>
    <xf numFmtId="9" fontId="2" fillId="0" borderId="0" xfId="0" applyNumberFormat="1" applyFont="1"/>
    <xf numFmtId="0" fontId="2" fillId="25" borderId="0" xfId="0" applyFont="1" applyFill="1" applyAlignment="1">
      <alignment vertical="top"/>
    </xf>
    <xf numFmtId="0" fontId="7" fillId="0" borderId="1" xfId="0" applyFont="1" applyBorder="1" applyAlignment="1">
      <alignment vertical="top"/>
    </xf>
    <xf numFmtId="0" fontId="27" fillId="0" borderId="1" xfId="0" applyFont="1" applyBorder="1" applyAlignment="1">
      <alignment vertical="top"/>
    </xf>
    <xf numFmtId="0" fontId="27" fillId="20" borderId="1" xfId="0" applyFont="1" applyFill="1" applyBorder="1" applyAlignment="1">
      <alignment vertical="top"/>
    </xf>
    <xf numFmtId="0" fontId="27" fillId="0" borderId="1" xfId="0" applyFont="1" applyBorder="1"/>
    <xf numFmtId="0" fontId="28" fillId="23" borderId="1" xfId="0" applyFont="1" applyFill="1" applyBorder="1"/>
    <xf numFmtId="0" fontId="9" fillId="23" borderId="1" xfId="0" applyFont="1" applyFill="1" applyBorder="1" applyAlignment="1">
      <alignment vertical="top"/>
    </xf>
    <xf numFmtId="0" fontId="9" fillId="0" borderId="1" xfId="0" applyFont="1" applyBorder="1" applyAlignment="1">
      <alignment vertical="top"/>
    </xf>
    <xf numFmtId="0" fontId="27" fillId="24" borderId="1" xfId="0" applyFont="1" applyFill="1" applyBorder="1" applyAlignment="1">
      <alignment vertical="top"/>
    </xf>
    <xf numFmtId="2" fontId="27" fillId="0" borderId="1" xfId="0" applyNumberFormat="1" applyFont="1" applyBorder="1" applyAlignment="1">
      <alignment vertical="top"/>
    </xf>
    <xf numFmtId="0" fontId="28" fillId="23" borderId="1" xfId="0" applyFont="1" applyFill="1" applyBorder="1" applyAlignment="1">
      <alignment vertical="top"/>
    </xf>
    <xf numFmtId="0" fontId="27" fillId="26" borderId="1" xfId="0" applyFont="1" applyFill="1" applyBorder="1" applyAlignment="1">
      <alignment vertical="top"/>
    </xf>
    <xf numFmtId="9" fontId="27" fillId="0" borderId="1" xfId="0" applyNumberFormat="1" applyFont="1" applyBorder="1" applyAlignment="1">
      <alignment vertical="top"/>
    </xf>
    <xf numFmtId="2" fontId="27" fillId="26" borderId="1" xfId="0" applyNumberFormat="1" applyFont="1" applyFill="1" applyBorder="1" applyAlignment="1">
      <alignment vertical="top"/>
    </xf>
    <xf numFmtId="2" fontId="27" fillId="21" borderId="1" xfId="0" applyNumberFormat="1" applyFont="1" applyFill="1" applyBorder="1" applyAlignment="1">
      <alignment vertical="top"/>
    </xf>
    <xf numFmtId="9" fontId="27" fillId="0" borderId="1" xfId="0" applyNumberFormat="1" applyFont="1" applyBorder="1"/>
    <xf numFmtId="0" fontId="9" fillId="0" borderId="0" xfId="0" applyFont="1"/>
    <xf numFmtId="9" fontId="9" fillId="0" borderId="1" xfId="0" applyNumberFormat="1" applyFont="1" applyBorder="1"/>
    <xf numFmtId="0" fontId="7" fillId="25" borderId="1" xfId="0" applyFont="1" applyFill="1" applyBorder="1" applyAlignment="1">
      <alignment vertical="top"/>
    </xf>
    <xf numFmtId="0" fontId="0" fillId="19" borderId="0" xfId="0" applyFill="1"/>
    <xf numFmtId="0" fontId="1" fillId="0" borderId="0" xfId="0" applyFont="1" applyAlignment="1"/>
    <xf numFmtId="0" fontId="23" fillId="0" borderId="0" xfId="0" applyFont="1" applyAlignment="1"/>
    <xf numFmtId="0" fontId="25" fillId="23" borderId="0" xfId="0" applyFont="1" applyFill="1" applyAlignment="1"/>
    <xf numFmtId="0" fontId="2" fillId="0" borderId="0" xfId="0" applyFont="1" applyAlignment="1"/>
    <xf numFmtId="0" fontId="2" fillId="23" borderId="0" xfId="0" applyFont="1" applyFill="1" applyAlignment="1"/>
    <xf numFmtId="0" fontId="3" fillId="26" borderId="0" xfId="0" applyFont="1" applyFill="1" applyAlignment="1"/>
    <xf numFmtId="0" fontId="2" fillId="26" borderId="0" xfId="0" applyFont="1" applyFill="1" applyAlignment="1"/>
    <xf numFmtId="9" fontId="2" fillId="15" borderId="0" xfId="0" applyNumberFormat="1" applyFont="1" applyFill="1" applyAlignment="1"/>
    <xf numFmtId="2" fontId="2" fillId="0" borderId="0" xfId="0" applyNumberFormat="1" applyFont="1" applyAlignment="1"/>
    <xf numFmtId="9" fontId="2" fillId="0" borderId="0" xfId="0" applyNumberFormat="1" applyFont="1" applyAlignment="1"/>
    <xf numFmtId="0" fontId="2" fillId="0" borderId="1" xfId="0" applyFont="1" applyBorder="1" applyAlignment="1"/>
    <xf numFmtId="0" fontId="4" fillId="15" borderId="0" xfId="1" applyFill="1" applyAlignment="1"/>
    <xf numFmtId="0" fontId="4" fillId="5" borderId="0" xfId="1" applyFill="1" applyAlignment="1"/>
    <xf numFmtId="0" fontId="27" fillId="0" borderId="1" xfId="0" applyFont="1" applyBorder="1" applyAlignment="1"/>
    <xf numFmtId="0" fontId="28" fillId="23" borderId="1" xfId="0" applyFont="1" applyFill="1" applyBorder="1" applyAlignment="1"/>
    <xf numFmtId="0" fontId="0" fillId="0" borderId="0" xfId="0" applyAlignment="1"/>
    <xf numFmtId="9" fontId="27" fillId="0" borderId="1" xfId="0" applyNumberFormat="1" applyFont="1" applyBorder="1" applyAlignment="1"/>
    <xf numFmtId="0" fontId="9" fillId="0" borderId="0" xfId="0" applyFont="1" applyAlignment="1"/>
    <xf numFmtId="9" fontId="9" fillId="0" borderId="1" xfId="0" applyNumberFormat="1" applyFont="1" applyBorder="1" applyAlignment="1"/>
    <xf numFmtId="0" fontId="11" fillId="18" borderId="0" xfId="0" applyFont="1" applyFill="1" applyAlignment="1">
      <alignment horizontal="left" vertical="top"/>
    </xf>
    <xf numFmtId="0" fontId="22" fillId="0" borderId="0" xfId="0" applyFont="1" applyAlignment="1"/>
    <xf numFmtId="0" fontId="0" fillId="20" borderId="0" xfId="0" applyFill="1" applyAlignment="1"/>
    <xf numFmtId="0" fontId="0" fillId="18" borderId="0" xfId="0" applyFill="1" applyAlignment="1">
      <alignment horizontal="left" vertical="top"/>
    </xf>
    <xf numFmtId="49" fontId="0" fillId="0" borderId="0" xfId="0" applyNumberFormat="1" applyAlignment="1"/>
    <xf numFmtId="0" fontId="21" fillId="0" borderId="0" xfId="0" applyFont="1" applyAlignment="1"/>
    <xf numFmtId="2" fontId="19" fillId="16" borderId="0" xfId="0" applyNumberFormat="1" applyFont="1" applyFill="1" applyAlignment="1">
      <alignment horizontal="center" vertical="top"/>
    </xf>
    <xf numFmtId="4" fontId="0" fillId="2" borderId="2" xfId="0" applyNumberFormat="1" applyFill="1" applyBorder="1" applyAlignment="1"/>
    <xf numFmtId="0" fontId="0" fillId="17" borderId="0" xfId="0" applyFill="1" applyAlignment="1">
      <alignment horizontal="left" vertical="top"/>
    </xf>
    <xf numFmtId="0" fontId="0" fillId="0" borderId="3" xfId="0" applyBorder="1" applyAlignment="1"/>
    <xf numFmtId="0" fontId="0" fillId="18" borderId="3" xfId="0" applyFill="1" applyBorder="1" applyAlignment="1">
      <alignment horizontal="left" vertical="top"/>
    </xf>
    <xf numFmtId="0" fontId="0" fillId="17" borderId="3" xfId="0" applyFill="1" applyBorder="1" applyAlignment="1">
      <alignment horizontal="left" vertical="top"/>
    </xf>
    <xf numFmtId="0" fontId="0" fillId="18" borderId="0" xfId="0" applyFill="1" applyAlignment="1">
      <alignment horizontal="center" vertical="top"/>
    </xf>
    <xf numFmtId="0" fontId="0" fillId="17" borderId="0" xfId="0" applyFill="1" applyAlignment="1">
      <alignment horizontal="center" vertical="top"/>
    </xf>
    <xf numFmtId="0" fontId="0" fillId="17" borderId="8" xfId="0" applyFill="1" applyBorder="1" applyAlignment="1">
      <alignment horizontal="center" vertical="top"/>
    </xf>
    <xf numFmtId="0" fontId="1" fillId="13" borderId="0" xfId="0" applyFont="1" applyFill="1" applyAlignment="1">
      <alignment vertical="center"/>
    </xf>
    <xf numFmtId="0" fontId="0" fillId="18" borderId="9" xfId="0" applyFill="1" applyBorder="1" applyAlignment="1">
      <alignment horizontal="left" vertical="top"/>
    </xf>
    <xf numFmtId="0" fontId="0" fillId="18" borderId="7" xfId="0" applyFill="1" applyBorder="1" applyAlignment="1">
      <alignment horizontal="center" vertical="top"/>
    </xf>
    <xf numFmtId="2" fontId="19" fillId="16" borderId="13" xfId="0" applyNumberFormat="1" applyFont="1" applyFill="1" applyBorder="1" applyAlignment="1">
      <alignment horizontal="center" vertical="top"/>
    </xf>
    <xf numFmtId="0" fontId="0" fillId="18" borderId="10" xfId="0" applyFill="1" applyBorder="1" applyAlignment="1">
      <alignment horizontal="left" vertical="top"/>
    </xf>
    <xf numFmtId="0" fontId="0" fillId="18" borderId="8" xfId="0" applyFill="1" applyBorder="1" applyAlignment="1">
      <alignment horizontal="center" vertical="top"/>
    </xf>
    <xf numFmtId="0" fontId="0" fillId="2" borderId="0" xfId="0" applyFill="1" applyAlignment="1"/>
    <xf numFmtId="0" fontId="1" fillId="0" borderId="10" xfId="0" applyFont="1" applyBorder="1" applyAlignment="1">
      <alignment vertical="center"/>
    </xf>
    <xf numFmtId="0" fontId="0" fillId="17" borderId="10" xfId="0" applyFill="1" applyBorder="1" applyAlignment="1">
      <alignment horizontal="left" vertical="top"/>
    </xf>
    <xf numFmtId="0" fontId="0" fillId="17" borderId="8" xfId="0" applyFill="1" applyBorder="1" applyAlignment="1">
      <alignment horizontal="left" vertical="top"/>
    </xf>
    <xf numFmtId="0" fontId="1" fillId="0" borderId="6" xfId="0" applyFont="1" applyBorder="1" applyAlignment="1">
      <alignment vertical="center"/>
    </xf>
    <xf numFmtId="2" fontId="19" fillId="16" borderId="8" xfId="0" applyNumberFormat="1" applyFont="1" applyFill="1" applyBorder="1" applyAlignment="1">
      <alignment horizontal="center" vertical="top"/>
    </xf>
    <xf numFmtId="0" fontId="0" fillId="17" borderId="6" xfId="0" applyFill="1" applyBorder="1" applyAlignment="1">
      <alignment horizontal="left" vertical="top"/>
    </xf>
    <xf numFmtId="0" fontId="0" fillId="17" borderId="7" xfId="0" applyFill="1" applyBorder="1" applyAlignment="1">
      <alignment horizontal="center" vertical="top"/>
    </xf>
    <xf numFmtId="0" fontId="0" fillId="18" borderId="6" xfId="0" applyFill="1" applyBorder="1" applyAlignment="1">
      <alignment horizontal="left" vertical="top"/>
    </xf>
    <xf numFmtId="2" fontId="19" fillId="16" borderId="14" xfId="0" applyNumberFormat="1" applyFont="1" applyFill="1" applyBorder="1" applyAlignment="1">
      <alignment horizontal="center" vertical="top"/>
    </xf>
    <xf numFmtId="2" fontId="19" fillId="16" borderId="7" xfId="0" applyNumberFormat="1" applyFont="1" applyFill="1" applyBorder="1" applyAlignment="1">
      <alignment horizontal="center" vertical="top"/>
    </xf>
    <xf numFmtId="0" fontId="0" fillId="10" borderId="0" xfId="0" applyFill="1" applyAlignment="1"/>
    <xf numFmtId="0" fontId="0" fillId="3" borderId="0" xfId="0" applyFill="1" applyAlignment="1"/>
    <xf numFmtId="0" fontId="0" fillId="8" borderId="0" xfId="0" applyFill="1" applyAlignment="1"/>
    <xf numFmtId="0" fontId="0" fillId="19" borderId="0" xfId="0" applyFill="1" applyAlignment="1"/>
    <xf numFmtId="2" fontId="0" fillId="16" borderId="0" xfId="0" applyNumberFormat="1" applyFill="1" applyAlignment="1">
      <alignment vertical="top"/>
    </xf>
    <xf numFmtId="2" fontId="4" fillId="16" borderId="0" xfId="0" applyNumberFormat="1" applyFont="1" applyFill="1" applyAlignment="1">
      <alignment horizontal="center"/>
    </xf>
    <xf numFmtId="0" fontId="0" fillId="16" borderId="0" xfId="0" applyFill="1"/>
    <xf numFmtId="2" fontId="12" fillId="16" borderId="0" xfId="0" applyNumberFormat="1" applyFont="1" applyFill="1" applyAlignment="1">
      <alignment horizontal="center" vertical="top"/>
    </xf>
  </cellXfs>
  <cellStyles count="7">
    <cellStyle name="?_05 12Adn 2 2 2" xfId="3" xr:uid="{93466835-D983-4BBB-A328-329CE4927D9A}"/>
    <cellStyle name="Currency" xfId="4" builtinId="4"/>
    <cellStyle name="Normal" xfId="0" builtinId="0"/>
    <cellStyle name="Normal 2 101 2" xfId="6" xr:uid="{47E70914-D39B-4D56-A380-EF90338F8B54}"/>
    <cellStyle name="Normal 4" xfId="5" xr:uid="{BD8A2A95-B9A0-4790-83CE-816A48095926}"/>
    <cellStyle name="Normal 47" xfId="1" xr:uid="{93C92682-1562-47B9-86BA-0129CF53C9F5}"/>
    <cellStyle name="Normal_Sheet1" xfId="2" xr:uid="{FD1B3561-DFBB-4B1A-949E-707912705EC2}"/>
  </cellStyles>
  <dxfs count="3">
    <dxf>
      <fill>
        <patternFill patternType="solid">
          <fgColor rgb="FF00FF00"/>
          <bgColor rgb="FF000000"/>
        </patternFill>
      </fill>
    </dxf>
    <dxf>
      <fill>
        <patternFill patternType="solid">
          <fgColor rgb="FF00FF00"/>
          <bgColor rgb="FF000000"/>
        </patternFill>
      </fill>
    </dxf>
    <dxf>
      <fill>
        <patternFill patternType="solid">
          <fgColor rgb="FF00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1FD2-45EF-4A74-8D17-3FC5336E00B8}">
  <sheetPr codeName="Sheet1"/>
  <dimension ref="A1:CV743"/>
  <sheetViews>
    <sheetView zoomScale="85" zoomScaleNormal="85" workbookViewId="0">
      <pane xSplit="1" ySplit="3" topLeftCell="V730" activePane="bottomRight" state="frozen"/>
      <selection pane="topRight" activeCell="J19" sqref="J19"/>
      <selection pane="bottomLeft" activeCell="J19" sqref="J19"/>
      <selection pane="bottomRight" activeCell="CT714" sqref="CT714:CV743"/>
    </sheetView>
  </sheetViews>
  <sheetFormatPr defaultColWidth="9.140625" defaultRowHeight="15" customHeight="1"/>
  <cols>
    <col min="1" max="1" width="62.85546875" style="19" customWidth="1"/>
    <col min="2" max="2" width="31.7109375" style="3" customWidth="1"/>
    <col min="3" max="3" width="22.5703125" style="3" customWidth="1"/>
    <col min="4" max="4" width="23.140625" style="3" customWidth="1"/>
    <col min="5" max="5" width="15" style="3" customWidth="1"/>
    <col min="6" max="6" width="25.140625" style="3" customWidth="1"/>
    <col min="7" max="7" width="10.5703125" style="3" customWidth="1"/>
    <col min="8" max="8" width="17.5703125" style="3" customWidth="1"/>
    <col min="9" max="9" width="17.85546875" style="3" customWidth="1"/>
    <col min="10" max="10" width="68.28515625" style="3" customWidth="1"/>
    <col min="11" max="11" width="33.42578125" style="3" customWidth="1"/>
    <col min="12" max="12" width="22" style="3" customWidth="1"/>
    <col min="13" max="13" width="19.140625" style="3" customWidth="1"/>
    <col min="14" max="14" width="29.42578125" style="3" customWidth="1"/>
    <col min="15" max="15" width="47.85546875" style="3" customWidth="1"/>
    <col min="16" max="16" width="145.42578125" style="3" customWidth="1"/>
    <col min="17" max="17" width="43.85546875" style="3" customWidth="1"/>
    <col min="18" max="18" width="49.42578125" style="37" customWidth="1"/>
    <col min="19" max="20" width="32.42578125" style="5" customWidth="1"/>
    <col min="21" max="23" width="9.140625" style="6" customWidth="1"/>
    <col min="24" max="24" width="14.5703125" style="7" customWidth="1"/>
    <col min="25" max="25" width="10" style="8" customWidth="1"/>
    <col min="26" max="27" width="11.5703125" style="3" customWidth="1"/>
    <col min="28" max="28" width="15.5703125" style="3" bestFit="1" customWidth="1"/>
    <col min="29" max="29" width="11.5703125" style="3" customWidth="1"/>
    <col min="30" max="30" width="10.5703125" style="6" customWidth="1"/>
    <col min="31" max="31" width="13.85546875" style="73" customWidth="1"/>
    <col min="32" max="32" width="9.85546875" style="10" customWidth="1"/>
    <col min="33" max="33" width="9.140625" style="6" customWidth="1"/>
    <col min="34" max="34" width="13.42578125" style="3" customWidth="1"/>
    <col min="35" max="35" width="9.140625" style="11" customWidth="1"/>
    <col min="36" max="36" width="9.140625" style="3" customWidth="1"/>
    <col min="37" max="41" width="9.140625" style="6" customWidth="1"/>
    <col min="42" max="43" width="9.140625" style="12" hidden="1" customWidth="1"/>
    <col min="44" max="58" width="9.140625" style="3" hidden="1" customWidth="1"/>
    <col min="59" max="59" width="17.42578125" style="3" customWidth="1"/>
    <col min="60" max="60" width="12.42578125" style="3" customWidth="1"/>
    <col min="61" max="61" width="9.140625" style="3" customWidth="1"/>
    <col min="62" max="63" width="15.42578125" style="3" customWidth="1"/>
    <col min="64" max="68" width="9.140625" style="3" hidden="1" customWidth="1"/>
    <col min="69" max="72" width="9.140625" hidden="1" customWidth="1"/>
    <col min="73" max="73" width="16.42578125" hidden="1" customWidth="1"/>
    <col min="74" max="77" width="9.140625" hidden="1" customWidth="1"/>
    <col min="78" max="78" width="16.42578125" hidden="1" customWidth="1"/>
    <col min="79" max="79" width="9.140625" hidden="1" customWidth="1"/>
    <col min="80" max="80" width="16.42578125" hidden="1" customWidth="1"/>
    <col min="81" max="84" width="31.85546875" style="13" customWidth="1"/>
    <col min="85" max="87" width="28" style="3" customWidth="1"/>
    <col min="88" max="88" width="21.42578125" style="3" customWidth="1"/>
    <col min="89" max="89" width="28" style="3" customWidth="1"/>
    <col min="90" max="90" width="44.5703125" style="3" customWidth="1"/>
    <col min="91" max="91" width="26" style="3" customWidth="1"/>
    <col min="92" max="92" width="32.42578125" style="3" customWidth="1"/>
    <col min="93" max="93" width="27.5703125" style="3" customWidth="1"/>
    <col min="94" max="94" width="34.85546875" style="3" customWidth="1"/>
    <col min="95" max="95" width="29.140625" style="3" customWidth="1"/>
    <col min="96" max="96" width="30.140625" style="3" customWidth="1"/>
    <col min="97" max="97" width="29.5703125" style="3" customWidth="1"/>
    <col min="98" max="98" width="29.140625" style="3" customWidth="1"/>
    <col min="99" max="99" width="21.42578125" style="3" customWidth="1"/>
    <col min="100" max="100" width="29.140625" style="3" customWidth="1"/>
    <col min="101" max="16384" width="9.140625" style="3"/>
  </cols>
  <sheetData>
    <row r="1" spans="1:100" ht="15" customHeight="1">
      <c r="A1" s="139" t="s">
        <v>0</v>
      </c>
      <c r="B1" s="158"/>
      <c r="C1" s="159"/>
      <c r="D1" s="160"/>
      <c r="E1" s="159"/>
      <c r="F1" s="161"/>
      <c r="G1" s="161"/>
      <c r="H1" s="162"/>
      <c r="I1" s="162"/>
      <c r="J1" s="161"/>
      <c r="K1" s="162"/>
      <c r="L1" s="163" t="s">
        <v>1</v>
      </c>
      <c r="M1" s="164">
        <v>3</v>
      </c>
      <c r="N1" s="159" t="s">
        <v>2</v>
      </c>
      <c r="O1" s="159"/>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171"/>
      <c r="CE1" s="171"/>
      <c r="CF1" s="171"/>
      <c r="CK1" s="14" t="s">
        <v>4</v>
      </c>
    </row>
    <row r="2" spans="1:100" ht="15" customHeight="1">
      <c r="A2" s="172" t="s">
        <v>6023</v>
      </c>
      <c r="B2" s="173" t="s">
        <v>4424</v>
      </c>
      <c r="C2" s="174" t="s">
        <v>5</v>
      </c>
      <c r="D2" s="175" t="s">
        <v>4425</v>
      </c>
      <c r="E2" s="174" t="s">
        <v>6</v>
      </c>
      <c r="F2" s="141" t="s">
        <v>6024</v>
      </c>
      <c r="G2" s="14" t="s">
        <v>7</v>
      </c>
      <c r="H2" s="176" t="s">
        <v>8</v>
      </c>
      <c r="I2" s="177" t="s">
        <v>6025</v>
      </c>
      <c r="J2" s="141" t="s">
        <v>6026</v>
      </c>
      <c r="K2" s="176" t="s">
        <v>10</v>
      </c>
      <c r="L2" s="141" t="s">
        <v>11</v>
      </c>
      <c r="M2" s="141" t="s">
        <v>12</v>
      </c>
      <c r="N2" s="141" t="s">
        <v>13</v>
      </c>
      <c r="O2" s="141" t="s">
        <v>14</v>
      </c>
      <c r="P2" s="141" t="s">
        <v>15</v>
      </c>
      <c r="Q2" s="141" t="s">
        <v>16</v>
      </c>
      <c r="R2" s="178" t="s">
        <v>17</v>
      </c>
      <c r="S2" s="178" t="s">
        <v>18</v>
      </c>
      <c r="T2" s="178" t="s">
        <v>19</v>
      </c>
      <c r="U2" s="142" t="s">
        <v>6027</v>
      </c>
      <c r="V2" s="142" t="s">
        <v>20</v>
      </c>
      <c r="W2" s="177" t="s">
        <v>21</v>
      </c>
      <c r="X2" s="179" t="s">
        <v>22</v>
      </c>
      <c r="Y2" s="180" t="s">
        <v>23</v>
      </c>
      <c r="Z2" s="181" t="s">
        <v>24</v>
      </c>
      <c r="AA2" s="181" t="s">
        <v>25</v>
      </c>
      <c r="AB2" s="182" t="s">
        <v>26</v>
      </c>
      <c r="AC2" s="143" t="s">
        <v>27</v>
      </c>
      <c r="AD2" s="183" t="s">
        <v>28</v>
      </c>
      <c r="AE2" s="184" t="s">
        <v>29</v>
      </c>
      <c r="AF2" s="185" t="s">
        <v>30</v>
      </c>
      <c r="AG2" s="142" t="s">
        <v>6028</v>
      </c>
      <c r="AH2" s="14" t="s">
        <v>31</v>
      </c>
      <c r="AI2" s="14" t="s">
        <v>32</v>
      </c>
      <c r="AJ2" s="186" t="s">
        <v>33</v>
      </c>
      <c r="AK2" s="145" t="s">
        <v>34</v>
      </c>
      <c r="AL2" s="145" t="s">
        <v>35</v>
      </c>
      <c r="AM2" s="145" t="s">
        <v>36</v>
      </c>
      <c r="AN2" s="145" t="s">
        <v>77</v>
      </c>
      <c r="AO2" s="145" t="s">
        <v>78</v>
      </c>
      <c r="AP2" s="14"/>
      <c r="AQ2" s="14"/>
      <c r="AR2" s="14"/>
      <c r="AS2" s="14"/>
      <c r="AT2" s="14"/>
      <c r="AU2" s="14"/>
      <c r="AV2" s="14"/>
      <c r="AW2" s="14"/>
      <c r="AX2" s="14"/>
      <c r="AY2" s="14"/>
      <c r="AZ2" s="14"/>
      <c r="BA2" s="14"/>
      <c r="BB2" s="14"/>
      <c r="BC2" s="14"/>
      <c r="BD2" s="14"/>
      <c r="BE2" s="14"/>
      <c r="BF2" s="14"/>
      <c r="BG2" s="186" t="s">
        <v>37</v>
      </c>
      <c r="BH2" s="186" t="s">
        <v>38</v>
      </c>
      <c r="BI2" s="186" t="s">
        <v>39</v>
      </c>
      <c r="BJ2" s="186" t="s">
        <v>40</v>
      </c>
      <c r="BK2" s="186" t="s">
        <v>41</v>
      </c>
      <c r="BL2" s="14" t="s">
        <v>42</v>
      </c>
      <c r="BM2" s="14" t="s">
        <v>43</v>
      </c>
      <c r="BN2" s="14" t="s">
        <v>44</v>
      </c>
      <c r="BO2" s="14" t="s">
        <v>45</v>
      </c>
      <c r="BP2" s="14" t="s">
        <v>46</v>
      </c>
      <c r="BQ2" s="14" t="s">
        <v>47</v>
      </c>
      <c r="BR2" s="14" t="s">
        <v>48</v>
      </c>
      <c r="BS2" s="14" t="s">
        <v>49</v>
      </c>
      <c r="BT2" s="14" t="s">
        <v>50</v>
      </c>
      <c r="BU2" s="14" t="s">
        <v>51</v>
      </c>
      <c r="BV2" s="14" t="s">
        <v>52</v>
      </c>
      <c r="BW2" s="14" t="s">
        <v>53</v>
      </c>
      <c r="BX2" s="14" t="s">
        <v>54</v>
      </c>
      <c r="BY2" s="14" t="s">
        <v>55</v>
      </c>
      <c r="BZ2" s="14" t="s">
        <v>56</v>
      </c>
      <c r="CA2" s="14" t="s">
        <v>57</v>
      </c>
      <c r="CB2" s="14" t="s">
        <v>58</v>
      </c>
      <c r="CC2" s="187" t="s">
        <v>59</v>
      </c>
      <c r="CD2" s="140" t="s">
        <v>6029</v>
      </c>
      <c r="CE2" s="140" t="s">
        <v>6030</v>
      </c>
      <c r="CF2" s="144" t="s">
        <v>6031</v>
      </c>
      <c r="CG2" s="14" t="s">
        <v>60</v>
      </c>
      <c r="CH2" s="14" t="s">
        <v>61</v>
      </c>
      <c r="CI2" s="14" t="s">
        <v>62</v>
      </c>
      <c r="CJ2" s="14" t="s">
        <v>63</v>
      </c>
      <c r="CK2" s="14" t="s">
        <v>64</v>
      </c>
      <c r="CL2" s="14" t="s">
        <v>65</v>
      </c>
      <c r="CM2" s="14" t="s">
        <v>66</v>
      </c>
      <c r="CN2" s="14" t="s">
        <v>67</v>
      </c>
      <c r="CO2" s="14" t="s">
        <v>68</v>
      </c>
      <c r="CP2" s="14" t="s">
        <v>69</v>
      </c>
      <c r="CQ2" s="14" t="s">
        <v>70</v>
      </c>
      <c r="CR2" s="14" t="s">
        <v>71</v>
      </c>
      <c r="CS2" s="14" t="s">
        <v>72</v>
      </c>
      <c r="CT2" s="14" t="s">
        <v>73</v>
      </c>
      <c r="CU2" s="14" t="s">
        <v>74</v>
      </c>
      <c r="CV2" s="14" t="s">
        <v>75</v>
      </c>
    </row>
    <row r="3" spans="1:100" s="28" customFormat="1" ht="15" customHeight="1">
      <c r="A3" s="188" t="s">
        <v>6032</v>
      </c>
      <c r="B3" s="189" t="s">
        <v>6033</v>
      </c>
      <c r="C3" s="189" t="s">
        <v>6034</v>
      </c>
      <c r="D3" s="189" t="s">
        <v>6033</v>
      </c>
      <c r="E3" s="189" t="s">
        <v>6035</v>
      </c>
      <c r="F3" s="190" t="s">
        <v>6034</v>
      </c>
      <c r="G3" s="191"/>
      <c r="H3" s="192"/>
      <c r="I3" s="193" t="s">
        <v>6036</v>
      </c>
      <c r="J3" s="194" t="s">
        <v>9</v>
      </c>
      <c r="K3" s="192"/>
      <c r="L3" s="189"/>
      <c r="M3" s="189"/>
      <c r="N3" s="189"/>
      <c r="O3" s="189"/>
      <c r="P3" s="189" t="s">
        <v>6033</v>
      </c>
      <c r="Q3" s="189" t="s">
        <v>6033</v>
      </c>
      <c r="R3" s="195" t="s">
        <v>6033</v>
      </c>
      <c r="S3" s="195" t="s">
        <v>6033</v>
      </c>
      <c r="T3" s="195"/>
      <c r="U3" s="196" t="s">
        <v>6037</v>
      </c>
      <c r="V3" s="196"/>
      <c r="W3" s="197"/>
      <c r="X3" s="189"/>
      <c r="Y3" s="198" t="s">
        <v>76</v>
      </c>
      <c r="Z3" s="189"/>
      <c r="AA3" s="189" t="s">
        <v>79</v>
      </c>
      <c r="AB3" s="199"/>
      <c r="AC3"/>
      <c r="AD3" s="196" t="s">
        <v>6038</v>
      </c>
      <c r="AE3" s="200"/>
      <c r="AF3" s="201" t="s">
        <v>6038</v>
      </c>
      <c r="AG3" s="196" t="s">
        <v>6038</v>
      </c>
      <c r="AH3" s="191"/>
      <c r="AI3" s="191"/>
      <c r="AJ3" s="202"/>
      <c r="AK3" s="203" t="s">
        <v>6039</v>
      </c>
      <c r="AL3" s="203" t="s">
        <v>6040</v>
      </c>
      <c r="AM3" s="203" t="s">
        <v>6041</v>
      </c>
      <c r="AN3" s="203" t="s">
        <v>6042</v>
      </c>
      <c r="AO3" s="203" t="s">
        <v>6043</v>
      </c>
      <c r="AP3" s="203" t="s">
        <v>6044</v>
      </c>
      <c r="AQ3" s="203" t="s">
        <v>6045</v>
      </c>
      <c r="AR3" s="203" t="s">
        <v>6046</v>
      </c>
      <c r="AS3" s="203" t="s">
        <v>6047</v>
      </c>
      <c r="AT3" s="203" t="s">
        <v>6048</v>
      </c>
      <c r="AU3" s="203" t="s">
        <v>6049</v>
      </c>
      <c r="AV3" s="203" t="s">
        <v>6050</v>
      </c>
      <c r="AW3" s="203" t="s">
        <v>6051</v>
      </c>
      <c r="AX3" s="203" t="s">
        <v>6052</v>
      </c>
      <c r="AY3" s="203" t="s">
        <v>6053</v>
      </c>
      <c r="AZ3" s="203" t="s">
        <v>6054</v>
      </c>
      <c r="BA3" s="203" t="s">
        <v>6055</v>
      </c>
      <c r="BB3" s="203" t="s">
        <v>6056</v>
      </c>
      <c r="BC3" s="203" t="s">
        <v>6057</v>
      </c>
      <c r="BD3" s="203" t="s">
        <v>6058</v>
      </c>
      <c r="BE3" s="203" t="s">
        <v>6059</v>
      </c>
      <c r="BF3" s="203" t="s">
        <v>6060</v>
      </c>
      <c r="BG3" s="202" t="s">
        <v>34</v>
      </c>
      <c r="BH3" s="202" t="s">
        <v>35</v>
      </c>
      <c r="BI3" s="202" t="s">
        <v>36</v>
      </c>
      <c r="BJ3" s="204" t="s">
        <v>77</v>
      </c>
      <c r="BK3" s="202" t="s">
        <v>78</v>
      </c>
      <c r="BL3" s="191"/>
      <c r="BM3" s="191"/>
      <c r="BN3" s="191"/>
      <c r="BO3" s="191"/>
      <c r="BP3" s="191"/>
      <c r="BQ3" s="191"/>
      <c r="BR3" s="191"/>
      <c r="BS3" s="191"/>
      <c r="BT3" s="191"/>
      <c r="BU3" s="191"/>
      <c r="BV3" s="191"/>
      <c r="BW3" s="191"/>
      <c r="BX3" s="191"/>
      <c r="BY3" s="191"/>
      <c r="BZ3" s="191"/>
      <c r="CA3" s="191"/>
      <c r="CB3" s="191"/>
      <c r="CC3" s="205" t="s">
        <v>79</v>
      </c>
      <c r="CD3" s="171"/>
      <c r="CE3" s="171"/>
      <c r="CF3" s="171"/>
      <c r="CG3" s="28" t="s">
        <v>80</v>
      </c>
      <c r="CH3" s="28" t="s">
        <v>81</v>
      </c>
      <c r="CI3" s="28" t="s">
        <v>5</v>
      </c>
      <c r="CJ3" s="28" t="s">
        <v>82</v>
      </c>
      <c r="CK3" s="28" t="s">
        <v>83</v>
      </c>
      <c r="CL3" s="28" t="s">
        <v>84</v>
      </c>
      <c r="CM3" s="28" t="s">
        <v>85</v>
      </c>
      <c r="CN3" s="28" t="s">
        <v>86</v>
      </c>
      <c r="CO3" s="28" t="s">
        <v>87</v>
      </c>
      <c r="CP3" s="28" t="s">
        <v>88</v>
      </c>
      <c r="CQ3" s="28" t="s">
        <v>89</v>
      </c>
      <c r="CR3" s="28" t="s">
        <v>90</v>
      </c>
      <c r="CS3" s="28" t="s">
        <v>91</v>
      </c>
      <c r="CT3" s="28" t="s">
        <v>92</v>
      </c>
      <c r="CU3" s="28" t="s">
        <v>93</v>
      </c>
      <c r="CV3" s="28" t="s">
        <v>94</v>
      </c>
    </row>
    <row r="4" spans="1:100" ht="15" customHeight="1">
      <c r="A4" s="127" t="s">
        <v>95</v>
      </c>
      <c r="B4" s="81" t="s">
        <v>96</v>
      </c>
      <c r="C4" s="16" t="s">
        <v>97</v>
      </c>
      <c r="D4" s="95" t="s">
        <v>98</v>
      </c>
      <c r="E4" s="16" t="s">
        <v>97</v>
      </c>
      <c r="F4" s="131" t="s">
        <v>99</v>
      </c>
      <c r="I4" s="100" t="s">
        <v>100</v>
      </c>
      <c r="J4" s="16" t="s">
        <v>101</v>
      </c>
      <c r="K4" s="16"/>
      <c r="L4" s="3" t="s">
        <v>102</v>
      </c>
      <c r="M4" s="3" t="s">
        <v>103</v>
      </c>
      <c r="N4" s="3" t="s">
        <v>104</v>
      </c>
      <c r="O4" s="16" t="s">
        <v>105</v>
      </c>
      <c r="P4" s="81" t="s">
        <v>106</v>
      </c>
      <c r="Q4" s="81" t="s">
        <v>106</v>
      </c>
      <c r="R4" s="81" t="s">
        <v>106</v>
      </c>
      <c r="S4" s="87" t="s">
        <v>95</v>
      </c>
      <c r="T4" s="130" t="s">
        <v>107</v>
      </c>
      <c r="U4" s="39">
        <v>34</v>
      </c>
      <c r="V4" s="39"/>
      <c r="W4" s="39"/>
      <c r="X4" s="59" t="s">
        <v>108</v>
      </c>
      <c r="Y4" s="93">
        <f>IF(AD4=0, 0, IF(OR(H4="", H4&lt;&gt;0), 1, 0))</f>
        <v>1</v>
      </c>
      <c r="Z4" s="3">
        <v>0</v>
      </c>
      <c r="AA4" s="3" t="s">
        <v>109</v>
      </c>
      <c r="AD4" s="6">
        <f>ROUND((AG4*(1+AJ4)),2)</f>
        <v>939.22</v>
      </c>
      <c r="AE4" s="74">
        <v>1070.3391039999999</v>
      </c>
      <c r="AF4" s="17">
        <f>(AE4*1)</f>
        <v>1070.3391039999999</v>
      </c>
      <c r="AG4" s="6">
        <f>ROUND((AE4*AI4),2)</f>
        <v>695.72</v>
      </c>
      <c r="AH4" s="30" t="s">
        <v>110</v>
      </c>
      <c r="AI4" s="3">
        <v>0.65</v>
      </c>
      <c r="AJ4" s="18">
        <v>0.35</v>
      </c>
      <c r="AK4" s="6">
        <f>ROUND((AD4-(AD4*BG4)),2)</f>
        <v>929.83</v>
      </c>
      <c r="AL4" s="6">
        <f>ROUND((AD4-(AD4*BH4)),2)</f>
        <v>920.44</v>
      </c>
      <c r="AM4" s="6">
        <f>ROUND((AD4-(AD4*BI4)),2)</f>
        <v>911.04</v>
      </c>
      <c r="AN4" s="6">
        <f>ROUND((AD4-(AD4*BJ4)),2)</f>
        <v>911.04</v>
      </c>
      <c r="AO4" s="6">
        <f>ROUND((AD4-(AD4*BK4)),2)</f>
        <v>939.22</v>
      </c>
      <c r="BG4" s="12">
        <v>0.01</v>
      </c>
      <c r="BH4" s="12">
        <v>0.02</v>
      </c>
      <c r="BI4" s="12">
        <v>0.03</v>
      </c>
      <c r="BJ4" s="12">
        <v>0.03</v>
      </c>
      <c r="CC4" s="3" t="str">
        <f>IF(B4&lt;&gt;"",CONCATENATE(SUBSTITUTE(B4," ","-"),".jpg"),"")</f>
        <v>Allied-Moulded-AM30240RLW.jpg</v>
      </c>
      <c r="CD4" s="16" t="s">
        <v>111</v>
      </c>
      <c r="CE4" s="3"/>
      <c r="CF4" s="3"/>
      <c r="CG4" s="3" t="s">
        <v>112</v>
      </c>
      <c r="CI4" s="3" t="s">
        <v>97</v>
      </c>
      <c r="CJ4" s="3" t="s">
        <v>113</v>
      </c>
      <c r="CK4" s="3" t="s">
        <v>114</v>
      </c>
      <c r="CL4" s="3" t="s">
        <v>115</v>
      </c>
      <c r="CM4" s="3" t="s">
        <v>116</v>
      </c>
      <c r="CN4" t="s">
        <v>117</v>
      </c>
      <c r="CO4" s="3" t="s">
        <v>118</v>
      </c>
      <c r="CP4" s="3" t="s">
        <v>119</v>
      </c>
      <c r="CQ4" s="3" t="s">
        <v>120</v>
      </c>
      <c r="CR4" s="16" t="s">
        <v>121</v>
      </c>
      <c r="CS4" s="16" t="s">
        <v>122</v>
      </c>
      <c r="CT4" s="16" t="s">
        <v>123</v>
      </c>
      <c r="CU4" s="16" t="s">
        <v>124</v>
      </c>
      <c r="CV4" s="16" t="s">
        <v>125</v>
      </c>
    </row>
    <row r="5" spans="1:100" ht="15" customHeight="1">
      <c r="A5" s="127" t="s">
        <v>126</v>
      </c>
      <c r="B5" s="81" t="s">
        <v>127</v>
      </c>
      <c r="C5" s="16" t="s">
        <v>97</v>
      </c>
      <c r="D5" s="82" t="s">
        <v>128</v>
      </c>
      <c r="E5" s="16" t="s">
        <v>97</v>
      </c>
      <c r="F5" s="131" t="s">
        <v>129</v>
      </c>
      <c r="I5" s="100" t="s">
        <v>100</v>
      </c>
      <c r="J5" s="16" t="s">
        <v>101</v>
      </c>
      <c r="K5" s="16"/>
      <c r="L5" s="3" t="s">
        <v>102</v>
      </c>
      <c r="M5" s="3" t="s">
        <v>103</v>
      </c>
      <c r="N5" s="3" t="s">
        <v>104</v>
      </c>
      <c r="O5" s="16" t="s">
        <v>105</v>
      </c>
      <c r="P5" s="81" t="s">
        <v>130</v>
      </c>
      <c r="Q5" s="81" t="s">
        <v>130</v>
      </c>
      <c r="R5" s="81" t="s">
        <v>130</v>
      </c>
      <c r="S5" s="87" t="s">
        <v>126</v>
      </c>
      <c r="T5" s="130" t="s">
        <v>107</v>
      </c>
      <c r="U5" s="40">
        <v>34</v>
      </c>
      <c r="V5" s="40"/>
      <c r="W5" s="40"/>
      <c r="X5" s="59" t="s">
        <v>108</v>
      </c>
      <c r="Y5" s="93">
        <f>IF(AD5=0, 0, IF(OR(H5="", H5&lt;&gt;0), 1, 0))</f>
        <v>1</v>
      </c>
      <c r="Z5" s="3">
        <v>0</v>
      </c>
      <c r="AA5" s="3" t="s">
        <v>131</v>
      </c>
      <c r="AD5" s="6">
        <f>ROUND((AG5*(1+AJ5)),2)</f>
        <v>939.22</v>
      </c>
      <c r="AE5" s="74">
        <v>1070.3391039999999</v>
      </c>
      <c r="AF5" s="17">
        <f>(AE5*1)</f>
        <v>1070.3391039999999</v>
      </c>
      <c r="AG5" s="6">
        <f>ROUND((AE5*AI5),2)</f>
        <v>695.72</v>
      </c>
      <c r="AH5" s="30" t="s">
        <v>110</v>
      </c>
      <c r="AI5" s="3">
        <v>0.65</v>
      </c>
      <c r="AJ5" s="18">
        <v>0.35</v>
      </c>
      <c r="AK5" s="6">
        <f>ROUND((AD5-(AD5*BG5)),2)</f>
        <v>929.83</v>
      </c>
      <c r="AL5" s="6">
        <f>ROUND((AD5-(AD5*BH5)),2)</f>
        <v>920.44</v>
      </c>
      <c r="AM5" s="6">
        <f>ROUND((AD5-(AD5*BI5)),2)</f>
        <v>911.04</v>
      </c>
      <c r="AN5" s="6">
        <f>ROUND((AD5-(AD5*BJ5)),2)</f>
        <v>911.04</v>
      </c>
      <c r="AO5" s="6">
        <f>ROUND((AD5-(AD5*BK5)),2)</f>
        <v>939.22</v>
      </c>
      <c r="BG5" s="12">
        <v>0.01</v>
      </c>
      <c r="BH5" s="12">
        <v>0.02</v>
      </c>
      <c r="BI5" s="12">
        <v>0.03</v>
      </c>
      <c r="BJ5" s="12">
        <v>0.03</v>
      </c>
      <c r="CC5" s="3" t="str">
        <f>IF(B5&lt;&gt;"",CONCATENATE(SUBSTITUTE(B5," ","-"),".jpg"),"")</f>
        <v>Allied-Moulded-AM30240RTW.jpg</v>
      </c>
      <c r="CD5" s="16" t="s">
        <v>111</v>
      </c>
      <c r="CE5" s="3"/>
      <c r="CF5" s="3"/>
      <c r="CG5" s="3" t="s">
        <v>112</v>
      </c>
      <c r="CI5" s="3" t="s">
        <v>97</v>
      </c>
      <c r="CJ5" s="3" t="s">
        <v>113</v>
      </c>
      <c r="CK5" s="3" t="s">
        <v>114</v>
      </c>
      <c r="CL5" s="3" t="s">
        <v>115</v>
      </c>
      <c r="CM5" s="3" t="s">
        <v>116</v>
      </c>
      <c r="CN5" s="16" t="s">
        <v>132</v>
      </c>
      <c r="CO5" s="3" t="s">
        <v>118</v>
      </c>
      <c r="CP5" s="3" t="s">
        <v>119</v>
      </c>
      <c r="CQ5" s="3" t="s">
        <v>120</v>
      </c>
      <c r="CR5" s="16" t="s">
        <v>121</v>
      </c>
      <c r="CS5" s="16" t="s">
        <v>122</v>
      </c>
      <c r="CT5" s="16" t="s">
        <v>123</v>
      </c>
      <c r="CU5" s="16" t="s">
        <v>124</v>
      </c>
      <c r="CV5" s="16" t="s">
        <v>125</v>
      </c>
    </row>
    <row r="6" spans="1:100" ht="15" customHeight="1">
      <c r="A6" s="128" t="s">
        <v>133</v>
      </c>
      <c r="B6" s="81" t="s">
        <v>134</v>
      </c>
      <c r="C6" s="16" t="s">
        <v>97</v>
      </c>
      <c r="D6" s="103" t="s">
        <v>135</v>
      </c>
      <c r="E6" s="16" t="s">
        <v>97</v>
      </c>
      <c r="F6" s="131" t="s">
        <v>136</v>
      </c>
      <c r="I6" s="100" t="s">
        <v>100</v>
      </c>
      <c r="J6" s="16" t="s">
        <v>101</v>
      </c>
      <c r="K6" s="16"/>
      <c r="L6" s="3" t="s">
        <v>102</v>
      </c>
      <c r="M6" s="3" t="s">
        <v>103</v>
      </c>
      <c r="N6" s="3" t="s">
        <v>104</v>
      </c>
      <c r="O6" s="16" t="s">
        <v>105</v>
      </c>
      <c r="P6" s="87" t="s">
        <v>137</v>
      </c>
      <c r="Q6" s="87" t="s">
        <v>137</v>
      </c>
      <c r="R6" s="87" t="s">
        <v>137</v>
      </c>
      <c r="S6" s="81" t="s">
        <v>133</v>
      </c>
      <c r="T6" s="131" t="s">
        <v>107</v>
      </c>
      <c r="U6" s="39">
        <v>32</v>
      </c>
      <c r="V6" s="39"/>
      <c r="W6" s="39"/>
      <c r="X6" s="59" t="s">
        <v>108</v>
      </c>
      <c r="Y6" s="93">
        <f>IF(AD6=0, 0, IF(OR(H6="", H6&lt;&gt;0), 1, 0))</f>
        <v>1</v>
      </c>
      <c r="Z6" s="3">
        <v>0</v>
      </c>
      <c r="AA6" s="3" t="s">
        <v>138</v>
      </c>
      <c r="AD6" s="6">
        <f>ROUND((AG6*(1+AJ6)),2)</f>
        <v>759.65</v>
      </c>
      <c r="AE6" s="74">
        <v>865.69252299999994</v>
      </c>
      <c r="AF6" s="17">
        <f>(AE6*1)</f>
        <v>865.69252299999994</v>
      </c>
      <c r="AG6" s="6">
        <f>ROUND((AE6*AI6),2)</f>
        <v>562.70000000000005</v>
      </c>
      <c r="AH6" s="30" t="s">
        <v>110</v>
      </c>
      <c r="AI6" s="3">
        <v>0.65</v>
      </c>
      <c r="AJ6" s="18">
        <v>0.35</v>
      </c>
      <c r="AK6" s="6">
        <f>ROUND((AD6-(AD6*BG6)),2)</f>
        <v>752.05</v>
      </c>
      <c r="AL6" s="6">
        <f>ROUND((AD6-(AD6*BH6)),2)</f>
        <v>744.46</v>
      </c>
      <c r="AM6" s="6">
        <f>ROUND((AD6-(AD6*BI6)),2)</f>
        <v>736.86</v>
      </c>
      <c r="AN6" s="6">
        <f>ROUND((AD6-(AD6*BJ6)),2)</f>
        <v>736.86</v>
      </c>
      <c r="AO6" s="6">
        <f>ROUND((AD6-(AD6*BK6)),2)</f>
        <v>759.65</v>
      </c>
      <c r="BG6" s="12">
        <v>0.01</v>
      </c>
      <c r="BH6" s="12">
        <v>0.02</v>
      </c>
      <c r="BI6" s="12">
        <v>0.03</v>
      </c>
      <c r="BJ6" s="12">
        <v>0.03</v>
      </c>
      <c r="CC6" s="3" t="str">
        <f>IF(B6&lt;&gt;"",CONCATENATE(SUBSTITUTE(B6," ","-"),".jpg"),"")</f>
        <v>Allied-Moulded-AM30240RL.jpg</v>
      </c>
      <c r="CD6" s="16" t="s">
        <v>111</v>
      </c>
      <c r="CE6" s="3"/>
      <c r="CF6" s="3"/>
      <c r="CG6" s="3" t="s">
        <v>112</v>
      </c>
      <c r="CI6" s="3" t="s">
        <v>97</v>
      </c>
      <c r="CJ6" s="3" t="s">
        <v>113</v>
      </c>
      <c r="CK6" s="3" t="s">
        <v>114</v>
      </c>
      <c r="CL6" s="3" t="s">
        <v>115</v>
      </c>
      <c r="CM6" s="3" t="s">
        <v>116</v>
      </c>
      <c r="CN6" t="s">
        <v>117</v>
      </c>
      <c r="CO6" s="3" t="s">
        <v>118</v>
      </c>
      <c r="CP6" s="3" t="s">
        <v>139</v>
      </c>
      <c r="CQ6" s="3" t="s">
        <v>120</v>
      </c>
      <c r="CR6" s="3" t="s">
        <v>140</v>
      </c>
      <c r="CS6" s="16" t="s">
        <v>122</v>
      </c>
      <c r="CT6" s="3" t="s">
        <v>123</v>
      </c>
      <c r="CU6" s="3" t="s">
        <v>124</v>
      </c>
      <c r="CV6" s="3" t="s">
        <v>125</v>
      </c>
    </row>
    <row r="7" spans="1:100" ht="15" customHeight="1">
      <c r="A7" s="128" t="s">
        <v>141</v>
      </c>
      <c r="B7" s="81" t="s">
        <v>142</v>
      </c>
      <c r="C7" s="16" t="s">
        <v>97</v>
      </c>
      <c r="D7" s="103" t="s">
        <v>143</v>
      </c>
      <c r="E7" s="16" t="s">
        <v>97</v>
      </c>
      <c r="F7" s="131" t="s">
        <v>144</v>
      </c>
      <c r="I7" s="100" t="s">
        <v>100</v>
      </c>
      <c r="J7" s="16" t="s">
        <v>101</v>
      </c>
      <c r="K7" s="16"/>
      <c r="L7" s="3" t="s">
        <v>102</v>
      </c>
      <c r="M7" s="3" t="s">
        <v>103</v>
      </c>
      <c r="N7" s="3" t="s">
        <v>104</v>
      </c>
      <c r="O7" s="16" t="s">
        <v>105</v>
      </c>
      <c r="P7" s="87" t="s">
        <v>145</v>
      </c>
      <c r="Q7" s="87" t="s">
        <v>145</v>
      </c>
      <c r="R7" s="87" t="s">
        <v>145</v>
      </c>
      <c r="S7" s="81" t="s">
        <v>141</v>
      </c>
      <c r="T7" s="131" t="s">
        <v>107</v>
      </c>
      <c r="U7" s="40">
        <v>32</v>
      </c>
      <c r="V7" s="40"/>
      <c r="W7" s="40"/>
      <c r="X7" s="59" t="s">
        <v>108</v>
      </c>
      <c r="Y7" s="93">
        <f>IF(AD7=0, 0, IF(OR(H7="", H7&lt;&gt;0), 1, 0))</f>
        <v>1</v>
      </c>
      <c r="Z7" s="3">
        <v>0</v>
      </c>
      <c r="AA7" s="3" t="s">
        <v>146</v>
      </c>
      <c r="AD7" s="6">
        <f>ROUND((AG7*(1+AJ7)),2)</f>
        <v>759.65</v>
      </c>
      <c r="AE7" s="74">
        <v>865.69252299999994</v>
      </c>
      <c r="AF7" s="17">
        <f>(AE7*1)</f>
        <v>865.69252299999994</v>
      </c>
      <c r="AG7" s="6">
        <f>ROUND((AE7*AI7),2)</f>
        <v>562.70000000000005</v>
      </c>
      <c r="AH7" s="30" t="s">
        <v>110</v>
      </c>
      <c r="AI7" s="3">
        <v>0.65</v>
      </c>
      <c r="AJ7" s="18">
        <v>0.35</v>
      </c>
      <c r="AK7" s="6">
        <f>ROUND((AD7-(AD7*BG7)),2)</f>
        <v>752.05</v>
      </c>
      <c r="AL7" s="6">
        <f>ROUND((AD7-(AD7*BH7)),2)</f>
        <v>744.46</v>
      </c>
      <c r="AM7" s="6">
        <f>ROUND((AD7-(AD7*BI7)),2)</f>
        <v>736.86</v>
      </c>
      <c r="AN7" s="6">
        <f>ROUND((AD7-(AD7*BJ7)),2)</f>
        <v>736.86</v>
      </c>
      <c r="AO7" s="6">
        <f>ROUND((AD7-(AD7*BK7)),2)</f>
        <v>759.65</v>
      </c>
      <c r="BG7" s="12">
        <v>0.01</v>
      </c>
      <c r="BH7" s="12">
        <v>0.02</v>
      </c>
      <c r="BI7" s="12">
        <v>0.03</v>
      </c>
      <c r="BJ7" s="12">
        <v>0.03</v>
      </c>
      <c r="CC7" s="3" t="str">
        <f>IF(B7&lt;&gt;"",CONCATENATE(SUBSTITUTE(B7," ","-"),".jpg"),"")</f>
        <v>Allied-Moulded-AM30240RT.jpg</v>
      </c>
      <c r="CD7" s="16" t="s">
        <v>111</v>
      </c>
      <c r="CE7" s="3"/>
      <c r="CF7" s="3"/>
      <c r="CG7" s="3" t="s">
        <v>112</v>
      </c>
      <c r="CI7" s="3" t="s">
        <v>97</v>
      </c>
      <c r="CJ7" s="3" t="s">
        <v>113</v>
      </c>
      <c r="CK7" s="3" t="s">
        <v>114</v>
      </c>
      <c r="CL7" s="3" t="s">
        <v>115</v>
      </c>
      <c r="CM7" s="3" t="s">
        <v>116</v>
      </c>
      <c r="CN7" t="s">
        <v>132</v>
      </c>
      <c r="CO7" s="3" t="s">
        <v>118</v>
      </c>
      <c r="CP7" s="3" t="s">
        <v>139</v>
      </c>
      <c r="CQ7" s="3" t="s">
        <v>120</v>
      </c>
      <c r="CR7" s="3" t="s">
        <v>140</v>
      </c>
      <c r="CS7" s="16" t="s">
        <v>122</v>
      </c>
      <c r="CT7" s="3" t="s">
        <v>123</v>
      </c>
      <c r="CU7" s="3" t="s">
        <v>124</v>
      </c>
      <c r="CV7" s="3" t="s">
        <v>125</v>
      </c>
    </row>
    <row r="8" spans="1:100" ht="15" customHeight="1">
      <c r="A8" s="128" t="s">
        <v>147</v>
      </c>
      <c r="B8" s="81" t="s">
        <v>148</v>
      </c>
      <c r="C8" s="16" t="s">
        <v>97</v>
      </c>
      <c r="D8" s="103" t="s">
        <v>149</v>
      </c>
      <c r="E8" s="16" t="s">
        <v>97</v>
      </c>
      <c r="F8" s="131" t="s">
        <v>150</v>
      </c>
      <c r="I8" s="100" t="s">
        <v>100</v>
      </c>
      <c r="J8" s="16" t="s">
        <v>101</v>
      </c>
      <c r="K8" s="16"/>
      <c r="L8" s="3" t="s">
        <v>102</v>
      </c>
      <c r="M8" s="3" t="s">
        <v>103</v>
      </c>
      <c r="N8" s="3" t="s">
        <v>104</v>
      </c>
      <c r="O8" s="16" t="s">
        <v>105</v>
      </c>
      <c r="P8" s="87" t="s">
        <v>151</v>
      </c>
      <c r="Q8" s="87" t="s">
        <v>151</v>
      </c>
      <c r="R8" s="87" t="s">
        <v>151</v>
      </c>
      <c r="S8" s="81" t="s">
        <v>147</v>
      </c>
      <c r="T8" s="131" t="s">
        <v>107</v>
      </c>
      <c r="U8" s="39">
        <v>32</v>
      </c>
      <c r="V8" s="39"/>
      <c r="W8" s="39"/>
      <c r="X8" s="59" t="s">
        <v>108</v>
      </c>
      <c r="Y8" s="93">
        <f>IF(AD8=0, 0, IF(OR(H8="", H8&lt;&gt;0), 1, 0))</f>
        <v>1</v>
      </c>
      <c r="Z8" s="3">
        <v>0</v>
      </c>
      <c r="AA8" s="3" t="s">
        <v>152</v>
      </c>
      <c r="AD8" s="6">
        <f>ROUND((AG8*(1+AJ8)),2)</f>
        <v>929.64</v>
      </c>
      <c r="AE8" s="74">
        <v>1059.422487</v>
      </c>
      <c r="AF8" s="17">
        <f>(AE8*1)</f>
        <v>1059.422487</v>
      </c>
      <c r="AG8" s="6">
        <f>ROUND((AE8*AI8),2)</f>
        <v>688.62</v>
      </c>
      <c r="AH8" s="30" t="s">
        <v>110</v>
      </c>
      <c r="AI8" s="3">
        <v>0.65</v>
      </c>
      <c r="AJ8" s="18">
        <v>0.35</v>
      </c>
      <c r="AK8" s="6">
        <f>ROUND((AD8-(AD8*BG8)),2)</f>
        <v>920.34</v>
      </c>
      <c r="AL8" s="6">
        <f>ROUND((AD8-(AD8*BH8)),2)</f>
        <v>911.05</v>
      </c>
      <c r="AM8" s="6">
        <f>ROUND((AD8-(AD8*BI8)),2)</f>
        <v>901.75</v>
      </c>
      <c r="AN8" s="6">
        <f>ROUND((AD8-(AD8*BJ8)),2)</f>
        <v>901.75</v>
      </c>
      <c r="AO8" s="6">
        <f>ROUND((AD8-(AD8*BK8)),2)</f>
        <v>929.64</v>
      </c>
      <c r="BG8" s="12">
        <v>0.01</v>
      </c>
      <c r="BH8" s="12">
        <v>0.02</v>
      </c>
      <c r="BI8" s="12">
        <v>0.03</v>
      </c>
      <c r="BJ8" s="12">
        <v>0.03</v>
      </c>
      <c r="CC8" s="3" t="str">
        <f>IF(B8&lt;&gt;"",CONCATENATE(SUBSTITUTE(B8," ","-"),".jpg"),"")</f>
        <v>Allied-Moulded-AM30240R3PT.jpg</v>
      </c>
      <c r="CD8" s="16" t="s">
        <v>111</v>
      </c>
      <c r="CE8" s="3"/>
      <c r="CF8" s="3"/>
      <c r="CG8" s="3" t="s">
        <v>112</v>
      </c>
      <c r="CI8" s="3" t="s">
        <v>97</v>
      </c>
      <c r="CJ8" s="3" t="s">
        <v>113</v>
      </c>
      <c r="CK8" s="3" t="s">
        <v>114</v>
      </c>
      <c r="CL8" s="3" t="s">
        <v>115</v>
      </c>
      <c r="CM8" s="3" t="s">
        <v>116</v>
      </c>
      <c r="CN8" t="s">
        <v>153</v>
      </c>
      <c r="CO8" s="3" t="s">
        <v>118</v>
      </c>
      <c r="CP8" s="3" t="s">
        <v>139</v>
      </c>
      <c r="CQ8" s="3" t="s">
        <v>120</v>
      </c>
      <c r="CR8" s="3" t="s">
        <v>140</v>
      </c>
      <c r="CS8" s="16" t="s">
        <v>122</v>
      </c>
      <c r="CT8" s="3" t="s">
        <v>123</v>
      </c>
      <c r="CU8" s="3" t="s">
        <v>124</v>
      </c>
      <c r="CV8" s="3" t="s">
        <v>125</v>
      </c>
    </row>
    <row r="9" spans="1:100" ht="15" customHeight="1">
      <c r="A9" s="128" t="s">
        <v>154</v>
      </c>
      <c r="B9" s="81" t="s">
        <v>155</v>
      </c>
      <c r="C9" s="16" t="s">
        <v>97</v>
      </c>
      <c r="D9" s="103" t="s">
        <v>156</v>
      </c>
      <c r="E9" s="16" t="s">
        <v>97</v>
      </c>
      <c r="F9" s="131" t="s">
        <v>157</v>
      </c>
      <c r="I9" s="100" t="s">
        <v>100</v>
      </c>
      <c r="J9" s="16" t="s">
        <v>101</v>
      </c>
      <c r="K9" s="16"/>
      <c r="L9" s="3" t="s">
        <v>102</v>
      </c>
      <c r="M9" s="3" t="s">
        <v>103</v>
      </c>
      <c r="N9" s="3" t="s">
        <v>104</v>
      </c>
      <c r="O9" s="16" t="s">
        <v>105</v>
      </c>
      <c r="P9" s="87" t="s">
        <v>158</v>
      </c>
      <c r="Q9" s="87" t="s">
        <v>158</v>
      </c>
      <c r="R9" s="87" t="s">
        <v>158</v>
      </c>
      <c r="S9" s="81" t="s">
        <v>154</v>
      </c>
      <c r="T9" s="131" t="s">
        <v>107</v>
      </c>
      <c r="U9" s="39">
        <v>32</v>
      </c>
      <c r="V9" s="39"/>
      <c r="W9" s="39"/>
      <c r="X9" s="59" t="s">
        <v>108</v>
      </c>
      <c r="Y9" s="93">
        <f>IF(AD9=0, 0, IF(OR(H9="", H9&lt;&gt;0), 1, 0))</f>
        <v>1</v>
      </c>
      <c r="Z9" s="3">
        <v>0</v>
      </c>
      <c r="AA9" s="3" t="s">
        <v>159</v>
      </c>
      <c r="AD9" s="6">
        <f>ROUND((AG9*(1+AJ9)),2)</f>
        <v>820.13</v>
      </c>
      <c r="AE9" s="74">
        <v>934.61972100000003</v>
      </c>
      <c r="AF9" s="17">
        <f>(AE9*1)</f>
        <v>934.61972100000003</v>
      </c>
      <c r="AG9" s="6">
        <f>ROUND((AE9*AI9),2)</f>
        <v>607.5</v>
      </c>
      <c r="AH9" s="30" t="s">
        <v>110</v>
      </c>
      <c r="AI9" s="3">
        <v>0.65</v>
      </c>
      <c r="AJ9" s="18">
        <v>0.35</v>
      </c>
      <c r="AK9" s="6">
        <f>ROUND((AD9-(AD9*BG9)),2)</f>
        <v>811.93</v>
      </c>
      <c r="AL9" s="6">
        <f>ROUND((AD9-(AD9*BH9)),2)</f>
        <v>803.73</v>
      </c>
      <c r="AM9" s="6">
        <f>ROUND((AD9-(AD9*BI9)),2)</f>
        <v>795.53</v>
      </c>
      <c r="AN9" s="6">
        <f>ROUND((AD9-(AD9*BJ9)),2)</f>
        <v>795.53</v>
      </c>
      <c r="AO9" s="6">
        <f>ROUND((AD9-(AD9*BK9)),2)</f>
        <v>820.13</v>
      </c>
      <c r="BG9" s="12">
        <v>0.01</v>
      </c>
      <c r="BH9" s="12">
        <v>0.02</v>
      </c>
      <c r="BI9" s="12">
        <v>0.03</v>
      </c>
      <c r="BJ9" s="12">
        <v>0.03</v>
      </c>
      <c r="CC9" s="3" t="str">
        <f>IF(B9&lt;&gt;"",CONCATENATE(SUBSTITUTE(B9," ","-"),".jpg"),"")</f>
        <v>Allied-Moulded-AM30240RQT.jpg</v>
      </c>
      <c r="CD9" s="16" t="s">
        <v>111</v>
      </c>
      <c r="CE9" s="3"/>
      <c r="CF9" s="3"/>
      <c r="CG9" s="3" t="s">
        <v>112</v>
      </c>
      <c r="CI9" s="3" t="s">
        <v>97</v>
      </c>
      <c r="CJ9" s="3" t="s">
        <v>113</v>
      </c>
      <c r="CK9" s="3" t="s">
        <v>114</v>
      </c>
      <c r="CL9" s="3" t="s">
        <v>115</v>
      </c>
      <c r="CM9" s="3" t="s">
        <v>116</v>
      </c>
      <c r="CN9" t="s">
        <v>160</v>
      </c>
      <c r="CO9" s="3" t="s">
        <v>118</v>
      </c>
      <c r="CP9" s="3" t="s">
        <v>139</v>
      </c>
      <c r="CQ9" s="3" t="s">
        <v>120</v>
      </c>
      <c r="CR9" s="3" t="s">
        <v>140</v>
      </c>
      <c r="CS9" s="16" t="s">
        <v>122</v>
      </c>
      <c r="CT9" s="3" t="s">
        <v>123</v>
      </c>
      <c r="CU9" s="3" t="s">
        <v>124</v>
      </c>
      <c r="CV9" s="3" t="s">
        <v>125</v>
      </c>
    </row>
    <row r="10" spans="1:100" ht="15" customHeight="1">
      <c r="A10" s="127" t="s">
        <v>161</v>
      </c>
      <c r="B10" s="81" t="s">
        <v>162</v>
      </c>
      <c r="C10" s="16" t="s">
        <v>97</v>
      </c>
      <c r="D10" s="82" t="s">
        <v>163</v>
      </c>
      <c r="E10" s="16" t="s">
        <v>97</v>
      </c>
      <c r="F10" s="131" t="s">
        <v>164</v>
      </c>
      <c r="I10" s="100" t="s">
        <v>100</v>
      </c>
      <c r="J10" s="16" t="s">
        <v>101</v>
      </c>
      <c r="K10" s="16"/>
      <c r="L10" s="3" t="s">
        <v>102</v>
      </c>
      <c r="M10" s="3" t="s">
        <v>103</v>
      </c>
      <c r="N10" s="3" t="s">
        <v>104</v>
      </c>
      <c r="O10" s="16" t="s">
        <v>105</v>
      </c>
      <c r="P10" s="81" t="s">
        <v>165</v>
      </c>
      <c r="Q10" s="81" t="s">
        <v>165</v>
      </c>
      <c r="R10" s="81" t="s">
        <v>165</v>
      </c>
      <c r="S10" s="87" t="s">
        <v>161</v>
      </c>
      <c r="T10" s="130" t="s">
        <v>107</v>
      </c>
      <c r="U10" s="40">
        <v>32</v>
      </c>
      <c r="V10" s="40"/>
      <c r="W10" s="40"/>
      <c r="X10" s="59" t="s">
        <v>108</v>
      </c>
      <c r="Y10" s="93">
        <f>IF(AD10=0, 0, IF(OR(H10="", H10&lt;&gt;0), 1, 0))</f>
        <v>1</v>
      </c>
      <c r="Z10" s="3">
        <v>0</v>
      </c>
      <c r="AA10" s="3" t="s">
        <v>166</v>
      </c>
      <c r="AD10" s="6">
        <f>ROUND((AG10*(1+AJ10)),2)</f>
        <v>927.75</v>
      </c>
      <c r="AE10" s="74">
        <v>1057.268793</v>
      </c>
      <c r="AF10" s="17">
        <f>(AE10*1)</f>
        <v>1057.268793</v>
      </c>
      <c r="AG10" s="6">
        <f>ROUND((AE10*AI10),2)</f>
        <v>687.22</v>
      </c>
      <c r="AH10" s="30" t="s">
        <v>110</v>
      </c>
      <c r="AI10" s="3">
        <v>0.65</v>
      </c>
      <c r="AJ10" s="18">
        <v>0.35</v>
      </c>
      <c r="AK10" s="6">
        <f>ROUND((AD10-(AD10*BG10)),2)</f>
        <v>918.47</v>
      </c>
      <c r="AL10" s="6">
        <f>ROUND((AD10-(AD10*BH10)),2)</f>
        <v>909.2</v>
      </c>
      <c r="AM10" s="6">
        <f>ROUND((AD10-(AD10*BI10)),2)</f>
        <v>899.92</v>
      </c>
      <c r="AN10" s="6">
        <f>ROUND((AD10-(AD10*BJ10)),2)</f>
        <v>899.92</v>
      </c>
      <c r="AO10" s="6">
        <f>ROUND((AD10-(AD10*BK10)),2)</f>
        <v>927.75</v>
      </c>
      <c r="BG10" s="12">
        <v>0.01</v>
      </c>
      <c r="BH10" s="12">
        <v>0.02</v>
      </c>
      <c r="BI10" s="12">
        <v>0.03</v>
      </c>
      <c r="BJ10" s="12">
        <v>0.03</v>
      </c>
      <c r="CC10" s="3" t="str">
        <f>IF(B10&lt;&gt;"",CONCATENATE(SUBSTITUTE(B10," ","-"),".jpg"),"")</f>
        <v>Allied-Moulded-AM30248RLW.jpg</v>
      </c>
      <c r="CD10" s="16" t="s">
        <v>111</v>
      </c>
      <c r="CE10" s="3"/>
      <c r="CF10" s="3"/>
      <c r="CG10" s="3" t="s">
        <v>112</v>
      </c>
      <c r="CI10" s="3" t="s">
        <v>97</v>
      </c>
      <c r="CJ10" s="3" t="s">
        <v>113</v>
      </c>
      <c r="CK10" s="3" t="s">
        <v>114</v>
      </c>
      <c r="CL10" s="3" t="s">
        <v>115</v>
      </c>
      <c r="CM10" s="3" t="s">
        <v>116</v>
      </c>
      <c r="CN10" t="s">
        <v>117</v>
      </c>
      <c r="CO10" s="3" t="s">
        <v>118</v>
      </c>
      <c r="CP10" s="3" t="s">
        <v>119</v>
      </c>
      <c r="CQ10" s="3" t="s">
        <v>120</v>
      </c>
      <c r="CR10" s="16" t="s">
        <v>121</v>
      </c>
      <c r="CS10" s="16" t="s">
        <v>122</v>
      </c>
      <c r="CT10" s="16" t="s">
        <v>123</v>
      </c>
      <c r="CU10" s="16" t="s">
        <v>124</v>
      </c>
      <c r="CV10" s="3" t="s">
        <v>167</v>
      </c>
    </row>
    <row r="11" spans="1:100" ht="15" customHeight="1">
      <c r="A11" s="127" t="s">
        <v>168</v>
      </c>
      <c r="B11" s="81" t="s">
        <v>169</v>
      </c>
      <c r="C11" s="16" t="s">
        <v>97</v>
      </c>
      <c r="D11" s="95" t="s">
        <v>170</v>
      </c>
      <c r="E11" s="16" t="s">
        <v>97</v>
      </c>
      <c r="F11" s="131" t="s">
        <v>171</v>
      </c>
      <c r="I11" s="100" t="s">
        <v>100</v>
      </c>
      <c r="J11" s="16" t="s">
        <v>101</v>
      </c>
      <c r="K11" s="16"/>
      <c r="L11" s="3" t="s">
        <v>102</v>
      </c>
      <c r="M11" s="3" t="s">
        <v>103</v>
      </c>
      <c r="N11" s="3" t="s">
        <v>104</v>
      </c>
      <c r="O11" s="16" t="s">
        <v>105</v>
      </c>
      <c r="P11" s="81" t="s">
        <v>172</v>
      </c>
      <c r="Q11" s="81" t="s">
        <v>172</v>
      </c>
      <c r="R11" s="81" t="s">
        <v>172</v>
      </c>
      <c r="S11" s="87" t="s">
        <v>168</v>
      </c>
      <c r="T11" s="130" t="s">
        <v>107</v>
      </c>
      <c r="U11" s="39">
        <v>32</v>
      </c>
      <c r="V11" s="39"/>
      <c r="W11" s="39"/>
      <c r="X11" s="59" t="s">
        <v>108</v>
      </c>
      <c r="Y11" s="93">
        <f>IF(AD11=0, 0, IF(OR(H11="", H11&lt;&gt;0), 1, 0))</f>
        <v>1</v>
      </c>
      <c r="Z11" s="3">
        <v>0</v>
      </c>
      <c r="AA11" s="3" t="s">
        <v>173</v>
      </c>
      <c r="AD11" s="6">
        <f>ROUND((AG11*(1+AJ11)),2)</f>
        <v>927.75</v>
      </c>
      <c r="AE11" s="74">
        <v>1057.268793</v>
      </c>
      <c r="AF11" s="17">
        <f>(AE11*1)</f>
        <v>1057.268793</v>
      </c>
      <c r="AG11" s="6">
        <f>ROUND((AE11*AI11),2)</f>
        <v>687.22</v>
      </c>
      <c r="AH11" s="30" t="s">
        <v>110</v>
      </c>
      <c r="AI11" s="3">
        <v>0.65</v>
      </c>
      <c r="AJ11" s="18">
        <v>0.35</v>
      </c>
      <c r="AK11" s="6">
        <f>ROUND((AD11-(AD11*BG11)),2)</f>
        <v>918.47</v>
      </c>
      <c r="AL11" s="6">
        <f>ROUND((AD11-(AD11*BH11)),2)</f>
        <v>909.2</v>
      </c>
      <c r="AM11" s="6">
        <f>ROUND((AD11-(AD11*BI11)),2)</f>
        <v>899.92</v>
      </c>
      <c r="AN11" s="6">
        <f>ROUND((AD11-(AD11*BJ11)),2)</f>
        <v>899.92</v>
      </c>
      <c r="AO11" s="6">
        <f>ROUND((AD11-(AD11*BK11)),2)</f>
        <v>927.75</v>
      </c>
      <c r="BG11" s="12">
        <v>0.01</v>
      </c>
      <c r="BH11" s="12">
        <v>0.02</v>
      </c>
      <c r="BI11" s="12">
        <v>0.03</v>
      </c>
      <c r="BJ11" s="12">
        <v>0.03</v>
      </c>
      <c r="CC11" s="3" t="str">
        <f>IF(B11&lt;&gt;"",CONCATENATE(SUBSTITUTE(B11," ","-"),".jpg"),"")</f>
        <v>Allied-Moulded-AM30248RTW.jpg</v>
      </c>
      <c r="CD11" s="16" t="s">
        <v>111</v>
      </c>
      <c r="CE11" s="3"/>
      <c r="CF11" s="3"/>
      <c r="CG11" s="3" t="s">
        <v>112</v>
      </c>
      <c r="CI11" s="3" t="s">
        <v>97</v>
      </c>
      <c r="CJ11" s="3" t="s">
        <v>113</v>
      </c>
      <c r="CK11" s="3" t="s">
        <v>114</v>
      </c>
      <c r="CL11" s="3" t="s">
        <v>115</v>
      </c>
      <c r="CM11" s="3" t="s">
        <v>116</v>
      </c>
      <c r="CN11" s="16" t="s">
        <v>132</v>
      </c>
      <c r="CO11" s="3" t="s">
        <v>118</v>
      </c>
      <c r="CP11" s="3" t="s">
        <v>119</v>
      </c>
      <c r="CQ11" s="3" t="s">
        <v>120</v>
      </c>
      <c r="CR11" s="16" t="s">
        <v>121</v>
      </c>
      <c r="CS11" s="16" t="s">
        <v>122</v>
      </c>
      <c r="CT11" s="16" t="s">
        <v>123</v>
      </c>
      <c r="CU11" s="16" t="s">
        <v>124</v>
      </c>
      <c r="CV11" s="3" t="s">
        <v>167</v>
      </c>
    </row>
    <row r="12" spans="1:100" ht="15" customHeight="1">
      <c r="A12" s="128" t="s">
        <v>174</v>
      </c>
      <c r="B12" s="81" t="s">
        <v>175</v>
      </c>
      <c r="C12" s="16" t="s">
        <v>97</v>
      </c>
      <c r="D12" s="103" t="s">
        <v>176</v>
      </c>
      <c r="E12" s="16" t="s">
        <v>97</v>
      </c>
      <c r="F12" s="131" t="s">
        <v>177</v>
      </c>
      <c r="I12" s="100" t="s">
        <v>100</v>
      </c>
      <c r="J12" s="16" t="s">
        <v>101</v>
      </c>
      <c r="K12" s="16"/>
      <c r="L12" s="3" t="s">
        <v>102</v>
      </c>
      <c r="M12" s="3" t="s">
        <v>103</v>
      </c>
      <c r="N12" s="3" t="s">
        <v>104</v>
      </c>
      <c r="O12" s="16" t="s">
        <v>105</v>
      </c>
      <c r="P12" s="87" t="s">
        <v>178</v>
      </c>
      <c r="Q12" s="87" t="s">
        <v>178</v>
      </c>
      <c r="R12" s="87" t="s">
        <v>178</v>
      </c>
      <c r="S12" s="81" t="s">
        <v>174</v>
      </c>
      <c r="T12" s="131" t="s">
        <v>107</v>
      </c>
      <c r="U12" s="40">
        <v>31</v>
      </c>
      <c r="V12" s="40"/>
      <c r="W12" s="40"/>
      <c r="X12" s="59" t="s">
        <v>108</v>
      </c>
      <c r="Y12" s="93">
        <f>IF(AD12=0, 0, IF(OR(H12="", H12&lt;&gt;0), 1, 0))</f>
        <v>1</v>
      </c>
      <c r="Z12" s="3">
        <v>0</v>
      </c>
      <c r="AA12" s="3" t="s">
        <v>179</v>
      </c>
      <c r="AD12" s="6">
        <f>ROUND((AG12*(1+AJ12)),2)</f>
        <v>745.7</v>
      </c>
      <c r="AE12" s="74">
        <v>849.80247499999996</v>
      </c>
      <c r="AF12" s="17">
        <f>(AE12*1)</f>
        <v>849.80247499999996</v>
      </c>
      <c r="AG12" s="6">
        <f>ROUND((AE12*AI12),2)</f>
        <v>552.37</v>
      </c>
      <c r="AH12" s="30" t="s">
        <v>110</v>
      </c>
      <c r="AI12" s="3">
        <v>0.65</v>
      </c>
      <c r="AJ12" s="18">
        <v>0.35</v>
      </c>
      <c r="AK12" s="6">
        <f>ROUND((AD12-(AD12*BG12)),2)</f>
        <v>738.24</v>
      </c>
      <c r="AL12" s="6">
        <f>ROUND((AD12-(AD12*BH12)),2)</f>
        <v>730.79</v>
      </c>
      <c r="AM12" s="6">
        <f>ROUND((AD12-(AD12*BI12)),2)</f>
        <v>723.33</v>
      </c>
      <c r="AN12" s="6">
        <f>ROUND((AD12-(AD12*BJ12)),2)</f>
        <v>723.33</v>
      </c>
      <c r="AO12" s="6">
        <f>ROUND((AD12-(AD12*BK12)),2)</f>
        <v>745.7</v>
      </c>
      <c r="BG12" s="12">
        <v>0.01</v>
      </c>
      <c r="BH12" s="12">
        <v>0.02</v>
      </c>
      <c r="BI12" s="12">
        <v>0.03</v>
      </c>
      <c r="BJ12" s="12">
        <v>0.03</v>
      </c>
      <c r="CC12" s="3" t="str">
        <f>IF(B12&lt;&gt;"",CONCATENATE(SUBSTITUTE(B12," ","-"),".jpg"),"")</f>
        <v>Allied-Moulded-AM30248RL.jpg</v>
      </c>
      <c r="CD12" s="16" t="s">
        <v>111</v>
      </c>
      <c r="CE12" s="3"/>
      <c r="CF12" s="3"/>
      <c r="CG12" s="3" t="s">
        <v>112</v>
      </c>
      <c r="CI12" s="3" t="s">
        <v>97</v>
      </c>
      <c r="CJ12" s="3" t="s">
        <v>113</v>
      </c>
      <c r="CK12" s="3" t="s">
        <v>114</v>
      </c>
      <c r="CL12" s="3" t="s">
        <v>115</v>
      </c>
      <c r="CM12" s="3" t="s">
        <v>116</v>
      </c>
      <c r="CN12" t="s">
        <v>117</v>
      </c>
      <c r="CO12" s="3" t="s">
        <v>118</v>
      </c>
      <c r="CP12" s="3" t="s">
        <v>139</v>
      </c>
      <c r="CQ12" s="3" t="s">
        <v>120</v>
      </c>
      <c r="CR12" s="3" t="s">
        <v>140</v>
      </c>
      <c r="CS12" s="16" t="s">
        <v>122</v>
      </c>
      <c r="CT12" s="3" t="s">
        <v>123</v>
      </c>
      <c r="CU12" s="3" t="s">
        <v>124</v>
      </c>
      <c r="CV12" s="3" t="s">
        <v>167</v>
      </c>
    </row>
    <row r="13" spans="1:100" ht="15" customHeight="1">
      <c r="A13" s="128" t="s">
        <v>180</v>
      </c>
      <c r="B13" s="81" t="s">
        <v>181</v>
      </c>
      <c r="C13" s="16" t="s">
        <v>97</v>
      </c>
      <c r="D13" s="103" t="s">
        <v>182</v>
      </c>
      <c r="E13" s="16" t="s">
        <v>97</v>
      </c>
      <c r="F13" s="131" t="s">
        <v>183</v>
      </c>
      <c r="I13" s="100" t="s">
        <v>100</v>
      </c>
      <c r="J13" s="16" t="s">
        <v>101</v>
      </c>
      <c r="K13" s="16"/>
      <c r="L13" s="3" t="s">
        <v>102</v>
      </c>
      <c r="M13" s="3" t="s">
        <v>103</v>
      </c>
      <c r="N13" s="3" t="s">
        <v>104</v>
      </c>
      <c r="O13" s="16" t="s">
        <v>105</v>
      </c>
      <c r="P13" s="87" t="s">
        <v>184</v>
      </c>
      <c r="Q13" s="87" t="s">
        <v>184</v>
      </c>
      <c r="R13" s="87" t="s">
        <v>184</v>
      </c>
      <c r="S13" s="81" t="s">
        <v>180</v>
      </c>
      <c r="T13" s="131" t="s">
        <v>107</v>
      </c>
      <c r="U13" s="39">
        <v>31</v>
      </c>
      <c r="V13" s="39"/>
      <c r="W13" s="39"/>
      <c r="X13" s="59" t="s">
        <v>108</v>
      </c>
      <c r="Y13" s="93">
        <f>IF(AD13=0, 0, IF(OR(H13="", H13&lt;&gt;0), 1, 0))</f>
        <v>1</v>
      </c>
      <c r="Z13" s="3">
        <v>0</v>
      </c>
      <c r="AA13" s="3" t="s">
        <v>185</v>
      </c>
      <c r="AD13" s="6">
        <f>ROUND((AG13*(1+AJ13)),2)</f>
        <v>745.7</v>
      </c>
      <c r="AE13" s="74">
        <v>849.80247499999996</v>
      </c>
      <c r="AF13" s="17">
        <f>(AE13*1)</f>
        <v>849.80247499999996</v>
      </c>
      <c r="AG13" s="6">
        <f>ROUND((AE13*AI13),2)</f>
        <v>552.37</v>
      </c>
      <c r="AH13" s="30" t="s">
        <v>110</v>
      </c>
      <c r="AI13" s="3">
        <v>0.65</v>
      </c>
      <c r="AJ13" s="18">
        <v>0.35</v>
      </c>
      <c r="AK13" s="6">
        <f>ROUND((AD13-(AD13*BG13)),2)</f>
        <v>738.24</v>
      </c>
      <c r="AL13" s="6">
        <f>ROUND((AD13-(AD13*BH13)),2)</f>
        <v>730.79</v>
      </c>
      <c r="AM13" s="6">
        <f>ROUND((AD13-(AD13*BI13)),2)</f>
        <v>723.33</v>
      </c>
      <c r="AN13" s="6">
        <f>ROUND((AD13-(AD13*BJ13)),2)</f>
        <v>723.33</v>
      </c>
      <c r="AO13" s="6">
        <f>ROUND((AD13-(AD13*BK13)),2)</f>
        <v>745.7</v>
      </c>
      <c r="BG13" s="12">
        <v>0.01</v>
      </c>
      <c r="BH13" s="12">
        <v>0.02</v>
      </c>
      <c r="BI13" s="12">
        <v>0.03</v>
      </c>
      <c r="BJ13" s="12">
        <v>0.03</v>
      </c>
      <c r="CC13" s="3" t="str">
        <f>IF(B13&lt;&gt;"",CONCATENATE(SUBSTITUTE(B13," ","-"),".jpg"),"")</f>
        <v>Allied-Moulded-AM30248RT.jpg</v>
      </c>
      <c r="CD13" s="16" t="s">
        <v>111</v>
      </c>
      <c r="CE13" s="3"/>
      <c r="CF13" s="3"/>
      <c r="CG13" s="3" t="s">
        <v>112</v>
      </c>
      <c r="CI13" s="3" t="s">
        <v>97</v>
      </c>
      <c r="CJ13" s="3" t="s">
        <v>113</v>
      </c>
      <c r="CK13" s="3" t="s">
        <v>114</v>
      </c>
      <c r="CL13" s="3" t="s">
        <v>115</v>
      </c>
      <c r="CM13" s="3" t="s">
        <v>116</v>
      </c>
      <c r="CN13" t="s">
        <v>132</v>
      </c>
      <c r="CO13" s="3" t="s">
        <v>118</v>
      </c>
      <c r="CP13" s="3" t="s">
        <v>139</v>
      </c>
      <c r="CQ13" s="3" t="s">
        <v>120</v>
      </c>
      <c r="CR13" s="3" t="s">
        <v>140</v>
      </c>
      <c r="CS13" s="16" t="s">
        <v>122</v>
      </c>
      <c r="CT13" s="3" t="s">
        <v>123</v>
      </c>
      <c r="CU13" s="3" t="s">
        <v>124</v>
      </c>
      <c r="CV13" s="3" t="s">
        <v>167</v>
      </c>
    </row>
    <row r="14" spans="1:100" ht="15" customHeight="1">
      <c r="A14" s="128" t="s">
        <v>186</v>
      </c>
      <c r="B14" s="81" t="s">
        <v>187</v>
      </c>
      <c r="C14" s="16" t="s">
        <v>97</v>
      </c>
      <c r="D14" s="103" t="s">
        <v>188</v>
      </c>
      <c r="E14" s="16" t="s">
        <v>97</v>
      </c>
      <c r="F14" s="131" t="s">
        <v>189</v>
      </c>
      <c r="I14" s="100" t="s">
        <v>100</v>
      </c>
      <c r="J14" s="16" t="s">
        <v>101</v>
      </c>
      <c r="K14" s="16"/>
      <c r="L14" s="3" t="s">
        <v>102</v>
      </c>
      <c r="M14" s="3" t="s">
        <v>103</v>
      </c>
      <c r="N14" s="3" t="s">
        <v>104</v>
      </c>
      <c r="O14" s="16" t="s">
        <v>105</v>
      </c>
      <c r="P14" s="87" t="s">
        <v>190</v>
      </c>
      <c r="Q14" s="87" t="s">
        <v>190</v>
      </c>
      <c r="R14" s="87" t="s">
        <v>190</v>
      </c>
      <c r="S14" s="81" t="s">
        <v>186</v>
      </c>
      <c r="T14" s="131" t="s">
        <v>107</v>
      </c>
      <c r="U14" s="40">
        <v>31</v>
      </c>
      <c r="V14" s="40"/>
      <c r="W14" s="40"/>
      <c r="X14" s="59" t="s">
        <v>108</v>
      </c>
      <c r="Y14" s="93">
        <f>IF(AD14=0, 0, IF(OR(H14="", H14&lt;&gt;0), 1, 0))</f>
        <v>1</v>
      </c>
      <c r="Z14" s="3">
        <v>0</v>
      </c>
      <c r="AA14" s="3" t="s">
        <v>191</v>
      </c>
      <c r="AD14" s="6">
        <f>ROUND((AG14*(1+AJ14)),2)</f>
        <v>915.68</v>
      </c>
      <c r="AE14" s="74">
        <v>1043.5121469999999</v>
      </c>
      <c r="AF14" s="17">
        <f>(AE14*1)</f>
        <v>1043.5121469999999</v>
      </c>
      <c r="AG14" s="6">
        <f>ROUND((AE14*AI14),2)</f>
        <v>678.28</v>
      </c>
      <c r="AH14" s="30" t="s">
        <v>110</v>
      </c>
      <c r="AI14" s="3">
        <v>0.65</v>
      </c>
      <c r="AJ14" s="18">
        <v>0.35</v>
      </c>
      <c r="AK14" s="6">
        <f>ROUND((AD14-(AD14*BG14)),2)</f>
        <v>906.52</v>
      </c>
      <c r="AL14" s="6">
        <f>ROUND((AD14-(AD14*BH14)),2)</f>
        <v>897.37</v>
      </c>
      <c r="AM14" s="6">
        <f>ROUND((AD14-(AD14*BI14)),2)</f>
        <v>888.21</v>
      </c>
      <c r="AN14" s="6">
        <f>ROUND((AD14-(AD14*BJ14)),2)</f>
        <v>888.21</v>
      </c>
      <c r="AO14" s="6">
        <f>ROUND((AD14-(AD14*BK14)),2)</f>
        <v>915.68</v>
      </c>
      <c r="BG14" s="12">
        <v>0.01</v>
      </c>
      <c r="BH14" s="12">
        <v>0.02</v>
      </c>
      <c r="BI14" s="12">
        <v>0.03</v>
      </c>
      <c r="BJ14" s="12">
        <v>0.03</v>
      </c>
      <c r="CC14" s="3" t="str">
        <f>IF(B14&lt;&gt;"",CONCATENATE(SUBSTITUTE(B14," ","-"),".jpg"),"")</f>
        <v>Allied-Moulded-AM30248R3PT.jpg</v>
      </c>
      <c r="CD14" s="16" t="s">
        <v>111</v>
      </c>
      <c r="CE14" s="3"/>
      <c r="CF14" s="3"/>
      <c r="CG14" s="3" t="s">
        <v>112</v>
      </c>
      <c r="CI14" s="3" t="s">
        <v>97</v>
      </c>
      <c r="CJ14" s="3" t="s">
        <v>113</v>
      </c>
      <c r="CK14" s="3" t="s">
        <v>114</v>
      </c>
      <c r="CL14" s="3" t="s">
        <v>115</v>
      </c>
      <c r="CM14" s="3" t="s">
        <v>116</v>
      </c>
      <c r="CN14" t="s">
        <v>153</v>
      </c>
      <c r="CO14" s="3" t="s">
        <v>118</v>
      </c>
      <c r="CP14" s="3" t="s">
        <v>139</v>
      </c>
      <c r="CQ14" s="3" t="s">
        <v>120</v>
      </c>
      <c r="CR14" s="3" t="s">
        <v>140</v>
      </c>
      <c r="CS14" s="16" t="s">
        <v>122</v>
      </c>
      <c r="CT14" s="3" t="s">
        <v>123</v>
      </c>
      <c r="CU14" s="3" t="s">
        <v>124</v>
      </c>
      <c r="CV14" s="3" t="s">
        <v>167</v>
      </c>
    </row>
    <row r="15" spans="1:100" ht="15" customHeight="1">
      <c r="A15" s="128" t="s">
        <v>192</v>
      </c>
      <c r="B15" s="81" t="s">
        <v>193</v>
      </c>
      <c r="C15" s="16" t="s">
        <v>97</v>
      </c>
      <c r="D15" s="103" t="s">
        <v>194</v>
      </c>
      <c r="E15" s="16" t="s">
        <v>97</v>
      </c>
      <c r="F15" s="131" t="s">
        <v>195</v>
      </c>
      <c r="I15" s="100" t="s">
        <v>100</v>
      </c>
      <c r="J15" s="16" t="s">
        <v>101</v>
      </c>
      <c r="K15" s="16"/>
      <c r="L15" s="3" t="s">
        <v>102</v>
      </c>
      <c r="M15" s="3" t="s">
        <v>103</v>
      </c>
      <c r="N15" s="3" t="s">
        <v>104</v>
      </c>
      <c r="O15" s="16" t="s">
        <v>105</v>
      </c>
      <c r="P15" s="87" t="s">
        <v>196</v>
      </c>
      <c r="Q15" s="87" t="s">
        <v>196</v>
      </c>
      <c r="R15" s="87" t="s">
        <v>196</v>
      </c>
      <c r="S15" s="81" t="s">
        <v>192</v>
      </c>
      <c r="T15" s="131" t="s">
        <v>107</v>
      </c>
      <c r="U15" s="40">
        <v>31</v>
      </c>
      <c r="V15" s="40"/>
      <c r="W15" s="40"/>
      <c r="X15" s="59" t="s">
        <v>108</v>
      </c>
      <c r="Y15" s="93">
        <f>IF(AD15=0, 0, IF(OR(H15="", H15&lt;&gt;0), 1, 0))</f>
        <v>1</v>
      </c>
      <c r="Z15" s="3">
        <v>0</v>
      </c>
      <c r="AA15" s="3" t="s">
        <v>197</v>
      </c>
      <c r="AD15" s="6">
        <f>ROUND((AG15*(1+AJ15)),2)</f>
        <v>795.8</v>
      </c>
      <c r="AE15" s="74">
        <v>906.88935300000003</v>
      </c>
      <c r="AF15" s="17">
        <f>(AE15*1)</f>
        <v>906.88935300000003</v>
      </c>
      <c r="AG15" s="6">
        <f>ROUND((AE15*AI15),2)</f>
        <v>589.48</v>
      </c>
      <c r="AH15" s="30" t="s">
        <v>110</v>
      </c>
      <c r="AI15" s="3">
        <v>0.65</v>
      </c>
      <c r="AJ15" s="18">
        <v>0.35</v>
      </c>
      <c r="AK15" s="6">
        <f>ROUND((AD15-(AD15*BG15)),2)</f>
        <v>787.84</v>
      </c>
      <c r="AL15" s="6">
        <f>ROUND((AD15-(AD15*BH15)),2)</f>
        <v>779.88</v>
      </c>
      <c r="AM15" s="6">
        <f>ROUND((AD15-(AD15*BI15)),2)</f>
        <v>771.93</v>
      </c>
      <c r="AN15" s="6">
        <f>ROUND((AD15-(AD15*BJ15)),2)</f>
        <v>771.93</v>
      </c>
      <c r="AO15" s="6">
        <f>ROUND((AD15-(AD15*BK15)),2)</f>
        <v>795.8</v>
      </c>
      <c r="BG15" s="12">
        <v>0.01</v>
      </c>
      <c r="BH15" s="12">
        <v>0.02</v>
      </c>
      <c r="BI15" s="12">
        <v>0.03</v>
      </c>
      <c r="BJ15" s="12">
        <v>0.03</v>
      </c>
      <c r="CC15" s="3" t="str">
        <f>IF(B15&lt;&gt;"",CONCATENATE(SUBSTITUTE(B15," ","-"),".jpg"),"")</f>
        <v>Allied-Moulded-AM30248RQT.jpg</v>
      </c>
      <c r="CD15" s="16" t="s">
        <v>111</v>
      </c>
      <c r="CE15" s="3"/>
      <c r="CF15" s="3"/>
      <c r="CG15" s="3" t="s">
        <v>112</v>
      </c>
      <c r="CI15" s="3" t="s">
        <v>97</v>
      </c>
      <c r="CJ15" s="3" t="s">
        <v>113</v>
      </c>
      <c r="CK15" s="3" t="s">
        <v>114</v>
      </c>
      <c r="CL15" s="3" t="s">
        <v>115</v>
      </c>
      <c r="CM15" s="3" t="s">
        <v>116</v>
      </c>
      <c r="CN15" t="s">
        <v>160</v>
      </c>
      <c r="CO15" s="3" t="s">
        <v>118</v>
      </c>
      <c r="CP15" s="3" t="s">
        <v>139</v>
      </c>
      <c r="CQ15" s="3" t="s">
        <v>120</v>
      </c>
      <c r="CR15" s="3" t="s">
        <v>140</v>
      </c>
      <c r="CS15" s="16" t="s">
        <v>122</v>
      </c>
      <c r="CT15" s="3" t="s">
        <v>123</v>
      </c>
      <c r="CU15" s="3" t="s">
        <v>124</v>
      </c>
      <c r="CV15" s="3" t="s">
        <v>167</v>
      </c>
    </row>
    <row r="16" spans="1:100" ht="15" customHeight="1">
      <c r="A16" s="127" t="s">
        <v>198</v>
      </c>
      <c r="B16" s="81" t="s">
        <v>199</v>
      </c>
      <c r="C16" s="16" t="s">
        <v>97</v>
      </c>
      <c r="D16" s="95" t="s">
        <v>200</v>
      </c>
      <c r="E16" s="16" t="s">
        <v>97</v>
      </c>
      <c r="F16" s="131" t="s">
        <v>201</v>
      </c>
      <c r="I16" s="100" t="s">
        <v>100</v>
      </c>
      <c r="J16" s="16" t="s">
        <v>101</v>
      </c>
      <c r="K16" s="16"/>
      <c r="L16" s="3" t="s">
        <v>102</v>
      </c>
      <c r="M16" s="3" t="s">
        <v>103</v>
      </c>
      <c r="N16" s="3" t="s">
        <v>104</v>
      </c>
      <c r="O16" s="16" t="s">
        <v>105</v>
      </c>
      <c r="P16" s="81" t="s">
        <v>202</v>
      </c>
      <c r="Q16" s="81" t="s">
        <v>202</v>
      </c>
      <c r="R16" s="81" t="s">
        <v>202</v>
      </c>
      <c r="S16" s="87" t="s">
        <v>198</v>
      </c>
      <c r="T16" s="130" t="s">
        <v>203</v>
      </c>
      <c r="U16" s="39">
        <v>215</v>
      </c>
      <c r="V16" s="39"/>
      <c r="W16" s="39"/>
      <c r="X16" s="59" t="s">
        <v>108</v>
      </c>
      <c r="Y16" s="93">
        <f>IF(AD16=0, 0, IF(OR(H16="", H16&lt;&gt;0), 1, 0))</f>
        <v>1</v>
      </c>
      <c r="Z16" s="3">
        <v>0</v>
      </c>
      <c r="AA16" s="3" t="s">
        <v>204</v>
      </c>
      <c r="AD16" s="6">
        <f>ROUND((AG16*(1+AJ16)),2)</f>
        <v>5831.99</v>
      </c>
      <c r="AE16" s="74">
        <v>6646.1417439999987</v>
      </c>
      <c r="AF16" s="17">
        <f>(AE16*1)</f>
        <v>6646.1417439999987</v>
      </c>
      <c r="AG16" s="6">
        <f>ROUND((AE16*AI16),2)</f>
        <v>4319.99</v>
      </c>
      <c r="AH16" s="30" t="s">
        <v>110</v>
      </c>
      <c r="AI16" s="3">
        <v>0.65</v>
      </c>
      <c r="AJ16" s="18">
        <v>0.35</v>
      </c>
      <c r="AK16" s="6">
        <f>ROUND((AD16-(AD16*BG16)),2)</f>
        <v>5773.67</v>
      </c>
      <c r="AL16" s="6">
        <f>ROUND((AD16-(AD16*BH16)),2)</f>
        <v>5715.35</v>
      </c>
      <c r="AM16" s="6">
        <f>ROUND((AD16-(AD16*BI16)),2)</f>
        <v>5657.03</v>
      </c>
      <c r="AN16" s="6">
        <f>ROUND((AD16-(AD16*BJ16)),2)</f>
        <v>5657.03</v>
      </c>
      <c r="AO16" s="6">
        <f>ROUND((AD16-(AD16*BK16)),2)</f>
        <v>5831.99</v>
      </c>
      <c r="BG16" s="12">
        <v>0.01</v>
      </c>
      <c r="BH16" s="12">
        <v>0.02</v>
      </c>
      <c r="BI16" s="12">
        <v>0.03</v>
      </c>
      <c r="BJ16" s="12">
        <v>0.03</v>
      </c>
      <c r="CC16" s="3" t="str">
        <f>IF(B16&lt;&gt;"",CONCATENATE(SUBSTITUTE(B16," ","-"),".jpg"),"")</f>
        <v>Allied-Moulded-AM722525FS.jpg</v>
      </c>
      <c r="CD16" s="16" t="s">
        <v>111</v>
      </c>
      <c r="CE16" s="3"/>
      <c r="CF16" s="3"/>
      <c r="CG16" s="3" t="s">
        <v>112</v>
      </c>
      <c r="CI16" s="3" t="s">
        <v>97</v>
      </c>
      <c r="CJ16" s="3" t="s">
        <v>205</v>
      </c>
      <c r="CK16" s="3" t="s">
        <v>114</v>
      </c>
      <c r="CL16" s="3" t="s">
        <v>115</v>
      </c>
      <c r="CM16" s="3" t="s">
        <v>116</v>
      </c>
      <c r="CN16" t="s">
        <v>153</v>
      </c>
      <c r="CO16" s="3" t="s">
        <v>118</v>
      </c>
      <c r="CP16" s="3" t="s">
        <v>119</v>
      </c>
      <c r="CQ16" s="3" t="s">
        <v>206</v>
      </c>
      <c r="CR16" s="3" t="s">
        <v>140</v>
      </c>
      <c r="CS16" s="16" t="s">
        <v>122</v>
      </c>
      <c r="CT16" s="16" t="s">
        <v>207</v>
      </c>
      <c r="CU16" s="16" t="s">
        <v>208</v>
      </c>
      <c r="CV16" s="16" t="s">
        <v>208</v>
      </c>
    </row>
    <row r="17" spans="1:100" ht="15" customHeight="1">
      <c r="A17" s="127" t="s">
        <v>209</v>
      </c>
      <c r="B17" s="81" t="s">
        <v>210</v>
      </c>
      <c r="C17" s="16" t="s">
        <v>97</v>
      </c>
      <c r="D17" s="82" t="s">
        <v>211</v>
      </c>
      <c r="E17" s="16" t="s">
        <v>97</v>
      </c>
      <c r="F17" s="131" t="s">
        <v>212</v>
      </c>
      <c r="I17" s="100" t="s">
        <v>100</v>
      </c>
      <c r="J17" s="16" t="s">
        <v>101</v>
      </c>
      <c r="K17" s="16"/>
      <c r="L17" s="3" t="s">
        <v>102</v>
      </c>
      <c r="M17" s="3" t="s">
        <v>103</v>
      </c>
      <c r="N17" s="3" t="s">
        <v>104</v>
      </c>
      <c r="O17" s="16" t="s">
        <v>105</v>
      </c>
      <c r="P17" s="81" t="s">
        <v>213</v>
      </c>
      <c r="Q17" s="81" t="s">
        <v>213</v>
      </c>
      <c r="R17" s="81" t="s">
        <v>213</v>
      </c>
      <c r="S17" s="87" t="s">
        <v>209</v>
      </c>
      <c r="T17" s="130" t="s">
        <v>214</v>
      </c>
      <c r="U17" s="40">
        <v>79</v>
      </c>
      <c r="V17" s="40"/>
      <c r="W17" s="40"/>
      <c r="X17" s="59" t="s">
        <v>108</v>
      </c>
      <c r="Y17" s="93">
        <f>IF(AD17=0, 0, IF(OR(H17="", H17&lt;&gt;0), 1, 0))</f>
        <v>1</v>
      </c>
      <c r="Z17" s="3">
        <v>0</v>
      </c>
      <c r="AA17" s="3" t="s">
        <v>215</v>
      </c>
      <c r="AD17" s="6">
        <f>ROUND((AG17*(1+AJ17)),2)</f>
        <v>2169.09</v>
      </c>
      <c r="AE17" s="74">
        <v>2471.899915</v>
      </c>
      <c r="AF17" s="17">
        <f>(AE17*1)</f>
        <v>2471.899915</v>
      </c>
      <c r="AG17" s="6">
        <f>ROUND((AE17*AI17),2)</f>
        <v>1606.73</v>
      </c>
      <c r="AH17" s="30" t="s">
        <v>110</v>
      </c>
      <c r="AI17" s="3">
        <v>0.65</v>
      </c>
      <c r="AJ17" s="18">
        <v>0.35</v>
      </c>
      <c r="AK17" s="6">
        <f>ROUND((AD17-(AD17*BG17)),2)</f>
        <v>2147.4</v>
      </c>
      <c r="AL17" s="6">
        <f>ROUND((AD17-(AD17*BH17)),2)</f>
        <v>2125.71</v>
      </c>
      <c r="AM17" s="6">
        <f>ROUND((AD17-(AD17*BI17)),2)</f>
        <v>2104.02</v>
      </c>
      <c r="AN17" s="6">
        <f>ROUND((AD17-(AD17*BJ17)),2)</f>
        <v>2104.02</v>
      </c>
      <c r="AO17" s="6">
        <f>ROUND((AD17-(AD17*BK17)),2)</f>
        <v>2169.09</v>
      </c>
      <c r="BG17" s="12">
        <v>0.01</v>
      </c>
      <c r="BH17" s="12">
        <v>0.02</v>
      </c>
      <c r="BI17" s="12">
        <v>0.03</v>
      </c>
      <c r="BJ17" s="12">
        <v>0.03</v>
      </c>
      <c r="CC17" s="3" t="str">
        <f>IF(B17&lt;&gt;"",CONCATENATE(SUBSTITUTE(B17," ","-"),".jpg"),"")</f>
        <v>Allied-Moulded-AMEC3630123PTW.jpg</v>
      </c>
      <c r="CD17" s="16" t="s">
        <v>111</v>
      </c>
      <c r="CE17" s="3"/>
      <c r="CF17" s="3"/>
      <c r="CG17" s="3" t="s">
        <v>112</v>
      </c>
      <c r="CI17" s="3" t="s">
        <v>97</v>
      </c>
      <c r="CJ17" s="3" t="s">
        <v>205</v>
      </c>
      <c r="CK17" s="3" t="s">
        <v>114</v>
      </c>
      <c r="CL17" s="3" t="s">
        <v>115</v>
      </c>
      <c r="CM17" s="3" t="s">
        <v>116</v>
      </c>
      <c r="CN17" t="s">
        <v>153</v>
      </c>
      <c r="CO17" s="3" t="s">
        <v>118</v>
      </c>
      <c r="CP17" s="3" t="s">
        <v>119</v>
      </c>
      <c r="CQ17" s="3" t="s">
        <v>120</v>
      </c>
      <c r="CR17" s="3" t="s">
        <v>140</v>
      </c>
      <c r="CS17" s="16" t="s">
        <v>122</v>
      </c>
      <c r="CT17" s="16" t="s">
        <v>216</v>
      </c>
      <c r="CU17" s="16" t="s">
        <v>123</v>
      </c>
      <c r="CV17" s="16" t="s">
        <v>125</v>
      </c>
    </row>
    <row r="18" spans="1:100" ht="15" customHeight="1">
      <c r="A18" s="127" t="s">
        <v>217</v>
      </c>
      <c r="B18" s="81" t="s">
        <v>218</v>
      </c>
      <c r="C18" s="16" t="s">
        <v>97</v>
      </c>
      <c r="D18" s="95" t="s">
        <v>219</v>
      </c>
      <c r="E18" s="16" t="s">
        <v>97</v>
      </c>
      <c r="F18" s="131" t="s">
        <v>220</v>
      </c>
      <c r="I18" s="100" t="s">
        <v>100</v>
      </c>
      <c r="J18" s="16" t="s">
        <v>101</v>
      </c>
      <c r="K18" s="16"/>
      <c r="L18" s="3" t="s">
        <v>102</v>
      </c>
      <c r="M18" s="3" t="s">
        <v>103</v>
      </c>
      <c r="N18" s="3" t="s">
        <v>104</v>
      </c>
      <c r="O18" s="16" t="s">
        <v>105</v>
      </c>
      <c r="P18" s="81" t="s">
        <v>221</v>
      </c>
      <c r="Q18" s="81" t="s">
        <v>221</v>
      </c>
      <c r="R18" s="81" t="s">
        <v>221</v>
      </c>
      <c r="S18" s="87" t="s">
        <v>217</v>
      </c>
      <c r="T18" s="130" t="s">
        <v>214</v>
      </c>
      <c r="U18" s="39">
        <v>77</v>
      </c>
      <c r="V18" s="39"/>
      <c r="W18" s="39"/>
      <c r="X18" s="59" t="s">
        <v>108</v>
      </c>
      <c r="Y18" s="93">
        <f>IF(AD18=0, 0, IF(OR(H18="", H18&lt;&gt;0), 1, 0))</f>
        <v>1</v>
      </c>
      <c r="Z18" s="3">
        <v>0</v>
      </c>
      <c r="AA18" s="3" t="s">
        <v>222</v>
      </c>
      <c r="AD18" s="6">
        <f>ROUND((AG18*(1+AJ18)),2)</f>
        <v>2084.31</v>
      </c>
      <c r="AE18" s="74">
        <v>2375.2784200000001</v>
      </c>
      <c r="AF18" s="17">
        <f>(AE18*1)</f>
        <v>2375.2784200000001</v>
      </c>
      <c r="AG18" s="6">
        <f>ROUND((AE18*AI18),2)</f>
        <v>1543.93</v>
      </c>
      <c r="AH18" s="30" t="s">
        <v>110</v>
      </c>
      <c r="AI18" s="3">
        <v>0.65</v>
      </c>
      <c r="AJ18" s="18">
        <v>0.35</v>
      </c>
      <c r="AK18" s="6">
        <f>ROUND((AD18-(AD18*BG18)),2)</f>
        <v>2063.4699999999998</v>
      </c>
      <c r="AL18" s="6">
        <f>ROUND((AD18-(AD18*BH18)),2)</f>
        <v>2042.62</v>
      </c>
      <c r="AM18" s="6">
        <f>ROUND((AD18-(AD18*BI18)),2)</f>
        <v>2021.78</v>
      </c>
      <c r="AN18" s="6">
        <f>ROUND((AD18-(AD18*BJ18)),2)</f>
        <v>2021.78</v>
      </c>
      <c r="AO18" s="6">
        <f>ROUND((AD18-(AD18*BK18)),2)</f>
        <v>2084.31</v>
      </c>
      <c r="BG18" s="12">
        <v>0.01</v>
      </c>
      <c r="BH18" s="12">
        <v>0.02</v>
      </c>
      <c r="BI18" s="12">
        <v>0.03</v>
      </c>
      <c r="BJ18" s="12">
        <v>0.03</v>
      </c>
      <c r="CC18" s="3" t="str">
        <f>IF(B18&lt;&gt;"",CONCATENATE(SUBSTITUTE(B18," ","-"),".jpg"),"")</f>
        <v>Allied-Moulded-AMEC363012TW.jpg</v>
      </c>
      <c r="CD18" s="16" t="s">
        <v>111</v>
      </c>
      <c r="CE18" s="3"/>
      <c r="CF18" s="3"/>
      <c r="CG18" s="3" t="s">
        <v>112</v>
      </c>
      <c r="CI18" s="3" t="s">
        <v>97</v>
      </c>
      <c r="CJ18" s="3" t="s">
        <v>205</v>
      </c>
      <c r="CK18" s="3" t="s">
        <v>114</v>
      </c>
      <c r="CL18" s="3" t="s">
        <v>115</v>
      </c>
      <c r="CM18" s="3" t="s">
        <v>116</v>
      </c>
      <c r="CN18" s="16" t="s">
        <v>132</v>
      </c>
      <c r="CO18" s="3" t="s">
        <v>118</v>
      </c>
      <c r="CP18" s="3" t="s">
        <v>119</v>
      </c>
      <c r="CQ18" s="3" t="s">
        <v>120</v>
      </c>
      <c r="CR18" s="3" t="s">
        <v>140</v>
      </c>
      <c r="CS18" s="16" t="s">
        <v>122</v>
      </c>
      <c r="CT18" s="16" t="s">
        <v>216</v>
      </c>
      <c r="CU18" s="16" t="s">
        <v>123</v>
      </c>
      <c r="CV18" s="16" t="s">
        <v>125</v>
      </c>
    </row>
    <row r="19" spans="1:100" ht="15" customHeight="1">
      <c r="A19" s="127" t="s">
        <v>223</v>
      </c>
      <c r="B19" s="81" t="s">
        <v>224</v>
      </c>
      <c r="C19" s="16" t="s">
        <v>97</v>
      </c>
      <c r="D19" s="95" t="s">
        <v>225</v>
      </c>
      <c r="E19" s="16" t="s">
        <v>97</v>
      </c>
      <c r="F19" s="131" t="s">
        <v>226</v>
      </c>
      <c r="I19" s="100" t="s">
        <v>100</v>
      </c>
      <c r="J19" s="16" t="s">
        <v>101</v>
      </c>
      <c r="K19" s="16"/>
      <c r="L19" s="3" t="s">
        <v>102</v>
      </c>
      <c r="M19" s="3" t="s">
        <v>103</v>
      </c>
      <c r="N19" s="3" t="s">
        <v>104</v>
      </c>
      <c r="O19" s="16" t="s">
        <v>105</v>
      </c>
      <c r="P19" s="81" t="s">
        <v>227</v>
      </c>
      <c r="Q19" s="81" t="s">
        <v>227</v>
      </c>
      <c r="R19" s="81" t="s">
        <v>227</v>
      </c>
      <c r="S19" s="87" t="s">
        <v>223</v>
      </c>
      <c r="T19" s="130" t="s">
        <v>214</v>
      </c>
      <c r="U19" s="39">
        <v>77</v>
      </c>
      <c r="V19" s="39"/>
      <c r="W19" s="39"/>
      <c r="X19" s="59" t="s">
        <v>108</v>
      </c>
      <c r="Y19" s="93">
        <f>IF(AD19=0, 0, IF(OR(H19="", H19&lt;&gt;0), 1, 0))</f>
        <v>1</v>
      </c>
      <c r="Z19" s="3">
        <v>0</v>
      </c>
      <c r="AA19" s="3" t="s">
        <v>228</v>
      </c>
      <c r="AD19" s="6">
        <f>ROUND((AG19*(1+AJ19)),2)</f>
        <v>1688.65</v>
      </c>
      <c r="AE19" s="74">
        <v>1924.3781090000002</v>
      </c>
      <c r="AF19" s="17">
        <f>(AE19*1)</f>
        <v>1924.3781090000002</v>
      </c>
      <c r="AG19" s="6">
        <f>ROUND((AE19*AI19),2)</f>
        <v>1250.8499999999999</v>
      </c>
      <c r="AH19" s="30" t="s">
        <v>110</v>
      </c>
      <c r="AI19" s="3">
        <v>0.65</v>
      </c>
      <c r="AJ19" s="18">
        <v>0.35</v>
      </c>
      <c r="AK19" s="6">
        <f>ROUND((AD19-(AD19*BG19)),2)</f>
        <v>1671.76</v>
      </c>
      <c r="AL19" s="6">
        <f>ROUND((AD19-(AD19*BH19)),2)</f>
        <v>1654.88</v>
      </c>
      <c r="AM19" s="6">
        <f>ROUND((AD19-(AD19*BI19)),2)</f>
        <v>1637.99</v>
      </c>
      <c r="AN19" s="6">
        <f>ROUND((AD19-(AD19*BJ19)),2)</f>
        <v>1637.99</v>
      </c>
      <c r="AO19" s="6">
        <f>ROUND((AD19-(AD19*BK19)),2)</f>
        <v>1688.65</v>
      </c>
      <c r="BG19" s="12">
        <v>0.01</v>
      </c>
      <c r="BH19" s="12">
        <v>0.02</v>
      </c>
      <c r="BI19" s="12">
        <v>0.03</v>
      </c>
      <c r="BJ19" s="12">
        <v>0.03</v>
      </c>
      <c r="CC19" s="3" t="str">
        <f>IF(B19&lt;&gt;"",CONCATENATE(SUBSTITUTE(B19," ","-"),".jpg"),"")</f>
        <v>Allied-Moulded-AMEC3630123PT.jpg</v>
      </c>
      <c r="CD19" s="16" t="s">
        <v>111</v>
      </c>
      <c r="CE19" s="3"/>
      <c r="CF19" s="3"/>
      <c r="CG19" s="3" t="s">
        <v>112</v>
      </c>
      <c r="CI19" s="3" t="s">
        <v>97</v>
      </c>
      <c r="CJ19" s="3" t="s">
        <v>205</v>
      </c>
      <c r="CK19" s="3" t="s">
        <v>114</v>
      </c>
      <c r="CL19" s="3" t="s">
        <v>115</v>
      </c>
      <c r="CM19" s="3" t="s">
        <v>116</v>
      </c>
      <c r="CN19" t="s">
        <v>153</v>
      </c>
      <c r="CO19" s="3" t="s">
        <v>118</v>
      </c>
      <c r="CP19" s="3" t="s">
        <v>119</v>
      </c>
      <c r="CQ19" s="3" t="s">
        <v>120</v>
      </c>
      <c r="CR19" s="3" t="s">
        <v>140</v>
      </c>
      <c r="CS19" s="16" t="s">
        <v>122</v>
      </c>
      <c r="CT19" s="16" t="s">
        <v>216</v>
      </c>
      <c r="CU19" s="16" t="s">
        <v>123</v>
      </c>
      <c r="CV19" s="16" t="s">
        <v>125</v>
      </c>
    </row>
    <row r="20" spans="1:100" ht="15" customHeight="1">
      <c r="A20" s="127" t="s">
        <v>229</v>
      </c>
      <c r="B20" s="81" t="s">
        <v>230</v>
      </c>
      <c r="C20" s="16" t="s">
        <v>97</v>
      </c>
      <c r="D20" s="82" t="s">
        <v>231</v>
      </c>
      <c r="E20" s="16" t="s">
        <v>97</v>
      </c>
      <c r="F20" s="131" t="s">
        <v>232</v>
      </c>
      <c r="I20" s="100" t="s">
        <v>100</v>
      </c>
      <c r="J20" s="16" t="s">
        <v>101</v>
      </c>
      <c r="K20" s="16"/>
      <c r="L20" s="3" t="s">
        <v>102</v>
      </c>
      <c r="M20" s="3" t="s">
        <v>103</v>
      </c>
      <c r="N20" s="3" t="s">
        <v>104</v>
      </c>
      <c r="O20" s="16" t="s">
        <v>105</v>
      </c>
      <c r="P20" s="81" t="s">
        <v>233</v>
      </c>
      <c r="Q20" s="81" t="s">
        <v>233</v>
      </c>
      <c r="R20" s="81" t="s">
        <v>233</v>
      </c>
      <c r="S20" s="87" t="s">
        <v>229</v>
      </c>
      <c r="T20" s="130" t="s">
        <v>214</v>
      </c>
      <c r="U20" s="40">
        <v>75</v>
      </c>
      <c r="V20" s="40"/>
      <c r="W20" s="40"/>
      <c r="X20" s="59" t="s">
        <v>108</v>
      </c>
      <c r="Y20" s="93">
        <f>IF(AD20=0, 0, IF(OR(H20="", H20&lt;&gt;0), 1, 0))</f>
        <v>1</v>
      </c>
      <c r="Z20" s="3">
        <v>0</v>
      </c>
      <c r="AA20" s="3" t="s">
        <v>234</v>
      </c>
      <c r="AD20" s="6">
        <f>ROUND((AG20*(1+AJ20)),2)</f>
        <v>1603.85</v>
      </c>
      <c r="AE20" s="74">
        <v>1827.7566149999998</v>
      </c>
      <c r="AF20" s="17">
        <f>(AE20*1)</f>
        <v>1827.7566149999998</v>
      </c>
      <c r="AG20" s="6">
        <f>ROUND((AE20*AI20),2)</f>
        <v>1188.04</v>
      </c>
      <c r="AH20" s="30" t="s">
        <v>110</v>
      </c>
      <c r="AI20" s="3">
        <v>0.65</v>
      </c>
      <c r="AJ20" s="18">
        <v>0.35</v>
      </c>
      <c r="AK20" s="6">
        <f>ROUND((AD20-(AD20*BG20)),2)</f>
        <v>1587.81</v>
      </c>
      <c r="AL20" s="6">
        <f>ROUND((AD20-(AD20*BH20)),2)</f>
        <v>1571.77</v>
      </c>
      <c r="AM20" s="6">
        <f>ROUND((AD20-(AD20*BI20)),2)</f>
        <v>1555.73</v>
      </c>
      <c r="AN20" s="6">
        <f>ROUND((AD20-(AD20*BJ20)),2)</f>
        <v>1555.73</v>
      </c>
      <c r="AO20" s="6">
        <f>ROUND((AD20-(AD20*BK20)),2)</f>
        <v>1603.85</v>
      </c>
      <c r="BG20" s="12">
        <v>0.01</v>
      </c>
      <c r="BH20" s="12">
        <v>0.02</v>
      </c>
      <c r="BI20" s="12">
        <v>0.03</v>
      </c>
      <c r="BJ20" s="12">
        <v>0.03</v>
      </c>
      <c r="CC20" s="3" t="str">
        <f>IF(B20&lt;&gt;"",CONCATENATE(SUBSTITUTE(B20," ","-"),".jpg"),"")</f>
        <v>Allied-Moulded-AMEC363012T.jpg</v>
      </c>
      <c r="CD20" s="16" t="s">
        <v>111</v>
      </c>
      <c r="CE20" s="3"/>
      <c r="CF20" s="3"/>
      <c r="CG20" s="3" t="s">
        <v>112</v>
      </c>
      <c r="CI20" s="3" t="s">
        <v>97</v>
      </c>
      <c r="CJ20" s="3" t="s">
        <v>205</v>
      </c>
      <c r="CK20" s="3" t="s">
        <v>114</v>
      </c>
      <c r="CL20" s="3" t="s">
        <v>115</v>
      </c>
      <c r="CM20" s="3" t="s">
        <v>116</v>
      </c>
      <c r="CN20" s="16" t="s">
        <v>132</v>
      </c>
      <c r="CO20" s="3" t="s">
        <v>118</v>
      </c>
      <c r="CP20" s="3" t="s">
        <v>119</v>
      </c>
      <c r="CQ20" s="3" t="s">
        <v>120</v>
      </c>
      <c r="CR20" s="3" t="s">
        <v>140</v>
      </c>
      <c r="CS20" s="16" t="s">
        <v>122</v>
      </c>
      <c r="CT20" s="16" t="s">
        <v>216</v>
      </c>
      <c r="CU20" s="16" t="s">
        <v>123</v>
      </c>
      <c r="CV20" s="16" t="s">
        <v>125</v>
      </c>
    </row>
    <row r="21" spans="1:100" ht="15" customHeight="1">
      <c r="A21" s="127" t="s">
        <v>235</v>
      </c>
      <c r="B21" s="81" t="s">
        <v>236</v>
      </c>
      <c r="C21" s="16" t="s">
        <v>97</v>
      </c>
      <c r="D21" s="95" t="s">
        <v>237</v>
      </c>
      <c r="E21" s="16" t="s">
        <v>97</v>
      </c>
      <c r="F21" s="131" t="s">
        <v>238</v>
      </c>
      <c r="I21" s="100" t="s">
        <v>100</v>
      </c>
      <c r="J21" s="16" t="s">
        <v>101</v>
      </c>
      <c r="K21" s="16"/>
      <c r="L21" s="3" t="s">
        <v>102</v>
      </c>
      <c r="M21" s="3" t="s">
        <v>103</v>
      </c>
      <c r="N21" s="3" t="s">
        <v>104</v>
      </c>
      <c r="O21" s="16" t="s">
        <v>105</v>
      </c>
      <c r="P21" s="81" t="s">
        <v>239</v>
      </c>
      <c r="Q21" s="81" t="s">
        <v>239</v>
      </c>
      <c r="R21" s="81" t="s">
        <v>239</v>
      </c>
      <c r="S21" s="87" t="s">
        <v>235</v>
      </c>
      <c r="T21" s="130" t="s">
        <v>240</v>
      </c>
      <c r="U21" s="39">
        <v>65</v>
      </c>
      <c r="V21" s="39"/>
      <c r="W21" s="39"/>
      <c r="X21" s="59" t="s">
        <v>108</v>
      </c>
      <c r="Y21" s="93">
        <f>IF(AD21=0, 0, IF(OR(H21="", H21&lt;&gt;0), 1, 0))</f>
        <v>1</v>
      </c>
      <c r="Z21" s="3">
        <v>0</v>
      </c>
      <c r="AA21" s="3" t="s">
        <v>241</v>
      </c>
      <c r="AD21" s="6">
        <f>ROUND((AG21*(1+AJ21)),2)</f>
        <v>2189.98</v>
      </c>
      <c r="AE21" s="74">
        <v>2495.7010099999998</v>
      </c>
      <c r="AF21" s="17">
        <f>(AE21*1)</f>
        <v>2495.7010099999998</v>
      </c>
      <c r="AG21" s="6">
        <f>ROUND((AE21*AI21),2)</f>
        <v>1622.21</v>
      </c>
      <c r="AH21" s="30" t="s">
        <v>110</v>
      </c>
      <c r="AI21" s="3">
        <v>0.65</v>
      </c>
      <c r="AJ21" s="18">
        <v>0.35</v>
      </c>
      <c r="AK21" s="6">
        <f>ROUND((AD21-(AD21*BG21)),2)</f>
        <v>2168.08</v>
      </c>
      <c r="AL21" s="6">
        <f>ROUND((AD21-(AD21*BH21)),2)</f>
        <v>2146.1799999999998</v>
      </c>
      <c r="AM21" s="6">
        <f>ROUND((AD21-(AD21*BI21)),2)</f>
        <v>2124.2800000000002</v>
      </c>
      <c r="AN21" s="6">
        <f>ROUND((AD21-(AD21*BJ21)),2)</f>
        <v>2124.2800000000002</v>
      </c>
      <c r="AO21" s="6">
        <f>ROUND((AD21-(AD21*BK21)),2)</f>
        <v>2189.98</v>
      </c>
      <c r="BG21" s="12">
        <v>0.01</v>
      </c>
      <c r="BH21" s="12">
        <v>0.02</v>
      </c>
      <c r="BI21" s="12">
        <v>0.03</v>
      </c>
      <c r="BJ21" s="12">
        <v>0.03</v>
      </c>
      <c r="CC21" s="3" t="str">
        <f>IF(B21&lt;&gt;"",CONCATENATE(SUBSTITUTE(B21," ","-"),".jpg"),"")</f>
        <v>Allied-Moulded-AM363016L3PT.jpg</v>
      </c>
      <c r="CD21" s="16" t="s">
        <v>111</v>
      </c>
      <c r="CE21" s="3"/>
      <c r="CF21" s="3"/>
      <c r="CG21" s="3" t="s">
        <v>112</v>
      </c>
      <c r="CI21" s="3" t="s">
        <v>97</v>
      </c>
      <c r="CJ21" s="3" t="s">
        <v>205</v>
      </c>
      <c r="CK21" s="3" t="s">
        <v>114</v>
      </c>
      <c r="CL21" s="3" t="s">
        <v>115</v>
      </c>
      <c r="CM21" s="3" t="s">
        <v>116</v>
      </c>
      <c r="CN21" t="s">
        <v>153</v>
      </c>
      <c r="CO21" s="3" t="s">
        <v>118</v>
      </c>
      <c r="CP21" s="3" t="s">
        <v>119</v>
      </c>
      <c r="CQ21" s="3" t="s">
        <v>120</v>
      </c>
      <c r="CR21" s="3" t="s">
        <v>140</v>
      </c>
      <c r="CS21" s="16" t="s">
        <v>122</v>
      </c>
      <c r="CT21" s="16" t="s">
        <v>216</v>
      </c>
      <c r="CU21" s="16" t="s">
        <v>123</v>
      </c>
      <c r="CV21" s="16" t="s">
        <v>242</v>
      </c>
    </row>
    <row r="22" spans="1:100" ht="15" customHeight="1">
      <c r="A22" s="127" t="s">
        <v>243</v>
      </c>
      <c r="B22" s="81" t="s">
        <v>244</v>
      </c>
      <c r="C22" s="16" t="s">
        <v>97</v>
      </c>
      <c r="D22" s="82" t="s">
        <v>245</v>
      </c>
      <c r="E22" s="16" t="s">
        <v>97</v>
      </c>
      <c r="F22" s="131" t="s">
        <v>246</v>
      </c>
      <c r="I22" s="100" t="s">
        <v>100</v>
      </c>
      <c r="J22" s="16" t="s">
        <v>101</v>
      </c>
      <c r="K22" s="16"/>
      <c r="L22" s="3" t="s">
        <v>102</v>
      </c>
      <c r="M22" s="3" t="s">
        <v>103</v>
      </c>
      <c r="N22" s="3" t="s">
        <v>104</v>
      </c>
      <c r="O22" s="16" t="s">
        <v>105</v>
      </c>
      <c r="P22" s="81" t="s">
        <v>247</v>
      </c>
      <c r="Q22" s="81" t="s">
        <v>247</v>
      </c>
      <c r="R22" s="81" t="s">
        <v>247</v>
      </c>
      <c r="S22" s="87" t="s">
        <v>243</v>
      </c>
      <c r="T22" s="130" t="s">
        <v>240</v>
      </c>
      <c r="U22" s="40">
        <v>63</v>
      </c>
      <c r="V22" s="40"/>
      <c r="W22" s="40"/>
      <c r="X22" s="59" t="s">
        <v>108</v>
      </c>
      <c r="Y22" s="93">
        <f>IF(AD22=0, 0, IF(OR(H22="", H22&lt;&gt;0), 1, 0))</f>
        <v>1</v>
      </c>
      <c r="Z22" s="3">
        <v>0</v>
      </c>
      <c r="AA22" s="3" t="s">
        <v>248</v>
      </c>
      <c r="AD22" s="6">
        <f>ROUND((AG22*(1+AJ22)),2)</f>
        <v>2024.89</v>
      </c>
      <c r="AE22" s="74">
        <v>2307.5628550000001</v>
      </c>
      <c r="AF22" s="17">
        <f>(AE22*1)</f>
        <v>2307.5628550000001</v>
      </c>
      <c r="AG22" s="6">
        <f>ROUND((AE22*AI22),2)</f>
        <v>1499.92</v>
      </c>
      <c r="AH22" s="30" t="s">
        <v>110</v>
      </c>
      <c r="AI22" s="3">
        <v>0.65</v>
      </c>
      <c r="AJ22" s="18">
        <v>0.35</v>
      </c>
      <c r="AK22" s="6">
        <f>ROUND((AD22-(AD22*BG22)),2)</f>
        <v>2004.64</v>
      </c>
      <c r="AL22" s="6">
        <f>ROUND((AD22-(AD22*BH22)),2)</f>
        <v>1984.39</v>
      </c>
      <c r="AM22" s="6">
        <f>ROUND((AD22-(AD22*BI22)),2)</f>
        <v>1964.14</v>
      </c>
      <c r="AN22" s="6">
        <f>ROUND((AD22-(AD22*BJ22)),2)</f>
        <v>1964.14</v>
      </c>
      <c r="AO22" s="6">
        <f>ROUND((AD22-(AD22*BK22)),2)</f>
        <v>2024.89</v>
      </c>
      <c r="BG22" s="12">
        <v>0.01</v>
      </c>
      <c r="BH22" s="12">
        <v>0.02</v>
      </c>
      <c r="BI22" s="12">
        <v>0.03</v>
      </c>
      <c r="BJ22" s="12">
        <v>0.03</v>
      </c>
      <c r="CC22" s="3" t="str">
        <f>IF(B22&lt;&gt;"",CONCATENATE(SUBSTITUTE(B22," ","-"),".jpg"),"")</f>
        <v>Allied-Moulded-AM363016L.jpg</v>
      </c>
      <c r="CD22" s="16" t="s">
        <v>111</v>
      </c>
      <c r="CE22" s="3"/>
      <c r="CF22" s="3"/>
      <c r="CG22" s="3" t="s">
        <v>112</v>
      </c>
      <c r="CI22" s="3" t="s">
        <v>97</v>
      </c>
      <c r="CJ22" s="3" t="s">
        <v>205</v>
      </c>
      <c r="CK22" s="3" t="s">
        <v>114</v>
      </c>
      <c r="CL22" s="3" t="s">
        <v>115</v>
      </c>
      <c r="CM22" s="3" t="s">
        <v>116</v>
      </c>
      <c r="CN22" s="16" t="s">
        <v>132</v>
      </c>
      <c r="CO22" s="3" t="s">
        <v>118</v>
      </c>
      <c r="CP22" s="3" t="s">
        <v>119</v>
      </c>
      <c r="CQ22" s="3" t="s">
        <v>120</v>
      </c>
      <c r="CR22" s="3" t="s">
        <v>140</v>
      </c>
      <c r="CS22" s="16" t="s">
        <v>122</v>
      </c>
      <c r="CT22" s="16" t="s">
        <v>216</v>
      </c>
      <c r="CU22" s="16" t="s">
        <v>123</v>
      </c>
      <c r="CV22" s="16" t="s">
        <v>242</v>
      </c>
    </row>
    <row r="23" spans="1:100" ht="15" customHeight="1">
      <c r="A23" s="127" t="s">
        <v>251</v>
      </c>
      <c r="B23" s="81" t="s">
        <v>252</v>
      </c>
      <c r="C23" s="16" t="s">
        <v>97</v>
      </c>
      <c r="D23" s="82" t="s">
        <v>253</v>
      </c>
      <c r="E23" s="16" t="s">
        <v>97</v>
      </c>
      <c r="F23" s="131" t="s">
        <v>254</v>
      </c>
      <c r="I23" s="100" t="s">
        <v>100</v>
      </c>
      <c r="J23" s="16" t="s">
        <v>101</v>
      </c>
      <c r="K23" s="16"/>
      <c r="L23" s="3" t="s">
        <v>102</v>
      </c>
      <c r="M23" s="3" t="s">
        <v>103</v>
      </c>
      <c r="N23" s="3" t="s">
        <v>104</v>
      </c>
      <c r="O23" s="16" t="s">
        <v>105</v>
      </c>
      <c r="P23" s="81" t="s">
        <v>255</v>
      </c>
      <c r="Q23" s="81" t="s">
        <v>255</v>
      </c>
      <c r="R23" s="81" t="s">
        <v>255</v>
      </c>
      <c r="S23" s="87" t="s">
        <v>251</v>
      </c>
      <c r="T23" s="130" t="s">
        <v>214</v>
      </c>
      <c r="U23" s="40">
        <v>77</v>
      </c>
      <c r="V23" s="40"/>
      <c r="W23" s="40"/>
      <c r="X23" s="59" t="s">
        <v>108</v>
      </c>
      <c r="Y23" s="93">
        <f>IF(AD23=0, 0, IF(OR(H23="", H23&lt;&gt;0), 1, 0))</f>
        <v>1</v>
      </c>
      <c r="Z23" s="3">
        <v>0</v>
      </c>
      <c r="AA23" s="3" t="s">
        <v>256</v>
      </c>
      <c r="AD23" s="6">
        <f>ROUND((AG23*(1+AJ23)),2)</f>
        <v>1695.71</v>
      </c>
      <c r="AE23" s="74">
        <v>1932.429901</v>
      </c>
      <c r="AF23" s="17">
        <f>(AE23*1)</f>
        <v>1932.429901</v>
      </c>
      <c r="AG23" s="6">
        <f>ROUND((AE23*AI23),2)</f>
        <v>1256.08</v>
      </c>
      <c r="AH23" s="30" t="s">
        <v>110</v>
      </c>
      <c r="AI23" s="3">
        <v>0.65</v>
      </c>
      <c r="AJ23" s="18">
        <v>0.35</v>
      </c>
      <c r="AK23" s="6">
        <f>ROUND((AD23-(AD23*BG23)),2)</f>
        <v>1678.75</v>
      </c>
      <c r="AL23" s="6">
        <f>ROUND((AD23-(AD23*BH23)),2)</f>
        <v>1661.8</v>
      </c>
      <c r="AM23" s="6">
        <f>ROUND((AD23-(AD23*BI23)),2)</f>
        <v>1644.84</v>
      </c>
      <c r="AN23" s="6">
        <f>ROUND((AD23-(AD23*BJ23)),2)</f>
        <v>1644.84</v>
      </c>
      <c r="AO23" s="6">
        <f>ROUND((AD23-(AD23*BK23)),2)</f>
        <v>1695.71</v>
      </c>
      <c r="BG23" s="12">
        <v>0.01</v>
      </c>
      <c r="BH23" s="12">
        <v>0.02</v>
      </c>
      <c r="BI23" s="12">
        <v>0.03</v>
      </c>
      <c r="BJ23" s="12">
        <v>0.03</v>
      </c>
      <c r="CC23" s="3" t="str">
        <f>IF(B23&lt;&gt;"",CONCATENATE(SUBSTITUTE(B23," ","-"),".jpg"),"")</f>
        <v>Allied-Moulded-AMXL403212L3PT.jpg</v>
      </c>
      <c r="CD23" s="16" t="s">
        <v>111</v>
      </c>
      <c r="CE23" s="3"/>
      <c r="CF23" s="3"/>
      <c r="CG23" s="3" t="s">
        <v>112</v>
      </c>
      <c r="CI23" s="3" t="s">
        <v>97</v>
      </c>
      <c r="CJ23" s="3" t="s">
        <v>113</v>
      </c>
      <c r="CK23" s="3" t="s">
        <v>114</v>
      </c>
      <c r="CL23" s="3" t="s">
        <v>115</v>
      </c>
      <c r="CM23" s="3" t="s">
        <v>116</v>
      </c>
      <c r="CN23" t="s">
        <v>117</v>
      </c>
      <c r="CO23" s="3" t="s">
        <v>118</v>
      </c>
      <c r="CP23" s="3" t="s">
        <v>119</v>
      </c>
      <c r="CQ23" s="3" t="s">
        <v>120</v>
      </c>
      <c r="CR23" s="16" t="s">
        <v>121</v>
      </c>
      <c r="CS23" s="16" t="s">
        <v>122</v>
      </c>
      <c r="CT23" s="16" t="s">
        <v>249</v>
      </c>
      <c r="CU23" s="16" t="s">
        <v>250</v>
      </c>
      <c r="CV23" s="16" t="s">
        <v>125</v>
      </c>
    </row>
    <row r="24" spans="1:100" ht="15" customHeight="1">
      <c r="A24" s="127" t="s">
        <v>257</v>
      </c>
      <c r="B24" s="81" t="s">
        <v>258</v>
      </c>
      <c r="C24" s="16" t="s">
        <v>97</v>
      </c>
      <c r="D24" s="95" t="s">
        <v>259</v>
      </c>
      <c r="E24" s="16" t="s">
        <v>97</v>
      </c>
      <c r="F24" s="131" t="s">
        <v>260</v>
      </c>
      <c r="I24" s="100" t="s">
        <v>100</v>
      </c>
      <c r="J24" s="16" t="s">
        <v>101</v>
      </c>
      <c r="K24" s="16"/>
      <c r="L24" s="3" t="s">
        <v>102</v>
      </c>
      <c r="M24" s="3" t="s">
        <v>103</v>
      </c>
      <c r="N24" s="3" t="s">
        <v>104</v>
      </c>
      <c r="O24" s="16" t="s">
        <v>105</v>
      </c>
      <c r="P24" s="81" t="s">
        <v>261</v>
      </c>
      <c r="Q24" s="81" t="s">
        <v>261</v>
      </c>
      <c r="R24" s="81" t="s">
        <v>261</v>
      </c>
      <c r="S24" s="87" t="s">
        <v>257</v>
      </c>
      <c r="T24" s="130" t="s">
        <v>240</v>
      </c>
      <c r="U24" s="39">
        <v>81</v>
      </c>
      <c r="V24" s="39"/>
      <c r="W24" s="39"/>
      <c r="X24" s="59" t="s">
        <v>108</v>
      </c>
      <c r="Y24" s="93">
        <f>IF(AD24=0, 0, IF(OR(H24="", H24&lt;&gt;0), 1, 0))</f>
        <v>1</v>
      </c>
      <c r="Z24" s="3">
        <v>0</v>
      </c>
      <c r="AA24" s="3" t="s">
        <v>262</v>
      </c>
      <c r="AD24" s="6">
        <f>ROUND((AG24*(1+AJ24)),2)</f>
        <v>2588.67</v>
      </c>
      <c r="AE24" s="74">
        <v>2950.0474869999998</v>
      </c>
      <c r="AF24" s="17">
        <f>(AE24*1)</f>
        <v>2950.0474869999998</v>
      </c>
      <c r="AG24" s="6">
        <f>ROUND((AE24*AI24),2)</f>
        <v>1917.53</v>
      </c>
      <c r="AH24" s="30" t="s">
        <v>110</v>
      </c>
      <c r="AI24" s="3">
        <v>0.65</v>
      </c>
      <c r="AJ24" s="18">
        <v>0.35</v>
      </c>
      <c r="AK24" s="6">
        <f>ROUND((AD24-(AD24*BG24)),2)</f>
        <v>2562.7800000000002</v>
      </c>
      <c r="AL24" s="6">
        <f>ROUND((AD24-(AD24*BH24)),2)</f>
        <v>2536.9</v>
      </c>
      <c r="AM24" s="6">
        <f>ROUND((AD24-(AD24*BI24)),2)</f>
        <v>2511.0100000000002</v>
      </c>
      <c r="AN24" s="6">
        <f>ROUND((AD24-(AD24*BJ24)),2)</f>
        <v>2511.0100000000002</v>
      </c>
      <c r="AO24" s="6">
        <f>ROUND((AD24-(AD24*BK24)),2)</f>
        <v>2588.67</v>
      </c>
      <c r="BG24" s="12">
        <v>0.01</v>
      </c>
      <c r="BH24" s="12">
        <v>0.02</v>
      </c>
      <c r="BI24" s="12">
        <v>0.03</v>
      </c>
      <c r="BJ24" s="12">
        <v>0.03</v>
      </c>
      <c r="CC24" s="3" t="str">
        <f>IF(B24&lt;&gt;"",CONCATENATE(SUBSTITUTE(B24," ","-"),".jpg"),"")</f>
        <v>Allied-Moulded-AM363616L3PT.jpg</v>
      </c>
      <c r="CD24" s="16" t="s">
        <v>111</v>
      </c>
      <c r="CE24" s="3"/>
      <c r="CF24" s="3"/>
      <c r="CG24" s="3" t="s">
        <v>112</v>
      </c>
      <c r="CI24" s="3" t="s">
        <v>97</v>
      </c>
      <c r="CJ24" s="3" t="s">
        <v>205</v>
      </c>
      <c r="CK24" s="3" t="s">
        <v>114</v>
      </c>
      <c r="CL24" s="3" t="s">
        <v>115</v>
      </c>
      <c r="CM24" s="3" t="s">
        <v>116</v>
      </c>
      <c r="CN24" t="s">
        <v>153</v>
      </c>
      <c r="CO24" s="3" t="s">
        <v>118</v>
      </c>
      <c r="CP24" s="3" t="s">
        <v>119</v>
      </c>
      <c r="CQ24" s="3" t="s">
        <v>120</v>
      </c>
      <c r="CR24" s="3" t="s">
        <v>140</v>
      </c>
      <c r="CS24" s="16" t="s">
        <v>122</v>
      </c>
      <c r="CT24" s="16" t="s">
        <v>216</v>
      </c>
      <c r="CU24" s="16" t="s">
        <v>216</v>
      </c>
      <c r="CV24" s="16" t="s">
        <v>242</v>
      </c>
    </row>
    <row r="25" spans="1:100" ht="15" customHeight="1">
      <c r="A25" s="127" t="s">
        <v>263</v>
      </c>
      <c r="B25" s="81" t="s">
        <v>264</v>
      </c>
      <c r="C25" s="16" t="s">
        <v>97</v>
      </c>
      <c r="D25" s="82" t="s">
        <v>265</v>
      </c>
      <c r="E25" s="16" t="s">
        <v>97</v>
      </c>
      <c r="F25" s="131" t="s">
        <v>266</v>
      </c>
      <c r="I25" s="100" t="s">
        <v>100</v>
      </c>
      <c r="J25" s="16" t="s">
        <v>101</v>
      </c>
      <c r="K25" s="16"/>
      <c r="L25" s="3" t="s">
        <v>102</v>
      </c>
      <c r="M25" s="3" t="s">
        <v>103</v>
      </c>
      <c r="N25" s="3" t="s">
        <v>104</v>
      </c>
      <c r="O25" s="16" t="s">
        <v>105</v>
      </c>
      <c r="P25" s="81" t="s">
        <v>267</v>
      </c>
      <c r="Q25" s="81" t="s">
        <v>267</v>
      </c>
      <c r="R25" s="81" t="s">
        <v>267</v>
      </c>
      <c r="S25" s="87" t="s">
        <v>263</v>
      </c>
      <c r="T25" s="130" t="s">
        <v>240</v>
      </c>
      <c r="U25" s="40">
        <v>79</v>
      </c>
      <c r="V25" s="40"/>
      <c r="W25" s="40"/>
      <c r="X25" s="59" t="s">
        <v>108</v>
      </c>
      <c r="Y25" s="93">
        <f>IF(AD25=0, 0, IF(OR(H25="", H25&lt;&gt;0), 1, 0))</f>
        <v>1</v>
      </c>
      <c r="Z25" s="3">
        <v>0</v>
      </c>
      <c r="AA25" s="3" t="s">
        <v>268</v>
      </c>
      <c r="AD25" s="6">
        <f>ROUND((AG25*(1+AJ25)),2)</f>
        <v>2423.64</v>
      </c>
      <c r="AE25" s="74">
        <v>2761.9898499999999</v>
      </c>
      <c r="AF25" s="17">
        <f>(AE25*1)</f>
        <v>2761.9898499999999</v>
      </c>
      <c r="AG25" s="6">
        <f>ROUND((AE25*AI25),2)</f>
        <v>1795.29</v>
      </c>
      <c r="AH25" s="30" t="s">
        <v>110</v>
      </c>
      <c r="AI25" s="3">
        <v>0.65</v>
      </c>
      <c r="AJ25" s="18">
        <v>0.35</v>
      </c>
      <c r="AK25" s="6">
        <f>ROUND((AD25-(AD25*BG25)),2)</f>
        <v>2399.4</v>
      </c>
      <c r="AL25" s="6">
        <f>ROUND((AD25-(AD25*BH25)),2)</f>
        <v>2375.17</v>
      </c>
      <c r="AM25" s="6">
        <f>ROUND((AD25-(AD25*BI25)),2)</f>
        <v>2350.9299999999998</v>
      </c>
      <c r="AN25" s="6">
        <f>ROUND((AD25-(AD25*BJ25)),2)</f>
        <v>2350.9299999999998</v>
      </c>
      <c r="AO25" s="6">
        <f>ROUND((AD25-(AD25*BK25)),2)</f>
        <v>2423.64</v>
      </c>
      <c r="BG25" s="12">
        <v>0.01</v>
      </c>
      <c r="BH25" s="12">
        <v>0.02</v>
      </c>
      <c r="BI25" s="12">
        <v>0.03</v>
      </c>
      <c r="BJ25" s="12">
        <v>0.03</v>
      </c>
      <c r="CC25" s="3" t="str">
        <f>IF(B25&lt;&gt;"",CONCATENATE(SUBSTITUTE(B25," ","-"),".jpg"),"")</f>
        <v>Allied-Moulded-AM363616L.jpg</v>
      </c>
      <c r="CD25" s="16" t="s">
        <v>111</v>
      </c>
      <c r="CE25" s="3"/>
      <c r="CF25" s="3"/>
      <c r="CG25" s="3" t="s">
        <v>112</v>
      </c>
      <c r="CI25" s="3" t="s">
        <v>97</v>
      </c>
      <c r="CJ25" s="3" t="s">
        <v>205</v>
      </c>
      <c r="CK25" s="3" t="s">
        <v>114</v>
      </c>
      <c r="CL25" s="3" t="s">
        <v>115</v>
      </c>
      <c r="CM25" s="3" t="s">
        <v>116</v>
      </c>
      <c r="CN25" s="16" t="s">
        <v>132</v>
      </c>
      <c r="CO25" s="3" t="s">
        <v>118</v>
      </c>
      <c r="CP25" s="3" t="s">
        <v>119</v>
      </c>
      <c r="CQ25" s="3" t="s">
        <v>120</v>
      </c>
      <c r="CR25" s="3" t="s">
        <v>140</v>
      </c>
      <c r="CS25" s="16" t="s">
        <v>122</v>
      </c>
      <c r="CT25" s="16" t="s">
        <v>216</v>
      </c>
      <c r="CU25" s="16" t="s">
        <v>216</v>
      </c>
      <c r="CV25" s="16" t="s">
        <v>242</v>
      </c>
    </row>
    <row r="26" spans="1:100" ht="15" customHeight="1">
      <c r="A26" s="127" t="s">
        <v>269</v>
      </c>
      <c r="B26" s="81" t="s">
        <v>270</v>
      </c>
      <c r="C26" s="16" t="s">
        <v>97</v>
      </c>
      <c r="D26" s="82" t="s">
        <v>271</v>
      </c>
      <c r="E26" s="16" t="s">
        <v>97</v>
      </c>
      <c r="F26" s="131" t="s">
        <v>272</v>
      </c>
      <c r="I26" s="100" t="s">
        <v>100</v>
      </c>
      <c r="J26" s="16" t="s">
        <v>101</v>
      </c>
      <c r="K26" s="16"/>
      <c r="L26" s="3" t="s">
        <v>102</v>
      </c>
      <c r="M26" s="3" t="s">
        <v>103</v>
      </c>
      <c r="N26" s="3" t="s">
        <v>104</v>
      </c>
      <c r="O26" s="16" t="s">
        <v>105</v>
      </c>
      <c r="P26" s="81" t="s">
        <v>273</v>
      </c>
      <c r="Q26" s="81" t="s">
        <v>273</v>
      </c>
      <c r="R26" s="81" t="s">
        <v>273</v>
      </c>
      <c r="S26" s="87" t="s">
        <v>269</v>
      </c>
      <c r="T26" s="130" t="s">
        <v>240</v>
      </c>
      <c r="U26" s="40">
        <v>58</v>
      </c>
      <c r="V26" s="40"/>
      <c r="W26" s="40"/>
      <c r="X26" s="59" t="s">
        <v>108</v>
      </c>
      <c r="Y26" s="93">
        <f>IF(AD26=0, 0, IF(OR(H26="", H26&lt;&gt;0), 1, 0))</f>
        <v>1</v>
      </c>
      <c r="Z26" s="3">
        <v>0</v>
      </c>
      <c r="AA26" s="3" t="s">
        <v>274</v>
      </c>
      <c r="AD26" s="6">
        <f>ROUND((AG26*(1+AJ26)),2)</f>
        <v>2480.83</v>
      </c>
      <c r="AE26" s="74">
        <v>2827.1610479999999</v>
      </c>
      <c r="AF26" s="17">
        <f>(AE26*1)</f>
        <v>2827.1610479999999</v>
      </c>
      <c r="AG26" s="6">
        <f>ROUND((AE26*AI26),2)</f>
        <v>1837.65</v>
      </c>
      <c r="AH26" s="30" t="s">
        <v>110</v>
      </c>
      <c r="AI26" s="3">
        <v>0.65</v>
      </c>
      <c r="AJ26" s="18">
        <v>0.35</v>
      </c>
      <c r="AK26" s="6">
        <f>ROUND((AD26-(AD26*BG26)),2)</f>
        <v>2456.02</v>
      </c>
      <c r="AL26" s="6">
        <f>ROUND((AD26-(AD26*BH26)),2)</f>
        <v>2431.21</v>
      </c>
      <c r="AM26" s="6">
        <f>ROUND((AD26-(AD26*BI26)),2)</f>
        <v>2406.41</v>
      </c>
      <c r="AN26" s="6">
        <f>ROUND((AD26-(AD26*BJ26)),2)</f>
        <v>2406.41</v>
      </c>
      <c r="AO26" s="6">
        <f>ROUND((AD26-(AD26*BK26)),2)</f>
        <v>2480.83</v>
      </c>
      <c r="BG26" s="12">
        <v>0.01</v>
      </c>
      <c r="BH26" s="12">
        <v>0.02</v>
      </c>
      <c r="BI26" s="12">
        <v>0.03</v>
      </c>
      <c r="BJ26" s="12">
        <v>0.03</v>
      </c>
      <c r="CC26" s="3" t="str">
        <f>IF(B26&lt;&gt;"",CONCATENATE(SUBSTITUTE(B26," ","-"),".jpg"),"")</f>
        <v>Allied-Moulded-AM363612L3PT.jpg</v>
      </c>
      <c r="CD26" s="16" t="s">
        <v>111</v>
      </c>
      <c r="CE26" s="3"/>
      <c r="CF26" s="3"/>
      <c r="CG26" s="3" t="s">
        <v>112</v>
      </c>
      <c r="CI26" s="3" t="s">
        <v>97</v>
      </c>
      <c r="CJ26" s="3" t="s">
        <v>205</v>
      </c>
      <c r="CK26" s="3" t="s">
        <v>114</v>
      </c>
      <c r="CL26" s="3" t="s">
        <v>115</v>
      </c>
      <c r="CM26" s="3" t="s">
        <v>116</v>
      </c>
      <c r="CN26" t="s">
        <v>153</v>
      </c>
      <c r="CO26" s="3" t="s">
        <v>118</v>
      </c>
      <c r="CP26" s="3" t="s">
        <v>119</v>
      </c>
      <c r="CQ26" s="3" t="s">
        <v>120</v>
      </c>
      <c r="CR26" s="3" t="s">
        <v>140</v>
      </c>
      <c r="CS26" s="16" t="s">
        <v>122</v>
      </c>
      <c r="CT26" s="16" t="s">
        <v>216</v>
      </c>
      <c r="CU26" s="16" t="s">
        <v>216</v>
      </c>
      <c r="CV26" s="16" t="s">
        <v>125</v>
      </c>
    </row>
    <row r="27" spans="1:100" ht="15" customHeight="1">
      <c r="A27" s="127" t="s">
        <v>275</v>
      </c>
      <c r="B27" s="81" t="s">
        <v>276</v>
      </c>
      <c r="C27" s="16" t="s">
        <v>97</v>
      </c>
      <c r="D27" s="95" t="s">
        <v>277</v>
      </c>
      <c r="E27" s="16" t="s">
        <v>97</v>
      </c>
      <c r="F27" s="131" t="s">
        <v>278</v>
      </c>
      <c r="I27" s="100" t="s">
        <v>100</v>
      </c>
      <c r="J27" s="16" t="s">
        <v>101</v>
      </c>
      <c r="K27" s="16"/>
      <c r="L27" s="3" t="s">
        <v>102</v>
      </c>
      <c r="M27" s="3" t="s">
        <v>103</v>
      </c>
      <c r="N27" s="3" t="s">
        <v>104</v>
      </c>
      <c r="O27" s="16" t="s">
        <v>105</v>
      </c>
      <c r="P27" s="81" t="s">
        <v>279</v>
      </c>
      <c r="Q27" s="81" t="s">
        <v>279</v>
      </c>
      <c r="R27" s="81" t="s">
        <v>279</v>
      </c>
      <c r="S27" s="87" t="s">
        <v>275</v>
      </c>
      <c r="T27" s="130" t="s">
        <v>240</v>
      </c>
      <c r="U27" s="39">
        <v>56</v>
      </c>
      <c r="V27" s="39"/>
      <c r="W27" s="39"/>
      <c r="X27" s="59" t="s">
        <v>108</v>
      </c>
      <c r="Y27" s="93">
        <f>IF(AD27=0, 0, IF(OR(H27="", H27&lt;&gt;0), 1, 0))</f>
        <v>1</v>
      </c>
      <c r="Z27" s="3">
        <v>0</v>
      </c>
      <c r="AA27" s="3" t="s">
        <v>280</v>
      </c>
      <c r="AD27" s="6">
        <f>ROUND((AG27*(1+AJ27)),2)</f>
        <v>2315.8000000000002</v>
      </c>
      <c r="AE27" s="74">
        <v>2639.0873080000001</v>
      </c>
      <c r="AF27" s="17">
        <f>(AE27*1)</f>
        <v>2639.0873080000001</v>
      </c>
      <c r="AG27" s="6">
        <f>ROUND((AE27*AI27),2)</f>
        <v>1715.41</v>
      </c>
      <c r="AH27" s="30" t="s">
        <v>110</v>
      </c>
      <c r="AI27" s="3">
        <v>0.65</v>
      </c>
      <c r="AJ27" s="18">
        <v>0.35</v>
      </c>
      <c r="AK27" s="6">
        <f>ROUND((AD27-(AD27*BG27)),2)</f>
        <v>2292.64</v>
      </c>
      <c r="AL27" s="6">
        <f>ROUND((AD27-(AD27*BH27)),2)</f>
        <v>2269.48</v>
      </c>
      <c r="AM27" s="6">
        <f>ROUND((AD27-(AD27*BI27)),2)</f>
        <v>2246.33</v>
      </c>
      <c r="AN27" s="6">
        <f>ROUND((AD27-(AD27*BJ27)),2)</f>
        <v>2246.33</v>
      </c>
      <c r="AO27" s="6">
        <f>ROUND((AD27-(AD27*BK27)),2)</f>
        <v>2315.8000000000002</v>
      </c>
      <c r="BG27" s="12">
        <v>0.01</v>
      </c>
      <c r="BH27" s="12">
        <v>0.02</v>
      </c>
      <c r="BI27" s="12">
        <v>0.03</v>
      </c>
      <c r="BJ27" s="12">
        <v>0.03</v>
      </c>
      <c r="CC27" s="3" t="str">
        <f>IF(B27&lt;&gt;"",CONCATENATE(SUBSTITUTE(B27," ","-"),".jpg"),"")</f>
        <v>Allied-Moulded-AM363612L.jpg</v>
      </c>
      <c r="CD27" s="16" t="s">
        <v>111</v>
      </c>
      <c r="CE27" s="3"/>
      <c r="CF27" s="3"/>
      <c r="CG27" s="3" t="s">
        <v>112</v>
      </c>
      <c r="CI27" s="3" t="s">
        <v>97</v>
      </c>
      <c r="CJ27" s="3" t="s">
        <v>205</v>
      </c>
      <c r="CK27" s="3" t="s">
        <v>114</v>
      </c>
      <c r="CL27" s="3" t="s">
        <v>115</v>
      </c>
      <c r="CM27" s="3" t="s">
        <v>116</v>
      </c>
      <c r="CN27" s="16" t="s">
        <v>132</v>
      </c>
      <c r="CO27" s="3" t="s">
        <v>118</v>
      </c>
      <c r="CP27" s="3" t="s">
        <v>119</v>
      </c>
      <c r="CQ27" s="3" t="s">
        <v>120</v>
      </c>
      <c r="CR27" s="3" t="s">
        <v>140</v>
      </c>
      <c r="CS27" s="16" t="s">
        <v>122</v>
      </c>
      <c r="CT27" s="16" t="s">
        <v>216</v>
      </c>
      <c r="CU27" s="16" t="s">
        <v>216</v>
      </c>
      <c r="CV27" s="16" t="s">
        <v>125</v>
      </c>
    </row>
    <row r="28" spans="1:100" ht="15" customHeight="1">
      <c r="A28" s="127" t="s">
        <v>281</v>
      </c>
      <c r="B28" s="81" t="s">
        <v>282</v>
      </c>
      <c r="C28" s="16" t="s">
        <v>97</v>
      </c>
      <c r="D28" s="82" t="s">
        <v>283</v>
      </c>
      <c r="E28" s="16" t="s">
        <v>97</v>
      </c>
      <c r="F28" s="131" t="s">
        <v>284</v>
      </c>
      <c r="I28" s="100" t="s">
        <v>100</v>
      </c>
      <c r="J28" s="16" t="s">
        <v>101</v>
      </c>
      <c r="K28" s="16"/>
      <c r="L28" s="3" t="s">
        <v>102</v>
      </c>
      <c r="M28" s="3" t="s">
        <v>103</v>
      </c>
      <c r="N28" s="3" t="s">
        <v>104</v>
      </c>
      <c r="O28" s="16" t="s">
        <v>105</v>
      </c>
      <c r="P28" s="81" t="s">
        <v>285</v>
      </c>
      <c r="Q28" s="81" t="s">
        <v>285</v>
      </c>
      <c r="R28" s="81" t="s">
        <v>285</v>
      </c>
      <c r="S28" s="87" t="s">
        <v>281</v>
      </c>
      <c r="T28" s="130" t="s">
        <v>240</v>
      </c>
      <c r="U28" s="40">
        <v>97</v>
      </c>
      <c r="V28" s="40"/>
      <c r="W28" s="40"/>
      <c r="X28" s="59" t="s">
        <v>108</v>
      </c>
      <c r="Y28" s="93">
        <f>IF(AD28=0, 0, IF(OR(H28="", H28&lt;&gt;0), 1, 0))</f>
        <v>1</v>
      </c>
      <c r="Z28" s="3">
        <v>0</v>
      </c>
      <c r="AA28" s="3" t="s">
        <v>286</v>
      </c>
      <c r="AD28" s="6">
        <f>ROUND((AG28*(1+AJ28)),2)</f>
        <v>2789.73</v>
      </c>
      <c r="AE28" s="74">
        <v>3179.1853620000002</v>
      </c>
      <c r="AF28" s="17">
        <f>(AE28*1)</f>
        <v>3179.1853620000002</v>
      </c>
      <c r="AG28" s="6">
        <f>ROUND((AE28*AI28),2)</f>
        <v>2066.4699999999998</v>
      </c>
      <c r="AH28" s="30" t="s">
        <v>110</v>
      </c>
      <c r="AI28" s="3">
        <v>0.65</v>
      </c>
      <c r="AJ28" s="18">
        <v>0.35</v>
      </c>
      <c r="AK28" s="6">
        <f>ROUND((AD28-(AD28*BG28)),2)</f>
        <v>2761.83</v>
      </c>
      <c r="AL28" s="6">
        <f>ROUND((AD28-(AD28*BH28)),2)</f>
        <v>2733.94</v>
      </c>
      <c r="AM28" s="6">
        <f>ROUND((AD28-(AD28*BI28)),2)</f>
        <v>2706.04</v>
      </c>
      <c r="AN28" s="6">
        <f>ROUND((AD28-(AD28*BJ28)),2)</f>
        <v>2706.04</v>
      </c>
      <c r="AO28" s="6">
        <f>ROUND((AD28-(AD28*BK28)),2)</f>
        <v>2789.73</v>
      </c>
      <c r="BG28" s="12">
        <v>0.01</v>
      </c>
      <c r="BH28" s="12">
        <v>0.02</v>
      </c>
      <c r="BI28" s="12">
        <v>0.03</v>
      </c>
      <c r="BJ28" s="12">
        <v>0.03</v>
      </c>
      <c r="CC28" s="3" t="str">
        <f>IF(B28&lt;&gt;"",CONCATENATE(SUBSTITUTE(B28," ","-"),".jpg"),"")</f>
        <v>Allied-Moulded-AM483616L.jpg</v>
      </c>
      <c r="CD28" s="16" t="s">
        <v>111</v>
      </c>
      <c r="CE28" s="3"/>
      <c r="CF28" s="3"/>
      <c r="CG28" s="3" t="s">
        <v>112</v>
      </c>
      <c r="CI28" s="3" t="s">
        <v>97</v>
      </c>
      <c r="CJ28" s="3" t="s">
        <v>205</v>
      </c>
      <c r="CK28" s="3" t="s">
        <v>114</v>
      </c>
      <c r="CL28" s="3" t="s">
        <v>115</v>
      </c>
      <c r="CM28" s="3" t="s">
        <v>116</v>
      </c>
      <c r="CN28" s="16" t="s">
        <v>132</v>
      </c>
      <c r="CO28" s="3" t="s">
        <v>118</v>
      </c>
      <c r="CP28" s="3" t="s">
        <v>119</v>
      </c>
      <c r="CQ28" s="3" t="s">
        <v>120</v>
      </c>
      <c r="CR28" s="3" t="s">
        <v>140</v>
      </c>
      <c r="CS28" s="16" t="s">
        <v>122</v>
      </c>
      <c r="CT28" s="16" t="s">
        <v>287</v>
      </c>
      <c r="CU28" s="16" t="s">
        <v>216</v>
      </c>
      <c r="CV28" s="16" t="s">
        <v>242</v>
      </c>
    </row>
    <row r="29" spans="1:100" ht="15" customHeight="1">
      <c r="A29" s="127" t="s">
        <v>288</v>
      </c>
      <c r="B29" s="81" t="s">
        <v>289</v>
      </c>
      <c r="C29" s="16" t="s">
        <v>97</v>
      </c>
      <c r="D29" s="95" t="s">
        <v>290</v>
      </c>
      <c r="E29" s="16" t="s">
        <v>97</v>
      </c>
      <c r="F29" s="131" t="s">
        <v>291</v>
      </c>
      <c r="I29" s="100" t="s">
        <v>100</v>
      </c>
      <c r="J29" s="16" t="s">
        <v>101</v>
      </c>
      <c r="K29" s="16"/>
      <c r="L29" s="3" t="s">
        <v>102</v>
      </c>
      <c r="M29" s="3" t="s">
        <v>103</v>
      </c>
      <c r="N29" s="3" t="s">
        <v>104</v>
      </c>
      <c r="O29" s="16" t="s">
        <v>105</v>
      </c>
      <c r="P29" s="81" t="s">
        <v>292</v>
      </c>
      <c r="Q29" s="81" t="s">
        <v>292</v>
      </c>
      <c r="R29" s="81" t="s">
        <v>292</v>
      </c>
      <c r="S29" s="87" t="s">
        <v>288</v>
      </c>
      <c r="T29" s="130" t="s">
        <v>240</v>
      </c>
      <c r="U29" s="39">
        <v>97</v>
      </c>
      <c r="V29" s="39"/>
      <c r="W29" s="39"/>
      <c r="X29" s="59" t="s">
        <v>108</v>
      </c>
      <c r="Y29" s="93">
        <f>IF(AD29=0, 0, IF(OR(H29="", H29&lt;&gt;0), 1, 0))</f>
        <v>1</v>
      </c>
      <c r="Z29" s="3">
        <v>0</v>
      </c>
      <c r="AA29" s="3" t="s">
        <v>293</v>
      </c>
      <c r="AD29" s="6">
        <f>ROUND((AG29*(1+AJ29)),2)</f>
        <v>2950.72</v>
      </c>
      <c r="AE29" s="74">
        <v>3362.6534769999998</v>
      </c>
      <c r="AF29" s="17">
        <f>(AE29*1)</f>
        <v>3362.6534769999998</v>
      </c>
      <c r="AG29" s="6">
        <f>ROUND((AE29*AI29),2)</f>
        <v>2185.7199999999998</v>
      </c>
      <c r="AH29" s="30" t="s">
        <v>110</v>
      </c>
      <c r="AI29" s="3">
        <v>0.65</v>
      </c>
      <c r="AJ29" s="18">
        <v>0.35</v>
      </c>
      <c r="AK29" s="6">
        <f>ROUND((AD29-(AD29*BG29)),2)</f>
        <v>2921.21</v>
      </c>
      <c r="AL29" s="6">
        <f>ROUND((AD29-(AD29*BH29)),2)</f>
        <v>2891.71</v>
      </c>
      <c r="AM29" s="6">
        <f>ROUND((AD29-(AD29*BI29)),2)</f>
        <v>2862.2</v>
      </c>
      <c r="AN29" s="6">
        <f>ROUND((AD29-(AD29*BJ29)),2)</f>
        <v>2862.2</v>
      </c>
      <c r="AO29" s="6">
        <f>ROUND((AD29-(AD29*BK29)),2)</f>
        <v>2950.72</v>
      </c>
      <c r="BG29" s="12">
        <v>0.01</v>
      </c>
      <c r="BH29" s="12">
        <v>0.02</v>
      </c>
      <c r="BI29" s="12">
        <v>0.03</v>
      </c>
      <c r="BJ29" s="12">
        <v>0.03</v>
      </c>
      <c r="CC29" s="3" t="str">
        <f>IF(B29&lt;&gt;"",CONCATENATE(SUBSTITUTE(B29," ","-"),".jpg"),"")</f>
        <v>Allied-Moulded-AM483616L3PT.jpg</v>
      </c>
      <c r="CD29" s="16" t="s">
        <v>111</v>
      </c>
      <c r="CE29" s="3"/>
      <c r="CF29" s="3"/>
      <c r="CG29" s="3" t="s">
        <v>112</v>
      </c>
      <c r="CI29" s="3" t="s">
        <v>97</v>
      </c>
      <c r="CJ29" s="3" t="s">
        <v>205</v>
      </c>
      <c r="CK29" s="3" t="s">
        <v>114</v>
      </c>
      <c r="CL29" s="3" t="s">
        <v>115</v>
      </c>
      <c r="CM29" s="3" t="s">
        <v>116</v>
      </c>
      <c r="CN29" t="s">
        <v>153</v>
      </c>
      <c r="CO29" s="3" t="s">
        <v>118</v>
      </c>
      <c r="CP29" s="3" t="s">
        <v>119</v>
      </c>
      <c r="CQ29" s="3" t="s">
        <v>120</v>
      </c>
      <c r="CR29" s="3" t="s">
        <v>140</v>
      </c>
      <c r="CS29" s="16" t="s">
        <v>122</v>
      </c>
      <c r="CT29" s="16" t="s">
        <v>287</v>
      </c>
      <c r="CU29" s="16" t="s">
        <v>216</v>
      </c>
      <c r="CV29" s="16" t="s">
        <v>242</v>
      </c>
    </row>
    <row r="30" spans="1:100" ht="15" customHeight="1">
      <c r="A30" s="127" t="s">
        <v>294</v>
      </c>
      <c r="B30" s="81" t="s">
        <v>295</v>
      </c>
      <c r="C30" s="16" t="s">
        <v>97</v>
      </c>
      <c r="D30" s="82" t="s">
        <v>296</v>
      </c>
      <c r="E30" s="16" t="s">
        <v>97</v>
      </c>
      <c r="F30" s="131" t="s">
        <v>297</v>
      </c>
      <c r="I30" s="100" t="s">
        <v>100</v>
      </c>
      <c r="J30" s="16" t="s">
        <v>101</v>
      </c>
      <c r="K30" s="16"/>
      <c r="L30" s="3" t="s">
        <v>102</v>
      </c>
      <c r="M30" s="3" t="s">
        <v>103</v>
      </c>
      <c r="N30" s="3" t="s">
        <v>104</v>
      </c>
      <c r="O30" s="16" t="s">
        <v>105</v>
      </c>
      <c r="P30" s="81" t="s">
        <v>298</v>
      </c>
      <c r="Q30" s="81" t="s">
        <v>298</v>
      </c>
      <c r="R30" s="81" t="s">
        <v>298</v>
      </c>
      <c r="S30" s="87" t="s">
        <v>294</v>
      </c>
      <c r="T30" s="130" t="s">
        <v>240</v>
      </c>
      <c r="U30" s="40">
        <v>95</v>
      </c>
      <c r="V30" s="40"/>
      <c r="W30" s="40"/>
      <c r="X30" s="59" t="s">
        <v>108</v>
      </c>
      <c r="Y30" s="93">
        <f>IF(AD30=0, 0, IF(OR(H30="", H30&lt;&gt;0), 1, 0))</f>
        <v>1</v>
      </c>
      <c r="Z30" s="3">
        <v>0</v>
      </c>
      <c r="AA30" s="3" t="s">
        <v>299</v>
      </c>
      <c r="AD30" s="6">
        <f>ROUND((AG30*(1+AJ30)),2)</f>
        <v>2692.47</v>
      </c>
      <c r="AE30" s="74">
        <v>3068.3444040000004</v>
      </c>
      <c r="AF30" s="17">
        <f>(AE30*1)</f>
        <v>3068.3444040000004</v>
      </c>
      <c r="AG30" s="6">
        <f>ROUND((AE30*AI30),2)</f>
        <v>1994.42</v>
      </c>
      <c r="AH30" s="30" t="s">
        <v>110</v>
      </c>
      <c r="AI30" s="3">
        <v>0.65</v>
      </c>
      <c r="AJ30" s="18">
        <v>0.35</v>
      </c>
      <c r="AK30" s="6">
        <f>ROUND((AD30-(AD30*BG30)),2)</f>
        <v>2665.55</v>
      </c>
      <c r="AL30" s="6">
        <f>ROUND((AD30-(AD30*BH30)),2)</f>
        <v>2638.62</v>
      </c>
      <c r="AM30" s="6">
        <f>ROUND((AD30-(AD30*BI30)),2)</f>
        <v>2611.6999999999998</v>
      </c>
      <c r="AN30" s="6">
        <f>ROUND((AD30-(AD30*BJ30)),2)</f>
        <v>2611.6999999999998</v>
      </c>
      <c r="AO30" s="6">
        <f>ROUND((AD30-(AD30*BK30)),2)</f>
        <v>2692.47</v>
      </c>
      <c r="BG30" s="12">
        <v>0.01</v>
      </c>
      <c r="BH30" s="12">
        <v>0.02</v>
      </c>
      <c r="BI30" s="12">
        <v>0.03</v>
      </c>
      <c r="BJ30" s="12">
        <v>0.03</v>
      </c>
      <c r="CC30" s="3" t="str">
        <f>IF(B30&lt;&gt;"",CONCATENATE(SUBSTITUTE(B30," ","-"),".jpg"),"")</f>
        <v>Allied-Moulded-AM483612L3PT.jpg</v>
      </c>
      <c r="CD30" s="16" t="s">
        <v>111</v>
      </c>
      <c r="CE30" s="3"/>
      <c r="CF30" s="3"/>
      <c r="CG30" s="3" t="s">
        <v>112</v>
      </c>
      <c r="CI30" s="3" t="s">
        <v>97</v>
      </c>
      <c r="CJ30" s="3" t="s">
        <v>205</v>
      </c>
      <c r="CK30" s="3" t="s">
        <v>114</v>
      </c>
      <c r="CL30" s="3" t="s">
        <v>115</v>
      </c>
      <c r="CM30" s="3" t="s">
        <v>116</v>
      </c>
      <c r="CN30" t="s">
        <v>153</v>
      </c>
      <c r="CO30" s="3" t="s">
        <v>118</v>
      </c>
      <c r="CP30" s="3" t="s">
        <v>119</v>
      </c>
      <c r="CQ30" s="3" t="s">
        <v>120</v>
      </c>
      <c r="CR30" s="3" t="s">
        <v>140</v>
      </c>
      <c r="CS30" s="16" t="s">
        <v>122</v>
      </c>
      <c r="CT30" s="16" t="s">
        <v>287</v>
      </c>
      <c r="CU30" s="16" t="s">
        <v>216</v>
      </c>
      <c r="CV30" s="16" t="s">
        <v>125</v>
      </c>
    </row>
    <row r="31" spans="1:100" ht="15" customHeight="1">
      <c r="A31" s="127" t="s">
        <v>300</v>
      </c>
      <c r="B31" s="81" t="s">
        <v>301</v>
      </c>
      <c r="C31" s="16" t="s">
        <v>97</v>
      </c>
      <c r="D31" s="95" t="s">
        <v>302</v>
      </c>
      <c r="E31" s="16" t="s">
        <v>97</v>
      </c>
      <c r="F31" s="131" t="s">
        <v>303</v>
      </c>
      <c r="I31" s="100" t="s">
        <v>100</v>
      </c>
      <c r="J31" s="16" t="s">
        <v>101</v>
      </c>
      <c r="K31" s="16"/>
      <c r="L31" s="3" t="s">
        <v>102</v>
      </c>
      <c r="M31" s="3" t="s">
        <v>103</v>
      </c>
      <c r="N31" s="3" t="s">
        <v>104</v>
      </c>
      <c r="O31" s="16" t="s">
        <v>105</v>
      </c>
      <c r="P31" s="81" t="s">
        <v>304</v>
      </c>
      <c r="Q31" s="81" t="s">
        <v>304</v>
      </c>
      <c r="R31" s="81" t="s">
        <v>304</v>
      </c>
      <c r="S31" s="87" t="s">
        <v>300</v>
      </c>
      <c r="T31" s="130" t="s">
        <v>240</v>
      </c>
      <c r="U31" s="39">
        <v>87</v>
      </c>
      <c r="V31" s="39"/>
      <c r="W31" s="39"/>
      <c r="X31" s="59" t="s">
        <v>108</v>
      </c>
      <c r="Y31" s="93">
        <f>IF(AD31=0, 0, IF(OR(H31="", H31&lt;&gt;0), 1, 0))</f>
        <v>1</v>
      </c>
      <c r="Z31" s="3">
        <v>0</v>
      </c>
      <c r="AA31" s="3" t="s">
        <v>305</v>
      </c>
      <c r="AD31" s="6">
        <f>ROUND((AG31*(1+AJ31)),2)</f>
        <v>2531.4699999999998</v>
      </c>
      <c r="AE31" s="74">
        <v>2884.860185</v>
      </c>
      <c r="AF31" s="17">
        <f>(AE31*1)</f>
        <v>2884.860185</v>
      </c>
      <c r="AG31" s="6">
        <f>ROUND((AE31*AI31),2)</f>
        <v>1875.16</v>
      </c>
      <c r="AH31" s="30" t="s">
        <v>110</v>
      </c>
      <c r="AI31" s="3">
        <v>0.65</v>
      </c>
      <c r="AJ31" s="18">
        <v>0.35</v>
      </c>
      <c r="AK31" s="6">
        <f>ROUND((AD31-(AD31*BG31)),2)</f>
        <v>2506.16</v>
      </c>
      <c r="AL31" s="6">
        <f>ROUND((AD31-(AD31*BH31)),2)</f>
        <v>2480.84</v>
      </c>
      <c r="AM31" s="6">
        <f>ROUND((AD31-(AD31*BI31)),2)</f>
        <v>2455.5300000000002</v>
      </c>
      <c r="AN31" s="6">
        <f>ROUND((AD31-(AD31*BJ31)),2)</f>
        <v>2455.5300000000002</v>
      </c>
      <c r="AO31" s="6">
        <f>ROUND((AD31-(AD31*BK31)),2)</f>
        <v>2531.4699999999998</v>
      </c>
      <c r="BG31" s="12">
        <v>0.01</v>
      </c>
      <c r="BH31" s="12">
        <v>0.02</v>
      </c>
      <c r="BI31" s="12">
        <v>0.03</v>
      </c>
      <c r="BJ31" s="12">
        <v>0.03</v>
      </c>
      <c r="CC31" s="3" t="str">
        <f>IF(B31&lt;&gt;"",CONCATENATE(SUBSTITUTE(B31," ","-"),".jpg"),"")</f>
        <v>Allied-Moulded-AM483612L.jpg</v>
      </c>
      <c r="CD31" s="16" t="s">
        <v>111</v>
      </c>
      <c r="CE31" s="3"/>
      <c r="CF31" s="3"/>
      <c r="CG31" s="3" t="s">
        <v>112</v>
      </c>
      <c r="CI31" s="3" t="s">
        <v>97</v>
      </c>
      <c r="CJ31" s="3" t="s">
        <v>205</v>
      </c>
      <c r="CK31" s="3" t="s">
        <v>114</v>
      </c>
      <c r="CL31" s="3" t="s">
        <v>115</v>
      </c>
      <c r="CM31" s="3" t="s">
        <v>116</v>
      </c>
      <c r="CN31" s="16" t="s">
        <v>132</v>
      </c>
      <c r="CO31" s="3" t="s">
        <v>118</v>
      </c>
      <c r="CP31" s="3" t="s">
        <v>119</v>
      </c>
      <c r="CQ31" s="3" t="s">
        <v>120</v>
      </c>
      <c r="CR31" s="3" t="s">
        <v>140</v>
      </c>
      <c r="CS31" s="16" t="s">
        <v>122</v>
      </c>
      <c r="CT31" s="16" t="s">
        <v>287</v>
      </c>
      <c r="CU31" s="16" t="s">
        <v>216</v>
      </c>
      <c r="CV31" s="16" t="s">
        <v>125</v>
      </c>
    </row>
    <row r="32" spans="1:100" ht="15" customHeight="1">
      <c r="A32" s="127" t="s">
        <v>306</v>
      </c>
      <c r="B32" s="81" t="s">
        <v>307</v>
      </c>
      <c r="C32" s="16" t="s">
        <v>97</v>
      </c>
      <c r="D32" s="95" t="s">
        <v>308</v>
      </c>
      <c r="E32" s="16" t="s">
        <v>97</v>
      </c>
      <c r="F32" s="131" t="s">
        <v>309</v>
      </c>
      <c r="I32" s="100" t="s">
        <v>100</v>
      </c>
      <c r="J32" s="16" t="s">
        <v>101</v>
      </c>
      <c r="K32" s="16"/>
      <c r="L32" s="3" t="s">
        <v>102</v>
      </c>
      <c r="M32" s="3" t="s">
        <v>103</v>
      </c>
      <c r="N32" s="3" t="s">
        <v>104</v>
      </c>
      <c r="O32" s="16" t="s">
        <v>105</v>
      </c>
      <c r="P32" s="81" t="s">
        <v>310</v>
      </c>
      <c r="Q32" s="81" t="s">
        <v>310</v>
      </c>
      <c r="R32" s="81" t="s">
        <v>310</v>
      </c>
      <c r="S32" s="87" t="s">
        <v>306</v>
      </c>
      <c r="T32" s="130" t="s">
        <v>240</v>
      </c>
      <c r="U32" s="39">
        <v>124</v>
      </c>
      <c r="V32" s="39"/>
      <c r="W32" s="39"/>
      <c r="X32" s="59" t="s">
        <v>108</v>
      </c>
      <c r="Y32" s="93">
        <f>IF(AD32=0, 0, IF(OR(H32="", H32&lt;&gt;0), 1, 0))</f>
        <v>1</v>
      </c>
      <c r="Z32" s="3">
        <v>0</v>
      </c>
      <c r="AA32" s="3" t="s">
        <v>311</v>
      </c>
      <c r="AD32" s="6">
        <f>ROUND((AG32*(1+AJ32)),2)</f>
        <v>3860.08</v>
      </c>
      <c r="AE32" s="74">
        <v>4398.9512199999999</v>
      </c>
      <c r="AF32" s="17">
        <f>(AE32*1)</f>
        <v>4398.9512199999999</v>
      </c>
      <c r="AG32" s="6">
        <f>ROUND((AE32*AI32),2)</f>
        <v>2859.32</v>
      </c>
      <c r="AH32" s="30" t="s">
        <v>110</v>
      </c>
      <c r="AI32" s="3">
        <v>0.65</v>
      </c>
      <c r="AJ32" s="18">
        <v>0.35</v>
      </c>
      <c r="AK32" s="6">
        <f>ROUND((AD32-(AD32*BG32)),2)</f>
        <v>3821.48</v>
      </c>
      <c r="AL32" s="6">
        <f>ROUND((AD32-(AD32*BH32)),2)</f>
        <v>3782.88</v>
      </c>
      <c r="AM32" s="6">
        <f>ROUND((AD32-(AD32*BI32)),2)</f>
        <v>3744.28</v>
      </c>
      <c r="AN32" s="6">
        <f>ROUND((AD32-(AD32*BJ32)),2)</f>
        <v>3744.28</v>
      </c>
      <c r="AO32" s="6">
        <f>ROUND((AD32-(AD32*BK32)),2)</f>
        <v>3860.08</v>
      </c>
      <c r="BG32" s="12">
        <v>0.01</v>
      </c>
      <c r="BH32" s="12">
        <v>0.02</v>
      </c>
      <c r="BI32" s="12">
        <v>0.03</v>
      </c>
      <c r="BJ32" s="12">
        <v>0.03</v>
      </c>
      <c r="CC32" s="3" t="str">
        <f>IF(B32&lt;&gt;"",CONCATENATE(SUBSTITUTE(B32," ","-"),".jpg"),"")</f>
        <v>Allied-Moulded-AM603616L3PT.jpg</v>
      </c>
      <c r="CD32" s="16" t="s">
        <v>111</v>
      </c>
      <c r="CE32" s="3"/>
      <c r="CF32" s="3"/>
      <c r="CG32" s="3" t="s">
        <v>112</v>
      </c>
      <c r="CI32" s="3" t="s">
        <v>97</v>
      </c>
      <c r="CJ32" s="3" t="s">
        <v>205</v>
      </c>
      <c r="CK32" s="3" t="s">
        <v>114</v>
      </c>
      <c r="CL32" s="3" t="s">
        <v>115</v>
      </c>
      <c r="CM32" s="3" t="s">
        <v>116</v>
      </c>
      <c r="CN32" t="s">
        <v>153</v>
      </c>
      <c r="CO32" s="3" t="s">
        <v>118</v>
      </c>
      <c r="CP32" s="3" t="s">
        <v>119</v>
      </c>
      <c r="CQ32" s="3" t="s">
        <v>206</v>
      </c>
      <c r="CR32" s="3" t="s">
        <v>140</v>
      </c>
      <c r="CS32" s="16" t="s">
        <v>122</v>
      </c>
      <c r="CT32" s="16" t="s">
        <v>312</v>
      </c>
      <c r="CU32" s="16" t="s">
        <v>216</v>
      </c>
      <c r="CV32" s="16" t="s">
        <v>242</v>
      </c>
    </row>
    <row r="33" spans="1:100" ht="15" customHeight="1">
      <c r="A33" s="127" t="s">
        <v>313</v>
      </c>
      <c r="B33" s="81" t="s">
        <v>314</v>
      </c>
      <c r="C33" s="16" t="s">
        <v>97</v>
      </c>
      <c r="D33" s="82" t="s">
        <v>315</v>
      </c>
      <c r="E33" s="16" t="s">
        <v>97</v>
      </c>
      <c r="F33" s="131" t="s">
        <v>316</v>
      </c>
      <c r="I33" s="100" t="s">
        <v>100</v>
      </c>
      <c r="J33" s="16" t="s">
        <v>101</v>
      </c>
      <c r="K33" s="16"/>
      <c r="L33" s="3" t="s">
        <v>102</v>
      </c>
      <c r="M33" s="3" t="s">
        <v>103</v>
      </c>
      <c r="N33" s="3" t="s">
        <v>104</v>
      </c>
      <c r="O33" s="16" t="s">
        <v>105</v>
      </c>
      <c r="P33" s="81" t="s">
        <v>317</v>
      </c>
      <c r="Q33" s="81" t="s">
        <v>317</v>
      </c>
      <c r="R33" s="81" t="s">
        <v>317</v>
      </c>
      <c r="S33" s="87" t="s">
        <v>313</v>
      </c>
      <c r="T33" s="130" t="s">
        <v>240</v>
      </c>
      <c r="U33" s="40">
        <v>122</v>
      </c>
      <c r="V33" s="40"/>
      <c r="W33" s="40"/>
      <c r="X33" s="59" t="s">
        <v>108</v>
      </c>
      <c r="Y33" s="93">
        <f>IF(AD33=0, 0, IF(OR(H33="", H33&lt;&gt;0), 1, 0))</f>
        <v>1</v>
      </c>
      <c r="Z33" s="3">
        <v>0</v>
      </c>
      <c r="AA33" s="3" t="s">
        <v>318</v>
      </c>
      <c r="AD33" s="6">
        <f>ROUND((AG33*(1+AJ33)),2)</f>
        <v>3682.11</v>
      </c>
      <c r="AE33" s="74">
        <v>4196.1427009999998</v>
      </c>
      <c r="AF33" s="17">
        <f>(AE33*1)</f>
        <v>4196.1427009999998</v>
      </c>
      <c r="AG33" s="6">
        <f>ROUND((AE33*AI33),2)</f>
        <v>2727.49</v>
      </c>
      <c r="AH33" s="30" t="s">
        <v>110</v>
      </c>
      <c r="AI33" s="3">
        <v>0.65</v>
      </c>
      <c r="AJ33" s="18">
        <v>0.35</v>
      </c>
      <c r="AK33" s="6">
        <f>ROUND((AD33-(AD33*BG33)),2)</f>
        <v>3645.29</v>
      </c>
      <c r="AL33" s="6">
        <f>ROUND((AD33-(AD33*BH33)),2)</f>
        <v>3608.47</v>
      </c>
      <c r="AM33" s="6">
        <f>ROUND((AD33-(AD33*BI33)),2)</f>
        <v>3571.65</v>
      </c>
      <c r="AN33" s="6">
        <f>ROUND((AD33-(AD33*BJ33)),2)</f>
        <v>3571.65</v>
      </c>
      <c r="AO33" s="6">
        <f>ROUND((AD33-(AD33*BK33)),2)</f>
        <v>3682.11</v>
      </c>
      <c r="BG33" s="12">
        <v>0.01</v>
      </c>
      <c r="BH33" s="12">
        <v>0.02</v>
      </c>
      <c r="BI33" s="12">
        <v>0.03</v>
      </c>
      <c r="BJ33" s="12">
        <v>0.03</v>
      </c>
      <c r="CC33" s="3" t="str">
        <f>IF(B33&lt;&gt;"",CONCATENATE(SUBSTITUTE(B33," ","-"),".jpg"),"")</f>
        <v>Allied-Moulded-AM603616L.jpg</v>
      </c>
      <c r="CD33" s="16" t="s">
        <v>111</v>
      </c>
      <c r="CE33" s="3"/>
      <c r="CF33" s="3"/>
      <c r="CG33" s="3" t="s">
        <v>112</v>
      </c>
      <c r="CI33" s="3" t="s">
        <v>97</v>
      </c>
      <c r="CJ33" s="3" t="s">
        <v>205</v>
      </c>
      <c r="CK33" s="3" t="s">
        <v>114</v>
      </c>
      <c r="CL33" s="3" t="s">
        <v>115</v>
      </c>
      <c r="CM33" s="3" t="s">
        <v>116</v>
      </c>
      <c r="CN33" s="16" t="s">
        <v>132</v>
      </c>
      <c r="CO33" s="3" t="s">
        <v>118</v>
      </c>
      <c r="CP33" s="3" t="s">
        <v>119</v>
      </c>
      <c r="CQ33" s="3" t="s">
        <v>206</v>
      </c>
      <c r="CR33" s="3" t="s">
        <v>140</v>
      </c>
      <c r="CS33" s="16" t="s">
        <v>122</v>
      </c>
      <c r="CT33" s="16" t="s">
        <v>312</v>
      </c>
      <c r="CU33" s="16" t="s">
        <v>216</v>
      </c>
      <c r="CV33" s="16" t="s">
        <v>242</v>
      </c>
    </row>
    <row r="34" spans="1:100" ht="15" customHeight="1">
      <c r="A34" s="127" t="s">
        <v>319</v>
      </c>
      <c r="B34" s="81" t="s">
        <v>320</v>
      </c>
      <c r="C34" s="16" t="s">
        <v>97</v>
      </c>
      <c r="D34" s="82" t="s">
        <v>321</v>
      </c>
      <c r="E34" s="16" t="s">
        <v>97</v>
      </c>
      <c r="F34" s="131" t="s">
        <v>322</v>
      </c>
      <c r="I34" s="100" t="s">
        <v>100</v>
      </c>
      <c r="J34" s="16" t="s">
        <v>101</v>
      </c>
      <c r="K34" s="16"/>
      <c r="L34" s="3" t="s">
        <v>102</v>
      </c>
      <c r="M34" s="3" t="s">
        <v>103</v>
      </c>
      <c r="N34" s="3" t="s">
        <v>104</v>
      </c>
      <c r="O34" s="16" t="s">
        <v>105</v>
      </c>
      <c r="P34" s="81" t="s">
        <v>323</v>
      </c>
      <c r="Q34" s="81" t="s">
        <v>323</v>
      </c>
      <c r="R34" s="81" t="s">
        <v>323</v>
      </c>
      <c r="S34" s="87" t="s">
        <v>319</v>
      </c>
      <c r="T34" s="130" t="s">
        <v>240</v>
      </c>
      <c r="U34" s="40">
        <v>103</v>
      </c>
      <c r="V34" s="40"/>
      <c r="W34" s="40"/>
      <c r="X34" s="59" t="s">
        <v>108</v>
      </c>
      <c r="Y34" s="93">
        <f>IF(AD34=0, 0, IF(OR(H34="", H34&lt;&gt;0), 1, 0))</f>
        <v>1</v>
      </c>
      <c r="Z34" s="3">
        <v>0</v>
      </c>
      <c r="AA34" s="3" t="s">
        <v>324</v>
      </c>
      <c r="AD34" s="6">
        <f>ROUND((AG34*(1+AJ34)),2)</f>
        <v>3673.84</v>
      </c>
      <c r="AE34" s="74">
        <v>4186.7060019999999</v>
      </c>
      <c r="AF34" s="17">
        <f>(AE34*1)</f>
        <v>4186.7060019999999</v>
      </c>
      <c r="AG34" s="6">
        <f>ROUND((AE34*AI34),2)</f>
        <v>2721.36</v>
      </c>
      <c r="AH34" s="30" t="s">
        <v>110</v>
      </c>
      <c r="AI34" s="3">
        <v>0.65</v>
      </c>
      <c r="AJ34" s="18">
        <v>0.35</v>
      </c>
      <c r="AK34" s="6">
        <f>ROUND((AD34-(AD34*BG34)),2)</f>
        <v>3637.1</v>
      </c>
      <c r="AL34" s="6">
        <f>ROUND((AD34-(AD34*BH34)),2)</f>
        <v>3600.36</v>
      </c>
      <c r="AM34" s="6">
        <f>ROUND((AD34-(AD34*BI34)),2)</f>
        <v>3563.62</v>
      </c>
      <c r="AN34" s="6">
        <f>ROUND((AD34-(AD34*BJ34)),2)</f>
        <v>3563.62</v>
      </c>
      <c r="AO34" s="6">
        <f>ROUND((AD34-(AD34*BK34)),2)</f>
        <v>3673.84</v>
      </c>
      <c r="BG34" s="12">
        <v>0.01</v>
      </c>
      <c r="BH34" s="12">
        <v>0.02</v>
      </c>
      <c r="BI34" s="12">
        <v>0.03</v>
      </c>
      <c r="BJ34" s="12">
        <v>0.03</v>
      </c>
      <c r="CC34" s="3" t="str">
        <f>IF(B34&lt;&gt;"",CONCATENATE(SUBSTITUTE(B34," ","-"),".jpg"),"")</f>
        <v>Allied-Moulded-AM603612L3PT.jpg</v>
      </c>
      <c r="CD34" s="16" t="s">
        <v>111</v>
      </c>
      <c r="CE34" s="3"/>
      <c r="CF34" s="3"/>
      <c r="CG34" s="3" t="s">
        <v>112</v>
      </c>
      <c r="CI34" s="3" t="s">
        <v>97</v>
      </c>
      <c r="CJ34" s="3" t="s">
        <v>205</v>
      </c>
      <c r="CK34" s="3" t="s">
        <v>114</v>
      </c>
      <c r="CL34" s="3" t="s">
        <v>115</v>
      </c>
      <c r="CM34" s="3" t="s">
        <v>116</v>
      </c>
      <c r="CN34" t="s">
        <v>153</v>
      </c>
      <c r="CO34" s="3" t="s">
        <v>118</v>
      </c>
      <c r="CP34" s="3" t="s">
        <v>119</v>
      </c>
      <c r="CQ34" s="3" t="s">
        <v>206</v>
      </c>
      <c r="CR34" s="3" t="s">
        <v>140</v>
      </c>
      <c r="CS34" s="16" t="s">
        <v>122</v>
      </c>
      <c r="CT34" s="16" t="s">
        <v>312</v>
      </c>
      <c r="CU34" s="16" t="s">
        <v>216</v>
      </c>
      <c r="CV34" s="16" t="s">
        <v>125</v>
      </c>
    </row>
    <row r="35" spans="1:100" ht="15" customHeight="1">
      <c r="A35" s="127" t="s">
        <v>325</v>
      </c>
      <c r="B35" s="81" t="s">
        <v>326</v>
      </c>
      <c r="C35" s="16" t="s">
        <v>97</v>
      </c>
      <c r="D35" s="95" t="s">
        <v>327</v>
      </c>
      <c r="E35" s="16" t="s">
        <v>97</v>
      </c>
      <c r="F35" s="131" t="s">
        <v>328</v>
      </c>
      <c r="I35" s="100" t="s">
        <v>100</v>
      </c>
      <c r="J35" s="16" t="s">
        <v>101</v>
      </c>
      <c r="K35" s="16"/>
      <c r="L35" s="3" t="s">
        <v>102</v>
      </c>
      <c r="M35" s="3" t="s">
        <v>103</v>
      </c>
      <c r="N35" s="3" t="s">
        <v>104</v>
      </c>
      <c r="O35" s="16" t="s">
        <v>105</v>
      </c>
      <c r="P35" s="81" t="s">
        <v>329</v>
      </c>
      <c r="Q35" s="81" t="s">
        <v>329</v>
      </c>
      <c r="R35" s="81" t="s">
        <v>329</v>
      </c>
      <c r="S35" s="87" t="s">
        <v>325</v>
      </c>
      <c r="T35" s="130" t="s">
        <v>240</v>
      </c>
      <c r="U35" s="39">
        <v>101</v>
      </c>
      <c r="V35" s="39"/>
      <c r="W35" s="39"/>
      <c r="X35" s="59" t="s">
        <v>108</v>
      </c>
      <c r="Y35" s="93">
        <f>IF(AD35=0, 0, IF(OR(H35="", H35&lt;&gt;0), 1, 0))</f>
        <v>1</v>
      </c>
      <c r="Z35" s="3">
        <v>0</v>
      </c>
      <c r="AA35" s="3" t="s">
        <v>330</v>
      </c>
      <c r="AD35" s="6">
        <f>ROUND((AG35*(1+AJ35)),2)</f>
        <v>3495.87</v>
      </c>
      <c r="AE35" s="74">
        <v>3983.8974830000002</v>
      </c>
      <c r="AF35" s="17">
        <f>(AE35*1)</f>
        <v>3983.8974830000002</v>
      </c>
      <c r="AG35" s="6">
        <f>ROUND((AE35*AI35),2)</f>
        <v>2589.5300000000002</v>
      </c>
      <c r="AH35" s="30" t="s">
        <v>110</v>
      </c>
      <c r="AI35" s="3">
        <v>0.65</v>
      </c>
      <c r="AJ35" s="18">
        <v>0.35</v>
      </c>
      <c r="AK35" s="6">
        <f>ROUND((AD35-(AD35*BG35)),2)</f>
        <v>3460.91</v>
      </c>
      <c r="AL35" s="6">
        <f>ROUND((AD35-(AD35*BH35)),2)</f>
        <v>3425.95</v>
      </c>
      <c r="AM35" s="6">
        <f>ROUND((AD35-(AD35*BI35)),2)</f>
        <v>3390.99</v>
      </c>
      <c r="AN35" s="6">
        <f>ROUND((AD35-(AD35*BJ35)),2)</f>
        <v>3390.99</v>
      </c>
      <c r="AO35" s="6">
        <f>ROUND((AD35-(AD35*BK35)),2)</f>
        <v>3495.87</v>
      </c>
      <c r="BG35" s="12">
        <v>0.01</v>
      </c>
      <c r="BH35" s="12">
        <v>0.02</v>
      </c>
      <c r="BI35" s="12">
        <v>0.03</v>
      </c>
      <c r="BJ35" s="12">
        <v>0.03</v>
      </c>
      <c r="CC35" s="3" t="str">
        <f>IF(B35&lt;&gt;"",CONCATENATE(SUBSTITUTE(B35," ","-"),".jpg"),"")</f>
        <v>Allied-Moulded-AM603612L.jpg</v>
      </c>
      <c r="CD35" s="16" t="s">
        <v>111</v>
      </c>
      <c r="CE35" s="3"/>
      <c r="CF35" s="3"/>
      <c r="CG35" s="3" t="s">
        <v>112</v>
      </c>
      <c r="CI35" s="3" t="s">
        <v>97</v>
      </c>
      <c r="CJ35" s="3" t="s">
        <v>205</v>
      </c>
      <c r="CK35" s="3" t="s">
        <v>114</v>
      </c>
      <c r="CL35" s="3" t="s">
        <v>115</v>
      </c>
      <c r="CM35" s="3" t="s">
        <v>116</v>
      </c>
      <c r="CN35" s="16" t="s">
        <v>132</v>
      </c>
      <c r="CO35" s="3" t="s">
        <v>118</v>
      </c>
      <c r="CP35" s="3" t="s">
        <v>119</v>
      </c>
      <c r="CQ35" s="3" t="s">
        <v>206</v>
      </c>
      <c r="CR35" s="3" t="s">
        <v>140</v>
      </c>
      <c r="CS35" s="16" t="s">
        <v>122</v>
      </c>
      <c r="CT35" s="16" t="s">
        <v>312</v>
      </c>
      <c r="CU35" s="16" t="s">
        <v>216</v>
      </c>
      <c r="CV35" s="16" t="s">
        <v>125</v>
      </c>
    </row>
    <row r="36" spans="1:100" ht="15" customHeight="1">
      <c r="A36" s="127" t="s">
        <v>331</v>
      </c>
      <c r="B36" s="81" t="s">
        <v>332</v>
      </c>
      <c r="C36" s="16" t="s">
        <v>97</v>
      </c>
      <c r="D36" s="82" t="s">
        <v>333</v>
      </c>
      <c r="E36" s="16" t="s">
        <v>97</v>
      </c>
      <c r="F36" s="147" t="s">
        <v>334</v>
      </c>
      <c r="I36" s="100" t="s">
        <v>100</v>
      </c>
      <c r="J36" s="16" t="s">
        <v>101</v>
      </c>
      <c r="K36" s="16"/>
      <c r="L36" s="3" t="s">
        <v>102</v>
      </c>
      <c r="M36" s="3" t="s">
        <v>103</v>
      </c>
      <c r="N36" s="3" t="s">
        <v>104</v>
      </c>
      <c r="O36" s="16" t="s">
        <v>105</v>
      </c>
      <c r="P36" s="81" t="s">
        <v>335</v>
      </c>
      <c r="Q36" s="81" t="s">
        <v>335</v>
      </c>
      <c r="R36" s="81" t="s">
        <v>335</v>
      </c>
      <c r="S36" s="87" t="s">
        <v>331</v>
      </c>
      <c r="T36" s="130" t="s">
        <v>203</v>
      </c>
      <c r="U36" s="40">
        <v>430</v>
      </c>
      <c r="V36" s="40"/>
      <c r="W36" s="40"/>
      <c r="X36" s="59" t="s">
        <v>108</v>
      </c>
      <c r="Y36" s="93">
        <f>IF(AD36=0, 0, IF(OR(H36="", H36&lt;&gt;0), 1, 0))</f>
        <v>1</v>
      </c>
      <c r="Z36" s="3">
        <v>0</v>
      </c>
      <c r="AA36" s="3" t="s">
        <v>336</v>
      </c>
      <c r="AD36" s="6">
        <f>ROUND((AG36*(1+AJ36)),2)</f>
        <v>11206.39</v>
      </c>
      <c r="AE36" s="74">
        <v>12770.817279999999</v>
      </c>
      <c r="AF36" s="17">
        <f>(AE36*1)</f>
        <v>12770.817279999999</v>
      </c>
      <c r="AG36" s="6">
        <f>ROUND((AE36*AI36),2)</f>
        <v>8301.0300000000007</v>
      </c>
      <c r="AH36" s="30" t="s">
        <v>110</v>
      </c>
      <c r="AI36" s="3">
        <v>0.65</v>
      </c>
      <c r="AJ36" s="18">
        <v>0.35</v>
      </c>
      <c r="AK36" s="6">
        <f>ROUND((AD36-(AD36*BG36)),2)</f>
        <v>11094.33</v>
      </c>
      <c r="AL36" s="6">
        <f>ROUND((AD36-(AD36*BH36)),2)</f>
        <v>10982.26</v>
      </c>
      <c r="AM36" s="6">
        <f>ROUND((AD36-(AD36*BI36)),2)</f>
        <v>10870.2</v>
      </c>
      <c r="AN36" s="6">
        <f>ROUND((AD36-(AD36*BJ36)),2)</f>
        <v>10870.2</v>
      </c>
      <c r="AO36" s="6">
        <f>ROUND((AD36-(AD36*BK36)),2)</f>
        <v>11206.39</v>
      </c>
      <c r="BG36" s="12">
        <v>0.01</v>
      </c>
      <c r="BH36" s="12">
        <v>0.02</v>
      </c>
      <c r="BI36" s="12">
        <v>0.03</v>
      </c>
      <c r="BJ36" s="12">
        <v>0.03</v>
      </c>
      <c r="CC36" s="3" t="str">
        <f>IF(B36&lt;&gt;"",CONCATENATE(SUBSTITUTE(B36," ","-"),".jpg"),"")</f>
        <v>Allied-Moulded-AM724925FSDD.jpg</v>
      </c>
      <c r="CD36" s="16" t="s">
        <v>111</v>
      </c>
      <c r="CE36" s="3"/>
      <c r="CF36" s="3"/>
      <c r="CG36" s="3" t="s">
        <v>112</v>
      </c>
      <c r="CI36" s="3" t="s">
        <v>97</v>
      </c>
      <c r="CJ36" s="3" t="s">
        <v>205</v>
      </c>
      <c r="CK36" s="3" t="s">
        <v>114</v>
      </c>
      <c r="CL36" s="3" t="s">
        <v>115</v>
      </c>
      <c r="CM36" s="3" t="s">
        <v>116</v>
      </c>
      <c r="CN36" t="s">
        <v>153</v>
      </c>
      <c r="CO36" s="3" t="s">
        <v>118</v>
      </c>
      <c r="CP36" s="3" t="s">
        <v>119</v>
      </c>
      <c r="CQ36" s="3" t="s">
        <v>206</v>
      </c>
      <c r="CR36" s="3" t="s">
        <v>140</v>
      </c>
      <c r="CS36" s="16" t="s">
        <v>122</v>
      </c>
      <c r="CT36" s="16" t="s">
        <v>207</v>
      </c>
      <c r="CU36" s="16" t="s">
        <v>337</v>
      </c>
      <c r="CV36" s="16" t="s">
        <v>208</v>
      </c>
    </row>
    <row r="37" spans="1:100" ht="15" customHeight="1">
      <c r="A37" s="78" t="s">
        <v>338</v>
      </c>
      <c r="B37" s="23" t="s">
        <v>339</v>
      </c>
      <c r="C37" s="16" t="s">
        <v>97</v>
      </c>
      <c r="D37" s="23" t="s">
        <v>340</v>
      </c>
      <c r="E37" s="16" t="s">
        <v>97</v>
      </c>
      <c r="F37" s="148" t="s">
        <v>341</v>
      </c>
      <c r="I37" s="100" t="s">
        <v>342</v>
      </c>
      <c r="J37" s="16" t="s">
        <v>101</v>
      </c>
      <c r="K37" s="16"/>
      <c r="L37" s="3" t="s">
        <v>102</v>
      </c>
      <c r="M37" s="3" t="s">
        <v>103</v>
      </c>
      <c r="N37" s="3" t="s">
        <v>104</v>
      </c>
      <c r="O37" s="16" t="s">
        <v>343</v>
      </c>
      <c r="P37" s="23" t="s">
        <v>344</v>
      </c>
      <c r="Q37" s="23" t="s">
        <v>344</v>
      </c>
      <c r="R37" s="23" t="s">
        <v>345</v>
      </c>
      <c r="S37" s="23" t="s">
        <v>346</v>
      </c>
      <c r="T37" s="132" t="s">
        <v>107</v>
      </c>
      <c r="U37" s="6">
        <v>8</v>
      </c>
      <c r="X37" s="31" t="s">
        <v>108</v>
      </c>
      <c r="Y37" s="93">
        <f>IF(AD37=0, 0, IF(OR(H37="", H37&lt;&gt;0), 1, 0))</f>
        <v>1</v>
      </c>
      <c r="Z37" s="3">
        <v>0</v>
      </c>
      <c r="AA37" s="3" t="s">
        <v>347</v>
      </c>
      <c r="AD37" s="6">
        <f>ROUND((AG37*(1+AJ37)),2)</f>
        <v>195.8</v>
      </c>
      <c r="AE37" s="67">
        <v>223.13706687000001</v>
      </c>
      <c r="AF37" s="17">
        <f>(AE37*1)</f>
        <v>223.13706687000001</v>
      </c>
      <c r="AG37" s="6">
        <f>ROUND((AE37*AI37),2)</f>
        <v>145.04</v>
      </c>
      <c r="AH37" s="30" t="s">
        <v>110</v>
      </c>
      <c r="AI37" s="3">
        <v>0.65</v>
      </c>
      <c r="AJ37" s="18">
        <v>0.35</v>
      </c>
      <c r="AK37" s="6">
        <f>ROUND((AD37-(AD37*BG37)),2)</f>
        <v>193.84</v>
      </c>
      <c r="AL37" s="6">
        <f>ROUND((AD37-(AD37*BH37)),2)</f>
        <v>191.88</v>
      </c>
      <c r="AM37" s="6">
        <f>ROUND((AD37-(AD37*BI37)),2)</f>
        <v>189.93</v>
      </c>
      <c r="AN37" s="6">
        <f>ROUND((AD37-(AD37*BJ37)),2)</f>
        <v>189.93</v>
      </c>
      <c r="AO37" s="6">
        <f>ROUND((AD37-(AD37*BK37)),2)</f>
        <v>195.8</v>
      </c>
      <c r="BG37" s="12">
        <v>0.01</v>
      </c>
      <c r="BH37" s="12">
        <v>0.02</v>
      </c>
      <c r="BI37" s="12">
        <v>0.03</v>
      </c>
      <c r="BJ37" s="12">
        <v>0.03</v>
      </c>
      <c r="BK37" s="12"/>
      <c r="CC37" s="3" t="str">
        <f>IF(B37&lt;&gt;"",CONCATENATE(SUBSTITUTE(B37," ","-"),".jpg"),"")</f>
        <v>Allied-Moulded-AM1206W.jpg</v>
      </c>
      <c r="CD37" s="16" t="s">
        <v>111</v>
      </c>
      <c r="CE37" s="3"/>
      <c r="CF37" s="3"/>
      <c r="CG37" s="3" t="s">
        <v>112</v>
      </c>
      <c r="CI37" s="3" t="s">
        <v>97</v>
      </c>
      <c r="CJ37" s="16" t="s">
        <v>348</v>
      </c>
      <c r="CK37" s="3" t="s">
        <v>114</v>
      </c>
      <c r="CL37" s="3" t="s">
        <v>115</v>
      </c>
      <c r="CM37" s="16"/>
      <c r="CN37" s="16" t="s">
        <v>349</v>
      </c>
      <c r="CO37" s="16" t="s">
        <v>350</v>
      </c>
      <c r="CP37" s="3" t="s">
        <v>139</v>
      </c>
      <c r="CQ37" s="3" t="s">
        <v>120</v>
      </c>
      <c r="CR37" s="16" t="s">
        <v>121</v>
      </c>
      <c r="CS37" s="16" t="s">
        <v>122</v>
      </c>
      <c r="CT37" s="16" t="s">
        <v>125</v>
      </c>
      <c r="CU37" s="16" t="s">
        <v>167</v>
      </c>
      <c r="CV37" s="16" t="s">
        <v>351</v>
      </c>
    </row>
    <row r="38" spans="1:100" ht="15" customHeight="1">
      <c r="A38" s="78" t="s">
        <v>352</v>
      </c>
      <c r="B38" s="23" t="s">
        <v>353</v>
      </c>
      <c r="C38" s="16" t="s">
        <v>97</v>
      </c>
      <c r="D38" s="23" t="s">
        <v>354</v>
      </c>
      <c r="E38" s="16" t="s">
        <v>97</v>
      </c>
      <c r="F38" s="148" t="s">
        <v>355</v>
      </c>
      <c r="I38" s="100" t="s">
        <v>342</v>
      </c>
      <c r="J38" s="16" t="s">
        <v>101</v>
      </c>
      <c r="K38" s="16"/>
      <c r="L38" s="3" t="s">
        <v>102</v>
      </c>
      <c r="M38" s="3" t="s">
        <v>103</v>
      </c>
      <c r="N38" s="3" t="s">
        <v>104</v>
      </c>
      <c r="O38" s="16" t="s">
        <v>343</v>
      </c>
      <c r="P38" s="23" t="s">
        <v>356</v>
      </c>
      <c r="Q38" s="23" t="s">
        <v>356</v>
      </c>
      <c r="R38" s="23" t="s">
        <v>357</v>
      </c>
      <c r="S38" s="23" t="s">
        <v>358</v>
      </c>
      <c r="T38" s="132" t="s">
        <v>107</v>
      </c>
      <c r="U38" s="6">
        <v>8</v>
      </c>
      <c r="X38" s="31" t="s">
        <v>108</v>
      </c>
      <c r="Y38" s="93">
        <f>IF(AD38=0, 0, IF(OR(H38="", H38&lt;&gt;0), 1, 0))</f>
        <v>1</v>
      </c>
      <c r="Z38" s="3">
        <v>0</v>
      </c>
      <c r="AA38" s="3" t="s">
        <v>359</v>
      </c>
      <c r="AD38" s="6">
        <f>ROUND((AG38*(1+AJ38)),2)</f>
        <v>203.36</v>
      </c>
      <c r="AE38" s="67">
        <v>231.74755066</v>
      </c>
      <c r="AF38" s="17">
        <f>(AE38*1)</f>
        <v>231.74755066</v>
      </c>
      <c r="AG38" s="6">
        <f>ROUND((AE38*AI38),2)</f>
        <v>150.63999999999999</v>
      </c>
      <c r="AH38" s="30" t="s">
        <v>110</v>
      </c>
      <c r="AI38" s="3">
        <v>0.65</v>
      </c>
      <c r="AJ38" s="18">
        <v>0.35</v>
      </c>
      <c r="AK38" s="6">
        <f>ROUND((AD38-(AD38*BG38)),2)</f>
        <v>201.33</v>
      </c>
      <c r="AL38" s="6">
        <f>ROUND((AD38-(AD38*BH38)),2)</f>
        <v>199.29</v>
      </c>
      <c r="AM38" s="6">
        <f>ROUND((AD38-(AD38*BI38)),2)</f>
        <v>197.26</v>
      </c>
      <c r="AN38" s="6">
        <f>ROUND((AD38-(AD38*BJ38)),2)</f>
        <v>197.26</v>
      </c>
      <c r="AO38" s="6">
        <f>ROUND((AD38-(AD38*BK38)),2)</f>
        <v>203.36</v>
      </c>
      <c r="BG38" s="12">
        <v>0.01</v>
      </c>
      <c r="BH38" s="12">
        <v>0.02</v>
      </c>
      <c r="BI38" s="12">
        <v>0.03</v>
      </c>
      <c r="BJ38" s="12">
        <v>0.03</v>
      </c>
      <c r="BK38" s="12"/>
      <c r="CC38" s="3" t="str">
        <f>IF(B38&lt;&gt;"",CONCATENATE(SUBSTITUTE(B38," ","-"),".jpg"),"")</f>
        <v>Allied-Moulded-AM1206HW.jpg</v>
      </c>
      <c r="CD38" s="16" t="s">
        <v>111</v>
      </c>
      <c r="CE38" s="3"/>
      <c r="CF38" s="3"/>
      <c r="CG38" s="3" t="s">
        <v>112</v>
      </c>
      <c r="CI38" s="3" t="s">
        <v>97</v>
      </c>
      <c r="CJ38" s="16" t="s">
        <v>348</v>
      </c>
      <c r="CK38" s="3" t="s">
        <v>114</v>
      </c>
      <c r="CL38" s="3" t="s">
        <v>115</v>
      </c>
      <c r="CM38" s="3" t="s">
        <v>116</v>
      </c>
      <c r="CN38" s="16" t="s">
        <v>349</v>
      </c>
      <c r="CO38" s="16" t="s">
        <v>350</v>
      </c>
      <c r="CP38" s="3" t="s">
        <v>139</v>
      </c>
      <c r="CQ38" s="3" t="s">
        <v>120</v>
      </c>
      <c r="CR38" s="16" t="s">
        <v>121</v>
      </c>
      <c r="CS38" s="16" t="s">
        <v>122</v>
      </c>
      <c r="CT38" s="16" t="s">
        <v>125</v>
      </c>
      <c r="CU38" s="16" t="s">
        <v>167</v>
      </c>
      <c r="CV38" s="16" t="s">
        <v>351</v>
      </c>
    </row>
    <row r="39" spans="1:100" ht="15" customHeight="1">
      <c r="A39" s="78" t="s">
        <v>360</v>
      </c>
      <c r="B39" s="23" t="s">
        <v>361</v>
      </c>
      <c r="C39" s="16" t="s">
        <v>97</v>
      </c>
      <c r="D39" s="23" t="s">
        <v>362</v>
      </c>
      <c r="E39" s="16" t="s">
        <v>97</v>
      </c>
      <c r="F39" s="149" t="s">
        <v>363</v>
      </c>
      <c r="I39" s="100" t="s">
        <v>342</v>
      </c>
      <c r="J39" s="16" t="s">
        <v>101</v>
      </c>
      <c r="K39" s="16"/>
      <c r="L39" s="3" t="s">
        <v>102</v>
      </c>
      <c r="M39" s="3" t="s">
        <v>103</v>
      </c>
      <c r="N39" s="3" t="s">
        <v>104</v>
      </c>
      <c r="O39" s="16" t="s">
        <v>343</v>
      </c>
      <c r="P39" s="23" t="s">
        <v>364</v>
      </c>
      <c r="Q39" s="23" t="s">
        <v>364</v>
      </c>
      <c r="R39" s="23" t="s">
        <v>365</v>
      </c>
      <c r="S39" s="23" t="s">
        <v>366</v>
      </c>
      <c r="T39" s="132" t="s">
        <v>107</v>
      </c>
      <c r="U39" s="6">
        <v>8</v>
      </c>
      <c r="X39" s="31" t="s">
        <v>108</v>
      </c>
      <c r="Y39" s="93">
        <f>IF(AD39=0, 0, IF(OR(H39="", H39&lt;&gt;0), 1, 0))</f>
        <v>1</v>
      </c>
      <c r="Z39" s="3">
        <v>0</v>
      </c>
      <c r="AA39" s="3" t="s">
        <v>367</v>
      </c>
      <c r="AD39" s="6">
        <f>ROUND((AG39*(1+AJ39)),2)</f>
        <v>216.85</v>
      </c>
      <c r="AE39" s="67">
        <v>247.12084655999996</v>
      </c>
      <c r="AF39" s="17">
        <f>(AE39*1)</f>
        <v>247.12084655999996</v>
      </c>
      <c r="AG39" s="6">
        <f>ROUND((AE39*AI39),2)</f>
        <v>160.63</v>
      </c>
      <c r="AH39" s="30" t="s">
        <v>110</v>
      </c>
      <c r="AI39" s="3">
        <v>0.65</v>
      </c>
      <c r="AJ39" s="18">
        <v>0.35</v>
      </c>
      <c r="AK39" s="6">
        <f>ROUND((AD39-(AD39*BG39)),2)</f>
        <v>214.68</v>
      </c>
      <c r="AL39" s="6">
        <f>ROUND((AD39-(AD39*BH39)),2)</f>
        <v>212.51</v>
      </c>
      <c r="AM39" s="6">
        <f>ROUND((AD39-(AD39*BI39)),2)</f>
        <v>210.34</v>
      </c>
      <c r="AN39" s="6">
        <f>ROUND((AD39-(AD39*BJ39)),2)</f>
        <v>210.34</v>
      </c>
      <c r="AO39" s="6">
        <f>ROUND((AD39-(AD39*BK39)),2)</f>
        <v>216.85</v>
      </c>
      <c r="BG39" s="12">
        <v>0.01</v>
      </c>
      <c r="BH39" s="12">
        <v>0.02</v>
      </c>
      <c r="BI39" s="12">
        <v>0.03</v>
      </c>
      <c r="BJ39" s="12">
        <v>0.03</v>
      </c>
      <c r="BK39" s="12"/>
      <c r="CC39" s="3" t="str">
        <f>IF(B39&lt;&gt;"",CONCATENATE(SUBSTITUTE(B39," ","-"),".jpg"),"")</f>
        <v>Allied-Moulded-AM1206LW.jpg</v>
      </c>
      <c r="CD39" s="16" t="s">
        <v>111</v>
      </c>
      <c r="CE39" s="3"/>
      <c r="CF39" s="3"/>
      <c r="CG39" s="3" t="s">
        <v>112</v>
      </c>
      <c r="CI39" s="3" t="s">
        <v>97</v>
      </c>
      <c r="CJ39" s="16" t="s">
        <v>348</v>
      </c>
      <c r="CK39" s="3" t="s">
        <v>114</v>
      </c>
      <c r="CL39" s="3" t="s">
        <v>115</v>
      </c>
      <c r="CM39" s="3" t="s">
        <v>116</v>
      </c>
      <c r="CN39" s="16" t="s">
        <v>368</v>
      </c>
      <c r="CO39" s="16" t="s">
        <v>350</v>
      </c>
      <c r="CP39" s="3" t="s">
        <v>139</v>
      </c>
      <c r="CQ39" s="3" t="s">
        <v>120</v>
      </c>
      <c r="CR39" s="16" t="s">
        <v>121</v>
      </c>
      <c r="CS39" s="16" t="s">
        <v>122</v>
      </c>
      <c r="CT39" s="16" t="s">
        <v>125</v>
      </c>
      <c r="CU39" s="16" t="s">
        <v>167</v>
      </c>
      <c r="CV39" s="16" t="s">
        <v>351</v>
      </c>
    </row>
    <row r="40" spans="1:100" ht="15" customHeight="1">
      <c r="A40" s="78" t="s">
        <v>369</v>
      </c>
      <c r="B40" s="23" t="s">
        <v>370</v>
      </c>
      <c r="C40" s="16" t="s">
        <v>97</v>
      </c>
      <c r="D40" s="23" t="s">
        <v>371</v>
      </c>
      <c r="E40" s="16" t="s">
        <v>97</v>
      </c>
      <c r="F40" s="148" t="s">
        <v>372</v>
      </c>
      <c r="I40" s="100" t="s">
        <v>342</v>
      </c>
      <c r="J40" s="16" t="s">
        <v>101</v>
      </c>
      <c r="K40" s="16"/>
      <c r="L40" s="3" t="s">
        <v>102</v>
      </c>
      <c r="M40" s="3" t="s">
        <v>103</v>
      </c>
      <c r="N40" s="3" t="s">
        <v>104</v>
      </c>
      <c r="O40" s="16" t="s">
        <v>343</v>
      </c>
      <c r="P40" s="23" t="s">
        <v>373</v>
      </c>
      <c r="Q40" s="23" t="s">
        <v>373</v>
      </c>
      <c r="R40" s="23" t="s">
        <v>374</v>
      </c>
      <c r="S40" s="23" t="s">
        <v>375</v>
      </c>
      <c r="T40" s="132" t="s">
        <v>107</v>
      </c>
      <c r="U40" s="6">
        <v>8</v>
      </c>
      <c r="X40" s="31" t="s">
        <v>108</v>
      </c>
      <c r="Y40" s="93">
        <f>IF(AD40=0, 0, IF(OR(H40="", H40&lt;&gt;0), 1, 0))</f>
        <v>1</v>
      </c>
      <c r="Z40" s="3">
        <v>0</v>
      </c>
      <c r="AA40" s="3" t="s">
        <v>376</v>
      </c>
      <c r="AD40" s="6">
        <f>ROUND((AG40*(1+AJ40)),2)</f>
        <v>216.85</v>
      </c>
      <c r="AE40" s="67">
        <v>247.12084655999996</v>
      </c>
      <c r="AF40" s="17">
        <f>(AE40*1)</f>
        <v>247.12084655999996</v>
      </c>
      <c r="AG40" s="6">
        <f>ROUND((AE40*AI40),2)</f>
        <v>160.63</v>
      </c>
      <c r="AH40" s="30" t="s">
        <v>110</v>
      </c>
      <c r="AI40" s="3">
        <v>0.65</v>
      </c>
      <c r="AJ40" s="18">
        <v>0.35</v>
      </c>
      <c r="AK40" s="6">
        <f>ROUND((AD40-(AD40*BG40)),2)</f>
        <v>214.68</v>
      </c>
      <c r="AL40" s="6">
        <f>ROUND((AD40-(AD40*BH40)),2)</f>
        <v>212.51</v>
      </c>
      <c r="AM40" s="6">
        <f>ROUND((AD40-(AD40*BI40)),2)</f>
        <v>210.34</v>
      </c>
      <c r="AN40" s="6">
        <f>ROUND((AD40-(AD40*BJ40)),2)</f>
        <v>210.34</v>
      </c>
      <c r="AO40" s="6">
        <f>ROUND((AD40-(AD40*BK40)),2)</f>
        <v>216.85</v>
      </c>
      <c r="BG40" s="12">
        <v>0.01</v>
      </c>
      <c r="BH40" s="12">
        <v>0.02</v>
      </c>
      <c r="BI40" s="12">
        <v>0.03</v>
      </c>
      <c r="BJ40" s="12">
        <v>0.03</v>
      </c>
      <c r="BK40" s="12"/>
      <c r="CC40" s="3" t="str">
        <f>IF(B40&lt;&gt;"",CONCATENATE(SUBSTITUTE(B40," ","-"),".jpg"),"")</f>
        <v>Allied-Moulded-AM1206TW.jpg</v>
      </c>
      <c r="CD40" s="16" t="s">
        <v>111</v>
      </c>
      <c r="CE40" s="3"/>
      <c r="CF40" s="3"/>
      <c r="CG40" s="3" t="s">
        <v>112</v>
      </c>
      <c r="CI40" s="3" t="s">
        <v>97</v>
      </c>
      <c r="CJ40" s="16" t="s">
        <v>348</v>
      </c>
      <c r="CK40" s="3" t="s">
        <v>114</v>
      </c>
      <c r="CL40" s="3" t="s">
        <v>115</v>
      </c>
      <c r="CM40" s="3" t="s">
        <v>116</v>
      </c>
      <c r="CN40" s="16" t="s">
        <v>132</v>
      </c>
      <c r="CO40" s="16" t="s">
        <v>350</v>
      </c>
      <c r="CP40" s="3" t="s">
        <v>139</v>
      </c>
      <c r="CQ40" s="3" t="s">
        <v>120</v>
      </c>
      <c r="CR40" s="16" t="s">
        <v>121</v>
      </c>
      <c r="CS40" s="16" t="s">
        <v>122</v>
      </c>
      <c r="CT40" s="16" t="s">
        <v>125</v>
      </c>
      <c r="CU40" s="16" t="s">
        <v>167</v>
      </c>
      <c r="CV40" s="16" t="s">
        <v>351</v>
      </c>
    </row>
    <row r="41" spans="1:100" ht="15" customHeight="1">
      <c r="A41" s="87" t="s">
        <v>377</v>
      </c>
      <c r="B41" s="81" t="s">
        <v>378</v>
      </c>
      <c r="C41" s="16" t="s">
        <v>97</v>
      </c>
      <c r="D41" s="82" t="s">
        <v>379</v>
      </c>
      <c r="E41" s="16" t="s">
        <v>97</v>
      </c>
      <c r="F41" s="147" t="s">
        <v>380</v>
      </c>
      <c r="I41" s="100" t="s">
        <v>342</v>
      </c>
      <c r="J41" s="16" t="s">
        <v>101</v>
      </c>
      <c r="K41" s="16"/>
      <c r="L41" s="3" t="s">
        <v>102</v>
      </c>
      <c r="M41" s="3" t="s">
        <v>103</v>
      </c>
      <c r="N41" s="3" t="s">
        <v>104</v>
      </c>
      <c r="O41" s="16" t="s">
        <v>105</v>
      </c>
      <c r="P41" s="81" t="s">
        <v>381</v>
      </c>
      <c r="Q41" s="81" t="s">
        <v>381</v>
      </c>
      <c r="R41" s="81" t="s">
        <v>381</v>
      </c>
      <c r="S41" s="87" t="s">
        <v>377</v>
      </c>
      <c r="T41" s="130" t="s">
        <v>107</v>
      </c>
      <c r="U41" s="58">
        <v>8</v>
      </c>
      <c r="V41" s="58"/>
      <c r="W41" s="58"/>
      <c r="X41" s="59" t="s">
        <v>108</v>
      </c>
      <c r="Y41" s="93">
        <f>IF(AD41=0, 0, IF(OR(H41="", H41&lt;&gt;0), 1, 0))</f>
        <v>1</v>
      </c>
      <c r="Z41" s="3">
        <v>0</v>
      </c>
      <c r="AA41" s="3" t="s">
        <v>382</v>
      </c>
      <c r="AD41" s="6">
        <f>ROUND((AG41*(1+AJ41)),2)</f>
        <v>116.41</v>
      </c>
      <c r="AE41" s="74">
        <v>132.66242204000002</v>
      </c>
      <c r="AF41" s="17">
        <f>(AE41*1)</f>
        <v>132.66242204000002</v>
      </c>
      <c r="AG41" s="6">
        <f>ROUND((AE41*AI41),2)</f>
        <v>86.23</v>
      </c>
      <c r="AH41" s="30" t="s">
        <v>110</v>
      </c>
      <c r="AI41" s="3">
        <v>0.65</v>
      </c>
      <c r="AJ41" s="18">
        <v>0.35</v>
      </c>
      <c r="AK41" s="6">
        <f>ROUND((AD41-(AD41*BG41)),2)</f>
        <v>115.25</v>
      </c>
      <c r="AL41" s="6">
        <f>ROUND((AD41-(AD41*BH41)),2)</f>
        <v>114.08</v>
      </c>
      <c r="AM41" s="6">
        <f>ROUND((AD41-(AD41*BI41)),2)</f>
        <v>112.92</v>
      </c>
      <c r="AN41" s="6">
        <f>ROUND((AD41-(AD41*BJ41)),2)</f>
        <v>112.92</v>
      </c>
      <c r="AO41" s="6">
        <f>ROUND((AD41-(AD41*BK41)),2)</f>
        <v>116.41</v>
      </c>
      <c r="BG41" s="12">
        <v>0.01</v>
      </c>
      <c r="BH41" s="12">
        <v>0.02</v>
      </c>
      <c r="BI41" s="12">
        <v>0.03</v>
      </c>
      <c r="BJ41" s="12">
        <v>0.03</v>
      </c>
      <c r="CC41" s="3" t="str">
        <f>IF(B41&lt;&gt;"",CONCATENATE(SUBSTITUTE(B41," ","-"),".jpg"),"")</f>
        <v>Allied-Moulded-AM1206R.jpg</v>
      </c>
      <c r="CD41" s="16" t="s">
        <v>111</v>
      </c>
      <c r="CE41" s="3"/>
      <c r="CF41" s="3"/>
      <c r="CG41" s="3" t="s">
        <v>112</v>
      </c>
      <c r="CI41" s="3" t="s">
        <v>97</v>
      </c>
      <c r="CJ41" s="3" t="s">
        <v>383</v>
      </c>
      <c r="CK41" s="3" t="s">
        <v>114</v>
      </c>
      <c r="CL41" s="3" t="s">
        <v>115</v>
      </c>
      <c r="CM41" s="16"/>
      <c r="CN41" s="16" t="s">
        <v>349</v>
      </c>
      <c r="CO41" s="3" t="s">
        <v>118</v>
      </c>
      <c r="CP41" s="3" t="s">
        <v>139</v>
      </c>
      <c r="CQ41" s="3" t="s">
        <v>120</v>
      </c>
      <c r="CR41" s="3" t="s">
        <v>140</v>
      </c>
      <c r="CS41" s="3" t="s">
        <v>384</v>
      </c>
      <c r="CT41" s="16" t="s">
        <v>125</v>
      </c>
      <c r="CU41" s="16" t="s">
        <v>167</v>
      </c>
      <c r="CV41" s="16" t="s">
        <v>385</v>
      </c>
    </row>
    <row r="42" spans="1:100" ht="15" customHeight="1">
      <c r="A42" s="87" t="s">
        <v>386</v>
      </c>
      <c r="B42" s="81" t="s">
        <v>387</v>
      </c>
      <c r="C42" s="16" t="s">
        <v>97</v>
      </c>
      <c r="D42" s="82" t="s">
        <v>388</v>
      </c>
      <c r="E42" s="16" t="s">
        <v>97</v>
      </c>
      <c r="F42" s="147" t="s">
        <v>389</v>
      </c>
      <c r="I42" s="100" t="s">
        <v>342</v>
      </c>
      <c r="J42" s="16" t="s">
        <v>101</v>
      </c>
      <c r="K42" s="16"/>
      <c r="L42" s="3" t="s">
        <v>102</v>
      </c>
      <c r="M42" s="3" t="s">
        <v>103</v>
      </c>
      <c r="N42" s="3" t="s">
        <v>104</v>
      </c>
      <c r="O42" s="16" t="s">
        <v>105</v>
      </c>
      <c r="P42" s="81" t="s">
        <v>390</v>
      </c>
      <c r="Q42" s="81" t="s">
        <v>390</v>
      </c>
      <c r="R42" s="81" t="s">
        <v>390</v>
      </c>
      <c r="S42" s="87" t="s">
        <v>386</v>
      </c>
      <c r="T42" s="130" t="s">
        <v>107</v>
      </c>
      <c r="U42" s="58">
        <v>8</v>
      </c>
      <c r="V42" s="58"/>
      <c r="W42" s="58"/>
      <c r="X42" s="59" t="s">
        <v>108</v>
      </c>
      <c r="Y42" s="93">
        <f>IF(AD42=0, 0, IF(OR(H42="", H42&lt;&gt;0), 1, 0))</f>
        <v>1</v>
      </c>
      <c r="Z42" s="3">
        <v>0</v>
      </c>
      <c r="AA42" s="3" t="s">
        <v>391</v>
      </c>
      <c r="AD42" s="6">
        <f>ROUND((AG42*(1+AJ42)),2)</f>
        <v>125.96</v>
      </c>
      <c r="AE42" s="74">
        <v>143.53725371000002</v>
      </c>
      <c r="AF42" s="17">
        <f>(AE42*1)</f>
        <v>143.53725371000002</v>
      </c>
      <c r="AG42" s="6">
        <f>ROUND((AE42*AI42),2)</f>
        <v>93.3</v>
      </c>
      <c r="AH42" s="30" t="s">
        <v>110</v>
      </c>
      <c r="AI42" s="3">
        <v>0.65</v>
      </c>
      <c r="AJ42" s="18">
        <v>0.35</v>
      </c>
      <c r="AK42" s="6">
        <f>ROUND((AD42-(AD42*BG42)),2)</f>
        <v>124.7</v>
      </c>
      <c r="AL42" s="6">
        <f>ROUND((AD42-(AD42*BH42)),2)</f>
        <v>123.44</v>
      </c>
      <c r="AM42" s="6">
        <f>ROUND((AD42-(AD42*BI42)),2)</f>
        <v>122.18</v>
      </c>
      <c r="AN42" s="6">
        <f>ROUND((AD42-(AD42*BJ42)),2)</f>
        <v>122.18</v>
      </c>
      <c r="AO42" s="6">
        <f>ROUND((AD42-(AD42*BK42)),2)</f>
        <v>125.96</v>
      </c>
      <c r="BG42" s="12">
        <v>0.01</v>
      </c>
      <c r="BH42" s="12">
        <v>0.02</v>
      </c>
      <c r="BI42" s="12">
        <v>0.03</v>
      </c>
      <c r="BJ42" s="12">
        <v>0.03</v>
      </c>
      <c r="CC42" s="3" t="str">
        <f>IF(B42&lt;&gt;"",CONCATENATE(SUBSTITUTE(B42," ","-"),".jpg"),"")</f>
        <v>Allied-Moulded-AM1206RH.jpg</v>
      </c>
      <c r="CD42" s="16" t="s">
        <v>111</v>
      </c>
      <c r="CE42" s="3"/>
      <c r="CF42" s="3"/>
      <c r="CG42" s="3" t="s">
        <v>112</v>
      </c>
      <c r="CI42" s="3" t="s">
        <v>97</v>
      </c>
      <c r="CJ42" s="3" t="s">
        <v>383</v>
      </c>
      <c r="CK42" s="3" t="s">
        <v>114</v>
      </c>
      <c r="CL42" s="3" t="s">
        <v>115</v>
      </c>
      <c r="CO42" s="3" t="s">
        <v>118</v>
      </c>
      <c r="CP42" s="3" t="s">
        <v>139</v>
      </c>
      <c r="CQ42" s="3" t="s">
        <v>120</v>
      </c>
      <c r="CR42" s="3" t="s">
        <v>140</v>
      </c>
      <c r="CS42" s="3" t="s">
        <v>384</v>
      </c>
      <c r="CT42" s="16" t="s">
        <v>125</v>
      </c>
      <c r="CU42" s="16" t="s">
        <v>167</v>
      </c>
      <c r="CV42" s="16" t="s">
        <v>385</v>
      </c>
    </row>
    <row r="43" spans="1:100" ht="15" customHeight="1">
      <c r="A43" s="87" t="s">
        <v>392</v>
      </c>
      <c r="B43" s="81" t="s">
        <v>393</v>
      </c>
      <c r="C43" s="16" t="s">
        <v>97</v>
      </c>
      <c r="D43" s="95" t="s">
        <v>394</v>
      </c>
      <c r="E43" s="16" t="s">
        <v>97</v>
      </c>
      <c r="F43" s="147" t="s">
        <v>395</v>
      </c>
      <c r="I43" s="100" t="s">
        <v>342</v>
      </c>
      <c r="J43" s="16" t="s">
        <v>101</v>
      </c>
      <c r="K43" s="16"/>
      <c r="L43" s="3" t="s">
        <v>102</v>
      </c>
      <c r="M43" s="3" t="s">
        <v>103</v>
      </c>
      <c r="N43" s="3" t="s">
        <v>104</v>
      </c>
      <c r="O43" s="16" t="s">
        <v>105</v>
      </c>
      <c r="P43" s="81" t="s">
        <v>396</v>
      </c>
      <c r="Q43" s="81" t="s">
        <v>396</v>
      </c>
      <c r="R43" s="81" t="s">
        <v>396</v>
      </c>
      <c r="S43" s="87" t="s">
        <v>392</v>
      </c>
      <c r="T43" s="130" t="s">
        <v>107</v>
      </c>
      <c r="U43" s="54">
        <v>8</v>
      </c>
      <c r="V43" s="54"/>
      <c r="W43" s="54"/>
      <c r="X43" s="59" t="s">
        <v>108</v>
      </c>
      <c r="Y43" s="93">
        <f>IF(AD43=0, 0, IF(OR(H43="", H43&lt;&gt;0), 1, 0))</f>
        <v>1</v>
      </c>
      <c r="Z43" s="3">
        <v>0</v>
      </c>
      <c r="AA43" s="3" t="s">
        <v>397</v>
      </c>
      <c r="AD43" s="6">
        <f>ROUND((AG43*(1+AJ43)),2)</f>
        <v>141.83000000000001</v>
      </c>
      <c r="AE43" s="74">
        <v>161.62678732999998</v>
      </c>
      <c r="AF43" s="17">
        <f>(AE43*1)</f>
        <v>161.62678732999998</v>
      </c>
      <c r="AG43" s="6">
        <f>ROUND((AE43*AI43),2)</f>
        <v>105.06</v>
      </c>
      <c r="AH43" s="30" t="s">
        <v>110</v>
      </c>
      <c r="AI43" s="3">
        <v>0.65</v>
      </c>
      <c r="AJ43" s="18">
        <v>0.35</v>
      </c>
      <c r="AK43" s="6">
        <f>ROUND((AD43-(AD43*BG43)),2)</f>
        <v>140.41</v>
      </c>
      <c r="AL43" s="6">
        <f>ROUND((AD43-(AD43*BH43)),2)</f>
        <v>138.99</v>
      </c>
      <c r="AM43" s="6">
        <f>ROUND((AD43-(AD43*BI43)),2)</f>
        <v>137.58000000000001</v>
      </c>
      <c r="AN43" s="6">
        <f>ROUND((AD43-(AD43*BJ43)),2)</f>
        <v>137.58000000000001</v>
      </c>
      <c r="AO43" s="6">
        <f>ROUND((AD43-(AD43*BK43)),2)</f>
        <v>141.83000000000001</v>
      </c>
      <c r="BG43" s="12">
        <v>0.01</v>
      </c>
      <c r="BH43" s="12">
        <v>0.02</v>
      </c>
      <c r="BI43" s="12">
        <v>0.03</v>
      </c>
      <c r="BJ43" s="12">
        <v>0.03</v>
      </c>
      <c r="CC43" s="3" t="str">
        <f>IF(B43&lt;&gt;"",CONCATENATE(SUBSTITUTE(B43," ","-"),".jpg"),"")</f>
        <v>Allied-Moulded-AM1206RL.jpg</v>
      </c>
      <c r="CD43" s="16" t="s">
        <v>111</v>
      </c>
      <c r="CE43" s="3"/>
      <c r="CF43" s="3"/>
      <c r="CG43" s="3" t="s">
        <v>112</v>
      </c>
      <c r="CI43" s="3" t="s">
        <v>97</v>
      </c>
      <c r="CJ43" s="3" t="s">
        <v>383</v>
      </c>
      <c r="CK43" s="3" t="s">
        <v>114</v>
      </c>
      <c r="CL43" s="3" t="s">
        <v>115</v>
      </c>
      <c r="CM43" s="3" t="s">
        <v>116</v>
      </c>
      <c r="CN43" t="s">
        <v>117</v>
      </c>
      <c r="CO43" s="3" t="s">
        <v>118</v>
      </c>
      <c r="CP43" s="3" t="s">
        <v>139</v>
      </c>
      <c r="CQ43" s="3" t="s">
        <v>120</v>
      </c>
      <c r="CR43" s="3" t="s">
        <v>140</v>
      </c>
      <c r="CS43" s="16" t="s">
        <v>122</v>
      </c>
      <c r="CT43" s="16" t="s">
        <v>125</v>
      </c>
      <c r="CU43" s="16" t="s">
        <v>167</v>
      </c>
      <c r="CV43" s="16" t="s">
        <v>385</v>
      </c>
    </row>
    <row r="44" spans="1:100" ht="15" customHeight="1" thickBot="1">
      <c r="A44" s="87" t="s">
        <v>398</v>
      </c>
      <c r="B44" s="81" t="s">
        <v>399</v>
      </c>
      <c r="C44" s="16" t="s">
        <v>97</v>
      </c>
      <c r="D44" s="95" t="s">
        <v>400</v>
      </c>
      <c r="E44" s="16" t="s">
        <v>97</v>
      </c>
      <c r="F44" s="147" t="s">
        <v>401</v>
      </c>
      <c r="I44" s="100" t="s">
        <v>342</v>
      </c>
      <c r="J44" s="16" t="s">
        <v>101</v>
      </c>
      <c r="K44" s="16"/>
      <c r="L44" s="3" t="s">
        <v>102</v>
      </c>
      <c r="M44" s="3" t="s">
        <v>103</v>
      </c>
      <c r="N44" s="3" t="s">
        <v>104</v>
      </c>
      <c r="O44" s="16" t="s">
        <v>105</v>
      </c>
      <c r="P44" s="81" t="s">
        <v>402</v>
      </c>
      <c r="Q44" s="81" t="s">
        <v>402</v>
      </c>
      <c r="R44" s="81" t="s">
        <v>402</v>
      </c>
      <c r="S44" s="87" t="s">
        <v>398</v>
      </c>
      <c r="T44" s="130" t="s">
        <v>107</v>
      </c>
      <c r="U44" s="54">
        <v>8</v>
      </c>
      <c r="V44" s="54"/>
      <c r="W44" s="54"/>
      <c r="X44" s="59" t="s">
        <v>108</v>
      </c>
      <c r="Y44" s="93">
        <f>IF(AD44=0, 0, IF(OR(H44="", H44&lt;&gt;0), 1, 0))</f>
        <v>1</v>
      </c>
      <c r="Z44" s="3">
        <v>0</v>
      </c>
      <c r="AA44" s="3" t="s">
        <v>403</v>
      </c>
      <c r="AD44" s="6">
        <f>ROUND((AG44*(1+AJ44)),2)</f>
        <v>141.83000000000001</v>
      </c>
      <c r="AE44" s="74">
        <v>161.62678732999998</v>
      </c>
      <c r="AF44" s="17">
        <f>(AE44*1)</f>
        <v>161.62678732999998</v>
      </c>
      <c r="AG44" s="6">
        <f>ROUND((AE44*AI44),2)</f>
        <v>105.06</v>
      </c>
      <c r="AH44" s="30" t="s">
        <v>110</v>
      </c>
      <c r="AI44" s="3">
        <v>0.65</v>
      </c>
      <c r="AJ44" s="18">
        <v>0.35</v>
      </c>
      <c r="AK44" s="6">
        <f>ROUND((AD44-(AD44*BG44)),2)</f>
        <v>140.41</v>
      </c>
      <c r="AL44" s="6">
        <f>ROUND((AD44-(AD44*BH44)),2)</f>
        <v>138.99</v>
      </c>
      <c r="AM44" s="6">
        <f>ROUND((AD44-(AD44*BI44)),2)</f>
        <v>137.58000000000001</v>
      </c>
      <c r="AN44" s="6">
        <f>ROUND((AD44-(AD44*BJ44)),2)</f>
        <v>137.58000000000001</v>
      </c>
      <c r="AO44" s="6">
        <f>ROUND((AD44-(AD44*BK44)),2)</f>
        <v>141.83000000000001</v>
      </c>
      <c r="BG44" s="12">
        <v>0.01</v>
      </c>
      <c r="BH44" s="12">
        <v>0.02</v>
      </c>
      <c r="BI44" s="12">
        <v>0.03</v>
      </c>
      <c r="BJ44" s="12">
        <v>0.03</v>
      </c>
      <c r="CC44" s="3" t="str">
        <f>IF(B44&lt;&gt;"",CONCATENATE(SUBSTITUTE(B44," ","-"),".jpg"),"")</f>
        <v>Allied-Moulded-AM1206RT.jpg</v>
      </c>
      <c r="CD44" s="16" t="s">
        <v>111</v>
      </c>
      <c r="CE44" s="3"/>
      <c r="CF44" s="3"/>
      <c r="CG44" s="3" t="s">
        <v>112</v>
      </c>
      <c r="CI44" s="3" t="s">
        <v>97</v>
      </c>
      <c r="CJ44" s="3" t="s">
        <v>383</v>
      </c>
      <c r="CK44" s="3" t="s">
        <v>114</v>
      </c>
      <c r="CL44" s="3" t="s">
        <v>115</v>
      </c>
      <c r="CM44" s="3" t="s">
        <v>116</v>
      </c>
      <c r="CN44" s="16" t="s">
        <v>132</v>
      </c>
      <c r="CO44" s="3" t="s">
        <v>118</v>
      </c>
      <c r="CP44" s="3" t="s">
        <v>139</v>
      </c>
      <c r="CQ44" s="3" t="s">
        <v>120</v>
      </c>
      <c r="CR44" s="3" t="s">
        <v>140</v>
      </c>
      <c r="CS44" s="16" t="s">
        <v>122</v>
      </c>
      <c r="CT44" s="16" t="s">
        <v>125</v>
      </c>
      <c r="CU44" s="16" t="s">
        <v>167</v>
      </c>
      <c r="CV44" s="16" t="s">
        <v>385</v>
      </c>
    </row>
    <row r="45" spans="1:100" ht="15" customHeight="1">
      <c r="A45" s="101" t="s">
        <v>404</v>
      </c>
      <c r="B45" s="102" t="s">
        <v>405</v>
      </c>
      <c r="C45" s="16" t="s">
        <v>97</v>
      </c>
      <c r="D45" s="151" t="s">
        <v>406</v>
      </c>
      <c r="E45" s="16" t="s">
        <v>97</v>
      </c>
      <c r="F45" s="131" t="s">
        <v>407</v>
      </c>
      <c r="I45" s="100" t="s">
        <v>342</v>
      </c>
      <c r="J45" s="16" t="s">
        <v>101</v>
      </c>
      <c r="K45" s="16"/>
      <c r="L45" s="3" t="s">
        <v>102</v>
      </c>
      <c r="M45" s="3" t="s">
        <v>103</v>
      </c>
      <c r="N45" s="3" t="s">
        <v>104</v>
      </c>
      <c r="O45" s="16" t="s">
        <v>105</v>
      </c>
      <c r="P45" s="102" t="s">
        <v>408</v>
      </c>
      <c r="Q45" s="102" t="s">
        <v>408</v>
      </c>
      <c r="R45" s="102" t="s">
        <v>408</v>
      </c>
      <c r="S45" s="101" t="s">
        <v>404</v>
      </c>
      <c r="T45" s="130" t="s">
        <v>107</v>
      </c>
      <c r="U45" s="58">
        <v>8</v>
      </c>
      <c r="V45" s="58"/>
      <c r="W45" s="58"/>
      <c r="X45" s="59" t="s">
        <v>108</v>
      </c>
      <c r="Y45" s="93">
        <f>IF(AD45=0, 0, IF(OR(H45="", H45&lt;&gt;0), 1, 0))</f>
        <v>1</v>
      </c>
      <c r="Z45" s="3">
        <v>0</v>
      </c>
      <c r="AA45" s="3" t="s">
        <v>409</v>
      </c>
      <c r="AD45" s="6">
        <f>ROUND((AG45*(1+AJ45)),2)</f>
        <v>201.76</v>
      </c>
      <c r="AE45" s="74">
        <v>229.91782261</v>
      </c>
      <c r="AF45" s="17">
        <f>(AE45*1)</f>
        <v>229.91782261</v>
      </c>
      <c r="AG45" s="6">
        <f>ROUND((AE45*AI45),2)</f>
        <v>149.44999999999999</v>
      </c>
      <c r="AH45" s="30" t="s">
        <v>110</v>
      </c>
      <c r="AI45" s="3">
        <v>0.65</v>
      </c>
      <c r="AJ45" s="18">
        <v>0.35</v>
      </c>
      <c r="AK45" s="6">
        <f>ROUND((AD45-(AD45*BG45)),2)</f>
        <v>199.74</v>
      </c>
      <c r="AL45" s="6">
        <f>ROUND((AD45-(AD45*BH45)),2)</f>
        <v>197.72</v>
      </c>
      <c r="AM45" s="6">
        <f>ROUND((AD45-(AD45*BI45)),2)</f>
        <v>195.71</v>
      </c>
      <c r="AN45" s="6">
        <f>ROUND((AD45-(AD45*BJ45)),2)</f>
        <v>195.71</v>
      </c>
      <c r="AO45" s="6">
        <f>ROUND((AD45-(AD45*BK45)),2)</f>
        <v>201.76</v>
      </c>
      <c r="BG45" s="12">
        <v>0.01</v>
      </c>
      <c r="BH45" s="12">
        <v>0.02</v>
      </c>
      <c r="BI45" s="12">
        <v>0.03</v>
      </c>
      <c r="BJ45" s="12">
        <v>0.03</v>
      </c>
      <c r="CC45" s="3" t="str">
        <f>IF(B45&lt;&gt;"",CONCATENATE(SUBSTITUTE(B45," ","-"),".jpg"),"")</f>
        <v>Allied-Moulded-AM1206RW.jpg</v>
      </c>
      <c r="CD45" s="16" t="s">
        <v>111</v>
      </c>
      <c r="CE45" s="3"/>
      <c r="CF45" s="3"/>
      <c r="CG45" s="3" t="s">
        <v>112</v>
      </c>
      <c r="CI45" s="3" t="s">
        <v>97</v>
      </c>
      <c r="CJ45" s="3" t="s">
        <v>383</v>
      </c>
      <c r="CK45" s="3" t="s">
        <v>114</v>
      </c>
      <c r="CL45" s="3" t="s">
        <v>115</v>
      </c>
      <c r="CM45" s="16"/>
      <c r="CN45" s="16" t="s">
        <v>349</v>
      </c>
      <c r="CO45" s="3" t="s">
        <v>118</v>
      </c>
      <c r="CP45" s="3" t="s">
        <v>139</v>
      </c>
      <c r="CQ45" s="3" t="s">
        <v>120</v>
      </c>
      <c r="CR45" s="16" t="s">
        <v>121</v>
      </c>
      <c r="CS45" s="3" t="s">
        <v>384</v>
      </c>
      <c r="CT45" s="16" t="s">
        <v>125</v>
      </c>
      <c r="CU45" s="16" t="s">
        <v>167</v>
      </c>
      <c r="CV45" s="16" t="s">
        <v>385</v>
      </c>
    </row>
    <row r="46" spans="1:100" ht="15" customHeight="1">
      <c r="A46" s="87" t="s">
        <v>410</v>
      </c>
      <c r="B46" s="81" t="s">
        <v>411</v>
      </c>
      <c r="C46" s="16" t="s">
        <v>97</v>
      </c>
      <c r="D46" s="95" t="s">
        <v>412</v>
      </c>
      <c r="E46" s="16" t="s">
        <v>97</v>
      </c>
      <c r="F46" s="131" t="s">
        <v>413</v>
      </c>
      <c r="I46" s="100" t="s">
        <v>342</v>
      </c>
      <c r="J46" s="16" t="s">
        <v>101</v>
      </c>
      <c r="K46" s="16"/>
      <c r="L46" s="3" t="s">
        <v>102</v>
      </c>
      <c r="M46" s="3" t="s">
        <v>103</v>
      </c>
      <c r="N46" s="3" t="s">
        <v>104</v>
      </c>
      <c r="O46" s="16" t="s">
        <v>105</v>
      </c>
      <c r="P46" s="81" t="s">
        <v>414</v>
      </c>
      <c r="Q46" s="81" t="s">
        <v>414</v>
      </c>
      <c r="R46" s="81" t="s">
        <v>414</v>
      </c>
      <c r="S46" s="87" t="s">
        <v>410</v>
      </c>
      <c r="T46" s="130" t="s">
        <v>107</v>
      </c>
      <c r="U46" s="39">
        <v>8</v>
      </c>
      <c r="V46" s="39"/>
      <c r="W46" s="39"/>
      <c r="X46" s="59" t="s">
        <v>108</v>
      </c>
      <c r="Y46" s="93">
        <f>IF(AD46=0, 0, IF(OR(H46="", H46&lt;&gt;0), 1, 0))</f>
        <v>1</v>
      </c>
      <c r="Z46" s="3">
        <v>0</v>
      </c>
      <c r="AA46" s="3" t="s">
        <v>415</v>
      </c>
      <c r="AD46" s="6">
        <f>ROUND((AG46*(1+AJ46)),2)</f>
        <v>206.6</v>
      </c>
      <c r="AE46" s="74">
        <v>235.44288165999998</v>
      </c>
      <c r="AF46" s="17">
        <f>(AE46*1)</f>
        <v>235.44288165999998</v>
      </c>
      <c r="AG46" s="6">
        <f>ROUND((AE46*AI46),2)</f>
        <v>153.04</v>
      </c>
      <c r="AH46" s="30" t="s">
        <v>110</v>
      </c>
      <c r="AI46" s="3">
        <v>0.65</v>
      </c>
      <c r="AJ46" s="18">
        <v>0.35</v>
      </c>
      <c r="AK46" s="6">
        <f>ROUND((AD46-(AD46*BG46)),2)</f>
        <v>204.53</v>
      </c>
      <c r="AL46" s="6">
        <f>ROUND((AD46-(AD46*BH46)),2)</f>
        <v>202.47</v>
      </c>
      <c r="AM46" s="6">
        <f>ROUND((AD46-(AD46*BI46)),2)</f>
        <v>200.4</v>
      </c>
      <c r="AN46" s="6">
        <f>ROUND((AD46-(AD46*BJ46)),2)</f>
        <v>200.4</v>
      </c>
      <c r="AO46" s="6">
        <f>ROUND((AD46-(AD46*BK46)),2)</f>
        <v>206.6</v>
      </c>
      <c r="BG46" s="12">
        <v>0.01</v>
      </c>
      <c r="BH46" s="12">
        <v>0.02</v>
      </c>
      <c r="BI46" s="12">
        <v>0.03</v>
      </c>
      <c r="BJ46" s="12">
        <v>0.03</v>
      </c>
      <c r="CC46" s="3" t="str">
        <f>IF(B46&lt;&gt;"",CONCATENATE(SUBSTITUTE(B46," ","-"),".jpg"),"")</f>
        <v>Allied-Moulded-AM1206RHW.jpg</v>
      </c>
      <c r="CD46" s="16" t="s">
        <v>111</v>
      </c>
      <c r="CE46" s="3"/>
      <c r="CF46" s="3"/>
      <c r="CG46" s="3" t="s">
        <v>112</v>
      </c>
      <c r="CI46" s="3" t="s">
        <v>97</v>
      </c>
      <c r="CJ46" s="3" t="s">
        <v>383</v>
      </c>
      <c r="CK46" s="3" t="s">
        <v>114</v>
      </c>
      <c r="CL46" s="3" t="s">
        <v>115</v>
      </c>
      <c r="CO46" s="3" t="s">
        <v>118</v>
      </c>
      <c r="CP46" s="3" t="s">
        <v>139</v>
      </c>
      <c r="CQ46" s="3" t="s">
        <v>120</v>
      </c>
      <c r="CR46" s="16" t="s">
        <v>121</v>
      </c>
      <c r="CS46" s="3" t="s">
        <v>384</v>
      </c>
      <c r="CT46" s="16" t="s">
        <v>125</v>
      </c>
      <c r="CU46" s="16" t="s">
        <v>167</v>
      </c>
      <c r="CV46" s="16" t="s">
        <v>385</v>
      </c>
    </row>
    <row r="47" spans="1:100" ht="15" customHeight="1">
      <c r="A47" s="87" t="s">
        <v>416</v>
      </c>
      <c r="B47" s="81" t="s">
        <v>417</v>
      </c>
      <c r="C47" s="16" t="s">
        <v>97</v>
      </c>
      <c r="D47" s="95" t="s">
        <v>418</v>
      </c>
      <c r="E47" s="16" t="s">
        <v>97</v>
      </c>
      <c r="F47" s="131" t="s">
        <v>419</v>
      </c>
      <c r="I47" s="100" t="s">
        <v>342</v>
      </c>
      <c r="J47" s="16" t="s">
        <v>101</v>
      </c>
      <c r="K47" s="16"/>
      <c r="L47" s="3" t="s">
        <v>102</v>
      </c>
      <c r="M47" s="3" t="s">
        <v>103</v>
      </c>
      <c r="N47" s="3" t="s">
        <v>104</v>
      </c>
      <c r="O47" s="16" t="s">
        <v>105</v>
      </c>
      <c r="P47" s="81" t="s">
        <v>420</v>
      </c>
      <c r="Q47" s="81" t="s">
        <v>420</v>
      </c>
      <c r="R47" s="81" t="s">
        <v>420</v>
      </c>
      <c r="S47" s="87" t="s">
        <v>416</v>
      </c>
      <c r="T47" s="130" t="s">
        <v>107</v>
      </c>
      <c r="U47" s="39">
        <v>8</v>
      </c>
      <c r="V47" s="39"/>
      <c r="W47" s="39"/>
      <c r="X47" s="59" t="s">
        <v>108</v>
      </c>
      <c r="Y47" s="93">
        <f>IF(AD47=0, 0, IF(OR(H47="", H47&lt;&gt;0), 1, 0))</f>
        <v>1</v>
      </c>
      <c r="Z47" s="3">
        <v>0</v>
      </c>
      <c r="AA47" s="3" t="s">
        <v>421</v>
      </c>
      <c r="AD47" s="6">
        <f>ROUND((AG47*(1+AJ47)),2)</f>
        <v>224.41</v>
      </c>
      <c r="AE47" s="74">
        <v>255.73133035000001</v>
      </c>
      <c r="AF47" s="17">
        <f>(AE47*1)</f>
        <v>255.73133035000001</v>
      </c>
      <c r="AG47" s="6">
        <f>ROUND((AE47*AI47),2)</f>
        <v>166.23</v>
      </c>
      <c r="AH47" s="30" t="s">
        <v>110</v>
      </c>
      <c r="AI47" s="3">
        <v>0.65</v>
      </c>
      <c r="AJ47" s="18">
        <v>0.35</v>
      </c>
      <c r="AK47" s="6">
        <f>ROUND((AD47-(AD47*BG47)),2)</f>
        <v>222.17</v>
      </c>
      <c r="AL47" s="6">
        <f>ROUND((AD47-(AD47*BH47)),2)</f>
        <v>219.92</v>
      </c>
      <c r="AM47" s="6">
        <f>ROUND((AD47-(AD47*BI47)),2)</f>
        <v>217.68</v>
      </c>
      <c r="AN47" s="6">
        <f>ROUND((AD47-(AD47*BJ47)),2)</f>
        <v>217.68</v>
      </c>
      <c r="AO47" s="6">
        <f>ROUND((AD47-(AD47*BK47)),2)</f>
        <v>224.41</v>
      </c>
      <c r="BG47" s="12">
        <v>0.01</v>
      </c>
      <c r="BH47" s="12">
        <v>0.02</v>
      </c>
      <c r="BI47" s="12">
        <v>0.03</v>
      </c>
      <c r="BJ47" s="12">
        <v>0.03</v>
      </c>
      <c r="CC47" s="3" t="str">
        <f>IF(B47&lt;&gt;"",CONCATENATE(SUBSTITUTE(B47," ","-"),".jpg"),"")</f>
        <v>Allied-Moulded-AM1206RLW.jpg</v>
      </c>
      <c r="CD47" s="16" t="s">
        <v>111</v>
      </c>
      <c r="CE47" s="3"/>
      <c r="CF47" s="3"/>
      <c r="CG47" s="3" t="s">
        <v>112</v>
      </c>
      <c r="CI47" s="3" t="s">
        <v>97</v>
      </c>
      <c r="CJ47" s="3" t="s">
        <v>383</v>
      </c>
      <c r="CK47" s="3" t="s">
        <v>114</v>
      </c>
      <c r="CL47" s="3" t="s">
        <v>115</v>
      </c>
      <c r="CM47" s="3" t="s">
        <v>116</v>
      </c>
      <c r="CN47" t="s">
        <v>117</v>
      </c>
      <c r="CO47" s="3" t="s">
        <v>118</v>
      </c>
      <c r="CP47" s="3" t="s">
        <v>139</v>
      </c>
      <c r="CQ47" s="3" t="s">
        <v>120</v>
      </c>
      <c r="CR47" s="16" t="s">
        <v>121</v>
      </c>
      <c r="CS47" s="16" t="s">
        <v>122</v>
      </c>
      <c r="CT47" s="16" t="s">
        <v>125</v>
      </c>
      <c r="CU47" s="16" t="s">
        <v>167</v>
      </c>
      <c r="CV47" s="16" t="s">
        <v>385</v>
      </c>
    </row>
    <row r="48" spans="1:100" ht="15" customHeight="1">
      <c r="A48" s="87" t="s">
        <v>422</v>
      </c>
      <c r="B48" s="81" t="s">
        <v>423</v>
      </c>
      <c r="C48" s="16" t="s">
        <v>97</v>
      </c>
      <c r="D48" s="82" t="s">
        <v>424</v>
      </c>
      <c r="E48" s="16" t="s">
        <v>97</v>
      </c>
      <c r="F48" s="131" t="s">
        <v>425</v>
      </c>
      <c r="I48" s="100" t="s">
        <v>342</v>
      </c>
      <c r="J48" s="16" t="s">
        <v>101</v>
      </c>
      <c r="K48" s="16"/>
      <c r="L48" s="3" t="s">
        <v>102</v>
      </c>
      <c r="M48" s="3" t="s">
        <v>103</v>
      </c>
      <c r="N48" s="3" t="s">
        <v>104</v>
      </c>
      <c r="O48" s="16" t="s">
        <v>105</v>
      </c>
      <c r="P48" s="81" t="s">
        <v>426</v>
      </c>
      <c r="Q48" s="81" t="s">
        <v>426</v>
      </c>
      <c r="R48" s="81" t="s">
        <v>426</v>
      </c>
      <c r="S48" s="87" t="s">
        <v>422</v>
      </c>
      <c r="T48" s="130" t="s">
        <v>107</v>
      </c>
      <c r="U48" s="58">
        <v>8</v>
      </c>
      <c r="V48" s="58"/>
      <c r="W48" s="58"/>
      <c r="X48" s="59" t="s">
        <v>108</v>
      </c>
      <c r="Y48" s="93">
        <f>IF(AD48=0, 0, IF(OR(H48="", H48&lt;&gt;0), 1, 0))</f>
        <v>1</v>
      </c>
      <c r="Z48" s="3">
        <v>0</v>
      </c>
      <c r="AA48" s="3" t="s">
        <v>427</v>
      </c>
      <c r="AD48" s="6">
        <f>ROUND((AG48*(1+AJ48)),2)</f>
        <v>224.41</v>
      </c>
      <c r="AE48" s="74">
        <v>255.73133035000001</v>
      </c>
      <c r="AF48" s="17">
        <f>(AE48*1)</f>
        <v>255.73133035000001</v>
      </c>
      <c r="AG48" s="6">
        <f>ROUND((AE48*AI48),2)</f>
        <v>166.23</v>
      </c>
      <c r="AH48" s="30" t="s">
        <v>110</v>
      </c>
      <c r="AI48" s="3">
        <v>0.65</v>
      </c>
      <c r="AJ48" s="18">
        <v>0.35</v>
      </c>
      <c r="AK48" s="6">
        <f>ROUND((AD48-(AD48*BG48)),2)</f>
        <v>222.17</v>
      </c>
      <c r="AL48" s="6">
        <f>ROUND((AD48-(AD48*BH48)),2)</f>
        <v>219.92</v>
      </c>
      <c r="AM48" s="6">
        <f>ROUND((AD48-(AD48*BI48)),2)</f>
        <v>217.68</v>
      </c>
      <c r="AN48" s="6">
        <f>ROUND((AD48-(AD48*BJ48)),2)</f>
        <v>217.68</v>
      </c>
      <c r="AO48" s="6">
        <f>ROUND((AD48-(AD48*BK48)),2)</f>
        <v>224.41</v>
      </c>
      <c r="BG48" s="12">
        <v>0.01</v>
      </c>
      <c r="BH48" s="12">
        <v>0.02</v>
      </c>
      <c r="BI48" s="12">
        <v>0.03</v>
      </c>
      <c r="BJ48" s="12">
        <v>0.03</v>
      </c>
      <c r="CC48" s="3" t="str">
        <f>IF(B48&lt;&gt;"",CONCATENATE(SUBSTITUTE(B48," ","-"),".jpg"),"")</f>
        <v>Allied-Moulded-AM1206RTW.jpg</v>
      </c>
      <c r="CD48" s="16" t="s">
        <v>111</v>
      </c>
      <c r="CE48" s="3"/>
      <c r="CF48" s="3"/>
      <c r="CG48" s="3" t="s">
        <v>112</v>
      </c>
      <c r="CI48" s="3" t="s">
        <v>97</v>
      </c>
      <c r="CJ48" s="3" t="s">
        <v>383</v>
      </c>
      <c r="CK48" s="3" t="s">
        <v>114</v>
      </c>
      <c r="CL48" s="3" t="s">
        <v>115</v>
      </c>
      <c r="CM48" s="3" t="s">
        <v>116</v>
      </c>
      <c r="CN48" s="16" t="s">
        <v>132</v>
      </c>
      <c r="CO48" s="3" t="s">
        <v>118</v>
      </c>
      <c r="CP48" s="3" t="s">
        <v>139</v>
      </c>
      <c r="CQ48" s="3" t="s">
        <v>120</v>
      </c>
      <c r="CR48" s="16" t="s">
        <v>121</v>
      </c>
      <c r="CS48" s="16" t="s">
        <v>122</v>
      </c>
      <c r="CT48" s="16" t="s">
        <v>125</v>
      </c>
      <c r="CU48" s="16" t="s">
        <v>167</v>
      </c>
      <c r="CV48" s="16" t="s">
        <v>385</v>
      </c>
    </row>
    <row r="49" spans="1:100" ht="15" customHeight="1">
      <c r="A49" s="78" t="s">
        <v>428</v>
      </c>
      <c r="B49" s="23" t="s">
        <v>429</v>
      </c>
      <c r="C49" s="16" t="s">
        <v>97</v>
      </c>
      <c r="D49" s="23" t="s">
        <v>430</v>
      </c>
      <c r="E49" s="16" t="s">
        <v>97</v>
      </c>
      <c r="F49" s="150" t="s">
        <v>431</v>
      </c>
      <c r="I49" s="100" t="s">
        <v>342</v>
      </c>
      <c r="J49" s="16" t="s">
        <v>101</v>
      </c>
      <c r="K49" s="16"/>
      <c r="L49" s="3" t="s">
        <v>102</v>
      </c>
      <c r="M49" s="3" t="s">
        <v>103</v>
      </c>
      <c r="N49" s="3" t="s">
        <v>104</v>
      </c>
      <c r="O49" s="16" t="s">
        <v>343</v>
      </c>
      <c r="P49" s="23" t="s">
        <v>432</v>
      </c>
      <c r="Q49" s="23" t="s">
        <v>432</v>
      </c>
      <c r="R49" s="23" t="s">
        <v>433</v>
      </c>
      <c r="S49" s="23" t="s">
        <v>434</v>
      </c>
      <c r="T49" s="132" t="s">
        <v>107</v>
      </c>
      <c r="U49" s="6">
        <v>7</v>
      </c>
      <c r="X49" s="31" t="s">
        <v>108</v>
      </c>
      <c r="Y49" s="93">
        <f>IF(AD49=0, 0, IF(OR(H49="", H49&lt;&gt;0), 1, 0))</f>
        <v>1</v>
      </c>
      <c r="Z49" s="3">
        <v>0</v>
      </c>
      <c r="AA49" s="3" t="s">
        <v>435</v>
      </c>
      <c r="AD49" s="6">
        <f>ROUND((AG49*(1+AJ49)),2)</f>
        <v>110.62</v>
      </c>
      <c r="AE49" s="67">
        <v>126.06361374000001</v>
      </c>
      <c r="AF49" s="17">
        <f>(AE49*1)</f>
        <v>126.06361374000001</v>
      </c>
      <c r="AG49" s="6">
        <f>ROUND((AE49*AI49),2)</f>
        <v>81.94</v>
      </c>
      <c r="AH49" s="30" t="s">
        <v>110</v>
      </c>
      <c r="AI49" s="3">
        <v>0.65</v>
      </c>
      <c r="AJ49" s="18">
        <v>0.35</v>
      </c>
      <c r="AK49" s="6">
        <f>ROUND((AD49-(AD49*BG49)),2)</f>
        <v>109.51</v>
      </c>
      <c r="AL49" s="6">
        <f>ROUND((AD49-(AD49*BH49)),2)</f>
        <v>108.41</v>
      </c>
      <c r="AM49" s="6">
        <f>ROUND((AD49-(AD49*BI49)),2)</f>
        <v>107.3</v>
      </c>
      <c r="AN49" s="6">
        <f>ROUND((AD49-(AD49*BJ49)),2)</f>
        <v>107.3</v>
      </c>
      <c r="AO49" s="6">
        <f>ROUND((AD49-(AD49*BK49)),2)</f>
        <v>110.62</v>
      </c>
      <c r="BG49" s="12">
        <v>0.01</v>
      </c>
      <c r="BH49" s="12">
        <v>0.02</v>
      </c>
      <c r="BI49" s="12">
        <v>0.03</v>
      </c>
      <c r="BJ49" s="12">
        <v>0.03</v>
      </c>
      <c r="BK49" s="12"/>
      <c r="CC49" s="3" t="str">
        <f>IF(B49&lt;&gt;"",CONCATENATE(SUBSTITUTE(B49," ","-"),".jpg"),"")</f>
        <v>Allied-Moulded-AM1206.jpg</v>
      </c>
      <c r="CD49" s="16" t="s">
        <v>111</v>
      </c>
      <c r="CE49" s="3"/>
      <c r="CF49" s="3"/>
      <c r="CG49" s="3" t="s">
        <v>112</v>
      </c>
      <c r="CI49" s="3" t="s">
        <v>97</v>
      </c>
      <c r="CJ49" s="16" t="s">
        <v>348</v>
      </c>
      <c r="CK49" s="3" t="s">
        <v>114</v>
      </c>
      <c r="CL49" s="3" t="s">
        <v>115</v>
      </c>
      <c r="CN49" s="16" t="s">
        <v>349</v>
      </c>
      <c r="CO49" s="16" t="s">
        <v>350</v>
      </c>
      <c r="CP49" s="3" t="s">
        <v>139</v>
      </c>
      <c r="CQ49" s="3" t="s">
        <v>120</v>
      </c>
      <c r="CR49" s="3" t="s">
        <v>140</v>
      </c>
      <c r="CS49" s="3" t="s">
        <v>384</v>
      </c>
      <c r="CT49" s="16" t="s">
        <v>125</v>
      </c>
      <c r="CU49" s="16" t="s">
        <v>167</v>
      </c>
      <c r="CV49" s="16" t="s">
        <v>351</v>
      </c>
    </row>
    <row r="50" spans="1:100" ht="15" customHeight="1">
      <c r="A50" s="78" t="s">
        <v>436</v>
      </c>
      <c r="B50" s="23" t="s">
        <v>437</v>
      </c>
      <c r="C50" s="16" t="s">
        <v>97</v>
      </c>
      <c r="D50" s="23" t="s">
        <v>438</v>
      </c>
      <c r="E50" s="16" t="s">
        <v>97</v>
      </c>
      <c r="F50" s="150" t="s">
        <v>439</v>
      </c>
      <c r="I50" s="100" t="s">
        <v>342</v>
      </c>
      <c r="J50" s="16" t="s">
        <v>101</v>
      </c>
      <c r="K50" s="16"/>
      <c r="L50" s="3" t="s">
        <v>102</v>
      </c>
      <c r="M50" s="3" t="s">
        <v>103</v>
      </c>
      <c r="N50" s="3" t="s">
        <v>104</v>
      </c>
      <c r="O50" s="16" t="s">
        <v>343</v>
      </c>
      <c r="P50" s="23" t="s">
        <v>440</v>
      </c>
      <c r="Q50" s="23" t="s">
        <v>440</v>
      </c>
      <c r="R50" s="23" t="s">
        <v>441</v>
      </c>
      <c r="S50" s="23" t="s">
        <v>442</v>
      </c>
      <c r="T50" s="132" t="s">
        <v>107</v>
      </c>
      <c r="U50" s="6">
        <v>7</v>
      </c>
      <c r="X50" s="31" t="s">
        <v>108</v>
      </c>
      <c r="Y50" s="93">
        <f>IF(AD50=0, 0, IF(OR(H50="", H50&lt;&gt;0), 1, 0))</f>
        <v>1</v>
      </c>
      <c r="Z50" s="3">
        <v>0</v>
      </c>
      <c r="AA50" s="3" t="s">
        <v>443</v>
      </c>
      <c r="AD50" s="6">
        <f>ROUND((AG50*(1+AJ50)),2)</f>
        <v>118.02</v>
      </c>
      <c r="AE50" s="67">
        <v>134.49249101999999</v>
      </c>
      <c r="AF50" s="17">
        <f>(AE50*1)</f>
        <v>134.49249101999999</v>
      </c>
      <c r="AG50" s="6">
        <f>ROUND((AE50*AI50),2)</f>
        <v>87.42</v>
      </c>
      <c r="AH50" s="30" t="s">
        <v>110</v>
      </c>
      <c r="AI50" s="3">
        <v>0.65</v>
      </c>
      <c r="AJ50" s="18">
        <v>0.35</v>
      </c>
      <c r="AK50" s="6">
        <f>ROUND((AD50-(AD50*BG50)),2)</f>
        <v>116.84</v>
      </c>
      <c r="AL50" s="6">
        <f>ROUND((AD50-(AD50*BH50)),2)</f>
        <v>115.66</v>
      </c>
      <c r="AM50" s="6">
        <f>ROUND((AD50-(AD50*BI50)),2)</f>
        <v>114.48</v>
      </c>
      <c r="AN50" s="6">
        <f>ROUND((AD50-(AD50*BJ50)),2)</f>
        <v>114.48</v>
      </c>
      <c r="AO50" s="6">
        <f>ROUND((AD50-(AD50*BK50)),2)</f>
        <v>118.02</v>
      </c>
      <c r="BG50" s="12">
        <v>0.01</v>
      </c>
      <c r="BH50" s="12">
        <v>0.02</v>
      </c>
      <c r="BI50" s="12">
        <v>0.03</v>
      </c>
      <c r="BJ50" s="12">
        <v>0.03</v>
      </c>
      <c r="BK50" s="12"/>
      <c r="CC50" s="3" t="str">
        <f>IF(B50&lt;&gt;"",CONCATENATE(SUBSTITUTE(B50," ","-"),".jpg"),"")</f>
        <v>Allied-Moulded-AM1206H.jpg</v>
      </c>
      <c r="CD50" s="16" t="s">
        <v>111</v>
      </c>
      <c r="CE50" s="3"/>
      <c r="CF50" s="3"/>
      <c r="CG50" s="3" t="s">
        <v>112</v>
      </c>
      <c r="CI50" s="3" t="s">
        <v>97</v>
      </c>
      <c r="CJ50" s="16" t="s">
        <v>348</v>
      </c>
      <c r="CK50" s="3" t="s">
        <v>114</v>
      </c>
      <c r="CL50" s="3" t="s">
        <v>115</v>
      </c>
      <c r="CM50" s="3" t="s">
        <v>116</v>
      </c>
      <c r="CN50" s="16" t="s">
        <v>349</v>
      </c>
      <c r="CO50" s="16" t="s">
        <v>350</v>
      </c>
      <c r="CP50" s="3" t="s">
        <v>139</v>
      </c>
      <c r="CQ50" s="3" t="s">
        <v>120</v>
      </c>
      <c r="CR50" s="3" t="s">
        <v>140</v>
      </c>
      <c r="CS50" s="3" t="s">
        <v>384</v>
      </c>
      <c r="CT50" s="16" t="s">
        <v>125</v>
      </c>
      <c r="CU50" s="16" t="s">
        <v>167</v>
      </c>
      <c r="CV50" s="16" t="s">
        <v>351</v>
      </c>
    </row>
    <row r="51" spans="1:100" ht="15" customHeight="1">
      <c r="A51" s="78" t="s">
        <v>444</v>
      </c>
      <c r="B51" s="23" t="s">
        <v>445</v>
      </c>
      <c r="C51" s="16" t="s">
        <v>97</v>
      </c>
      <c r="D51" s="23" t="s">
        <v>446</v>
      </c>
      <c r="E51" s="16" t="s">
        <v>97</v>
      </c>
      <c r="F51" s="150" t="s">
        <v>447</v>
      </c>
      <c r="I51" s="100" t="s">
        <v>342</v>
      </c>
      <c r="J51" s="16" t="s">
        <v>101</v>
      </c>
      <c r="K51" s="16"/>
      <c r="L51" s="3" t="s">
        <v>102</v>
      </c>
      <c r="M51" s="3" t="s">
        <v>103</v>
      </c>
      <c r="N51" s="3" t="s">
        <v>104</v>
      </c>
      <c r="O51" s="16" t="s">
        <v>343</v>
      </c>
      <c r="P51" s="23" t="s">
        <v>448</v>
      </c>
      <c r="Q51" s="23" t="s">
        <v>448</v>
      </c>
      <c r="R51" s="23" t="s">
        <v>449</v>
      </c>
      <c r="S51" s="23" t="s">
        <v>450</v>
      </c>
      <c r="T51" s="132" t="s">
        <v>107</v>
      </c>
      <c r="U51" s="6">
        <v>7</v>
      </c>
      <c r="X51" s="31" t="s">
        <v>108</v>
      </c>
      <c r="Y51" s="93">
        <f>IF(AD51=0, 0, IF(OR(H51="", H51&lt;&gt;0), 1, 0))</f>
        <v>1</v>
      </c>
      <c r="Z51" s="3">
        <v>0</v>
      </c>
      <c r="AA51" s="3" t="s">
        <v>451</v>
      </c>
      <c r="AD51" s="6">
        <f>ROUND((AG51*(1+AJ51)),2)</f>
        <v>132.83000000000001</v>
      </c>
      <c r="AE51" s="67">
        <v>151.36784107</v>
      </c>
      <c r="AF51" s="17">
        <f>(AE51*1)</f>
        <v>151.36784107</v>
      </c>
      <c r="AG51" s="6">
        <f>ROUND((AE51*AI51),2)</f>
        <v>98.39</v>
      </c>
      <c r="AH51" s="30" t="s">
        <v>110</v>
      </c>
      <c r="AI51" s="3">
        <v>0.65</v>
      </c>
      <c r="AJ51" s="18">
        <v>0.35</v>
      </c>
      <c r="AK51" s="6">
        <f>ROUND((AD51-(AD51*BG51)),2)</f>
        <v>131.5</v>
      </c>
      <c r="AL51" s="6">
        <f>ROUND((AD51-(AD51*BH51)),2)</f>
        <v>130.16999999999999</v>
      </c>
      <c r="AM51" s="6">
        <f>ROUND((AD51-(AD51*BI51)),2)</f>
        <v>128.85</v>
      </c>
      <c r="AN51" s="6">
        <f>ROUND((AD51-(AD51*BJ51)),2)</f>
        <v>128.85</v>
      </c>
      <c r="AO51" s="6">
        <f>ROUND((AD51-(AD51*BK51)),2)</f>
        <v>132.83000000000001</v>
      </c>
      <c r="BG51" s="12">
        <v>0.01</v>
      </c>
      <c r="BH51" s="12">
        <v>0.02</v>
      </c>
      <c r="BI51" s="12">
        <v>0.03</v>
      </c>
      <c r="BJ51" s="12">
        <v>0.03</v>
      </c>
      <c r="BK51" s="12"/>
      <c r="CC51" s="3" t="str">
        <f>IF(B51&lt;&gt;"",CONCATENATE(SUBSTITUTE(B51," ","-"),".jpg"),"")</f>
        <v>Allied-Moulded-AM1206L.jpg</v>
      </c>
      <c r="CD51" s="16" t="s">
        <v>111</v>
      </c>
      <c r="CE51" s="3"/>
      <c r="CF51" s="3"/>
      <c r="CG51" s="3" t="s">
        <v>112</v>
      </c>
      <c r="CI51" s="3" t="s">
        <v>97</v>
      </c>
      <c r="CJ51" s="16" t="s">
        <v>348</v>
      </c>
      <c r="CK51" s="3" t="s">
        <v>114</v>
      </c>
      <c r="CL51" s="3" t="s">
        <v>115</v>
      </c>
      <c r="CM51" s="3" t="s">
        <v>116</v>
      </c>
      <c r="CN51" s="16" t="s">
        <v>368</v>
      </c>
      <c r="CO51" s="16" t="s">
        <v>350</v>
      </c>
      <c r="CP51" s="3" t="s">
        <v>139</v>
      </c>
      <c r="CQ51" s="3" t="s">
        <v>120</v>
      </c>
      <c r="CR51" s="3" t="s">
        <v>140</v>
      </c>
      <c r="CS51" s="16" t="s">
        <v>122</v>
      </c>
      <c r="CT51" s="16" t="s">
        <v>125</v>
      </c>
      <c r="CU51" s="16" t="s">
        <v>167</v>
      </c>
      <c r="CV51" s="16" t="s">
        <v>351</v>
      </c>
    </row>
    <row r="52" spans="1:100" ht="15" customHeight="1">
      <c r="A52" s="78" t="s">
        <v>452</v>
      </c>
      <c r="B52" s="23" t="s">
        <v>453</v>
      </c>
      <c r="C52" s="16" t="s">
        <v>97</v>
      </c>
      <c r="D52" s="23" t="s">
        <v>454</v>
      </c>
      <c r="E52" s="16" t="s">
        <v>97</v>
      </c>
      <c r="F52" s="150" t="s">
        <v>455</v>
      </c>
      <c r="I52" s="100" t="s">
        <v>342</v>
      </c>
      <c r="J52" s="16" t="s">
        <v>101</v>
      </c>
      <c r="K52" s="16"/>
      <c r="L52" s="3" t="s">
        <v>102</v>
      </c>
      <c r="M52" s="3" t="s">
        <v>103</v>
      </c>
      <c r="N52" s="3" t="s">
        <v>104</v>
      </c>
      <c r="O52" s="16" t="s">
        <v>343</v>
      </c>
      <c r="P52" s="23" t="s">
        <v>456</v>
      </c>
      <c r="Q52" s="23" t="s">
        <v>456</v>
      </c>
      <c r="R52" s="23" t="s">
        <v>457</v>
      </c>
      <c r="S52" s="23" t="s">
        <v>458</v>
      </c>
      <c r="T52" s="132" t="s">
        <v>107</v>
      </c>
      <c r="U52" s="6">
        <v>7</v>
      </c>
      <c r="X52" s="31" t="s">
        <v>108</v>
      </c>
      <c r="Y52" s="93">
        <f>IF(AD52=0, 0, IF(OR(H52="", H52&lt;&gt;0), 1, 0))</f>
        <v>1</v>
      </c>
      <c r="Z52" s="3">
        <v>0</v>
      </c>
      <c r="AA52" s="3" t="s">
        <v>459</v>
      </c>
      <c r="AD52" s="6">
        <f>ROUND((AG52*(1+AJ52)),2)</f>
        <v>132.83000000000001</v>
      </c>
      <c r="AE52" s="67">
        <v>151.36784107</v>
      </c>
      <c r="AF52" s="17">
        <f>(AE52*1)</f>
        <v>151.36784107</v>
      </c>
      <c r="AG52" s="6">
        <f>ROUND((AE52*AI52),2)</f>
        <v>98.39</v>
      </c>
      <c r="AH52" s="30" t="s">
        <v>110</v>
      </c>
      <c r="AI52" s="3">
        <v>0.65</v>
      </c>
      <c r="AJ52" s="18">
        <v>0.35</v>
      </c>
      <c r="AK52" s="6">
        <f>ROUND((AD52-(AD52*BG52)),2)</f>
        <v>131.5</v>
      </c>
      <c r="AL52" s="6">
        <f>ROUND((AD52-(AD52*BH52)),2)</f>
        <v>130.16999999999999</v>
      </c>
      <c r="AM52" s="6">
        <f>ROUND((AD52-(AD52*BI52)),2)</f>
        <v>128.85</v>
      </c>
      <c r="AN52" s="6">
        <f>ROUND((AD52-(AD52*BJ52)),2)</f>
        <v>128.85</v>
      </c>
      <c r="AO52" s="6">
        <f>ROUND((AD52-(AD52*BK52)),2)</f>
        <v>132.83000000000001</v>
      </c>
      <c r="BG52" s="12">
        <v>0.01</v>
      </c>
      <c r="BH52" s="12">
        <v>0.02</v>
      </c>
      <c r="BI52" s="12">
        <v>0.03</v>
      </c>
      <c r="BJ52" s="12">
        <v>0.03</v>
      </c>
      <c r="BK52" s="12"/>
      <c r="CC52" s="3" t="str">
        <f>IF(B52&lt;&gt;"",CONCATENATE(SUBSTITUTE(B52," ","-"),".jpg"),"")</f>
        <v>Allied-Moulded-AM1206T.jpg</v>
      </c>
      <c r="CD52" s="16" t="s">
        <v>111</v>
      </c>
      <c r="CE52" s="3"/>
      <c r="CF52" s="3"/>
      <c r="CG52" s="3" t="s">
        <v>112</v>
      </c>
      <c r="CI52" s="3" t="s">
        <v>97</v>
      </c>
      <c r="CJ52" s="16" t="s">
        <v>348</v>
      </c>
      <c r="CK52" s="3" t="s">
        <v>114</v>
      </c>
      <c r="CL52" s="3" t="s">
        <v>115</v>
      </c>
      <c r="CM52" s="3" t="s">
        <v>116</v>
      </c>
      <c r="CN52" s="16" t="s">
        <v>132</v>
      </c>
      <c r="CO52" s="16" t="s">
        <v>350</v>
      </c>
      <c r="CP52" s="3" t="s">
        <v>139</v>
      </c>
      <c r="CQ52" s="3" t="s">
        <v>120</v>
      </c>
      <c r="CR52" s="3" t="s">
        <v>140</v>
      </c>
      <c r="CS52" s="16" t="s">
        <v>122</v>
      </c>
      <c r="CT52" s="16" t="s">
        <v>125</v>
      </c>
      <c r="CU52" s="16" t="s">
        <v>167</v>
      </c>
      <c r="CV52" s="16" t="s">
        <v>351</v>
      </c>
    </row>
    <row r="53" spans="1:100" ht="15" customHeight="1">
      <c r="A53" s="87" t="s">
        <v>460</v>
      </c>
      <c r="B53" s="81" t="s">
        <v>461</v>
      </c>
      <c r="C53" s="16" t="s">
        <v>97</v>
      </c>
      <c r="D53" s="95" t="s">
        <v>462</v>
      </c>
      <c r="E53" s="16" t="s">
        <v>97</v>
      </c>
      <c r="F53" s="131" t="s">
        <v>463</v>
      </c>
      <c r="I53" s="100" t="s">
        <v>342</v>
      </c>
      <c r="J53" s="16" t="s">
        <v>101</v>
      </c>
      <c r="K53" s="16"/>
      <c r="L53" s="3" t="s">
        <v>102</v>
      </c>
      <c r="M53" s="3" t="s">
        <v>103</v>
      </c>
      <c r="N53" s="3" t="s">
        <v>104</v>
      </c>
      <c r="O53" s="16" t="s">
        <v>105</v>
      </c>
      <c r="P53" s="81" t="s">
        <v>464</v>
      </c>
      <c r="Q53" s="81" t="s">
        <v>464</v>
      </c>
      <c r="R53" s="81" t="s">
        <v>464</v>
      </c>
      <c r="S53" s="87" t="s">
        <v>460</v>
      </c>
      <c r="T53" s="130" t="s">
        <v>465</v>
      </c>
      <c r="U53" s="39">
        <v>7</v>
      </c>
      <c r="V53" s="39"/>
      <c r="W53" s="39"/>
      <c r="X53" s="59" t="s">
        <v>108</v>
      </c>
      <c r="Y53" s="93">
        <f>IF(AD53=0, 0, IF(OR(H53="", H53&lt;&gt;0), 1, 0))</f>
        <v>1</v>
      </c>
      <c r="Z53" s="3">
        <v>0</v>
      </c>
      <c r="AA53" s="3" t="s">
        <v>466</v>
      </c>
      <c r="AD53" s="6">
        <f>ROUND((AG53*(1+AJ53)),2)</f>
        <v>230.81</v>
      </c>
      <c r="AE53" s="74">
        <v>263.03725528000001</v>
      </c>
      <c r="AF53" s="17">
        <f>(AE53*1)</f>
        <v>263.03725528000001</v>
      </c>
      <c r="AG53" s="6">
        <f>ROUND((AE53*AI53),2)</f>
        <v>170.97</v>
      </c>
      <c r="AH53" s="30" t="s">
        <v>110</v>
      </c>
      <c r="AI53" s="3">
        <v>0.65</v>
      </c>
      <c r="AJ53" s="18">
        <v>0.35</v>
      </c>
      <c r="AK53" s="6">
        <f>ROUND((AD53-(AD53*BG53)),2)</f>
        <v>228.5</v>
      </c>
      <c r="AL53" s="6">
        <f>ROUND((AD53-(AD53*BH53)),2)</f>
        <v>226.19</v>
      </c>
      <c r="AM53" s="6">
        <f>ROUND((AD53-(AD53*BI53)),2)</f>
        <v>223.89</v>
      </c>
      <c r="AN53" s="6">
        <f>ROUND((AD53-(AD53*BJ53)),2)</f>
        <v>223.89</v>
      </c>
      <c r="AO53" s="6">
        <f>ROUND((AD53-(AD53*BK53)),2)</f>
        <v>230.81</v>
      </c>
      <c r="BG53" s="12">
        <v>0.01</v>
      </c>
      <c r="BH53" s="12">
        <v>0.02</v>
      </c>
      <c r="BI53" s="12">
        <v>0.03</v>
      </c>
      <c r="BJ53" s="12">
        <v>0.03</v>
      </c>
      <c r="CC53" s="3" t="str">
        <f>IF(B53&lt;&gt;"",CONCATENATE(SUBSTITUTE(B53," ","-"),".jpg"),"")</f>
        <v>Allied-Moulded-AMU1206LW.jpg</v>
      </c>
      <c r="CD53" s="16" t="s">
        <v>111</v>
      </c>
      <c r="CE53" s="3"/>
      <c r="CF53" s="3"/>
      <c r="CG53" s="3" t="s">
        <v>112</v>
      </c>
      <c r="CI53" s="3" t="s">
        <v>97</v>
      </c>
      <c r="CJ53" s="3" t="s">
        <v>467</v>
      </c>
      <c r="CK53" s="3" t="s">
        <v>114</v>
      </c>
      <c r="CL53" s="3" t="s">
        <v>115</v>
      </c>
      <c r="CM53" s="3" t="s">
        <v>116</v>
      </c>
      <c r="CN53" t="s">
        <v>117</v>
      </c>
      <c r="CO53" s="3" t="s">
        <v>118</v>
      </c>
      <c r="CP53" s="3" t="s">
        <v>139</v>
      </c>
      <c r="CQ53" s="3" t="s">
        <v>120</v>
      </c>
      <c r="CR53" s="3" t="s">
        <v>140</v>
      </c>
      <c r="CS53" s="16" t="s">
        <v>122</v>
      </c>
      <c r="CT53" s="16" t="s">
        <v>125</v>
      </c>
      <c r="CU53" s="16" t="s">
        <v>167</v>
      </c>
      <c r="CV53" s="16" t="s">
        <v>351</v>
      </c>
    </row>
    <row r="54" spans="1:100" ht="15" customHeight="1">
      <c r="A54" t="s">
        <v>468</v>
      </c>
      <c r="B54" s="3" t="s">
        <v>469</v>
      </c>
      <c r="C54" s="16" t="s">
        <v>97</v>
      </c>
      <c r="D54" s="38" t="s">
        <v>470</v>
      </c>
      <c r="E54" s="16" t="s">
        <v>97</v>
      </c>
      <c r="F54" s="131" t="s">
        <v>471</v>
      </c>
      <c r="I54" s="100" t="s">
        <v>342</v>
      </c>
      <c r="J54" s="16" t="s">
        <v>101</v>
      </c>
      <c r="K54" s="16"/>
      <c r="L54" s="3" t="s">
        <v>102</v>
      </c>
      <c r="M54" s="3" t="s">
        <v>103</v>
      </c>
      <c r="N54" s="3" t="s">
        <v>104</v>
      </c>
      <c r="O54" s="16" t="s">
        <v>105</v>
      </c>
      <c r="P54" s="3" t="s">
        <v>472</v>
      </c>
      <c r="Q54" s="3" t="s">
        <v>472</v>
      </c>
      <c r="R54" s="3" t="s">
        <v>472</v>
      </c>
      <c r="S54" t="s">
        <v>468</v>
      </c>
      <c r="T54" s="130" t="s">
        <v>465</v>
      </c>
      <c r="U54" s="33">
        <v>7</v>
      </c>
      <c r="V54" s="40"/>
      <c r="W54" s="40"/>
      <c r="X54" s="59" t="s">
        <v>108</v>
      </c>
      <c r="Y54" s="93">
        <f>IF(AD54=0, 0, IF(OR(H54="", H54&lt;&gt;0), 1, 0))</f>
        <v>1</v>
      </c>
      <c r="Z54" s="3">
        <v>0</v>
      </c>
      <c r="AA54" s="3" t="s">
        <v>473</v>
      </c>
      <c r="AD54" s="6">
        <f>ROUND((AG54*(1+AJ54)),2)</f>
        <v>237.13</v>
      </c>
      <c r="AE54" s="68">
        <v>270.23435555999998</v>
      </c>
      <c r="AF54" s="17">
        <f>(AE54*1)</f>
        <v>270.23435555999998</v>
      </c>
      <c r="AG54" s="6">
        <f>ROUND((AE54*AI54),2)</f>
        <v>175.65</v>
      </c>
      <c r="AH54" s="30" t="s">
        <v>110</v>
      </c>
      <c r="AI54" s="3">
        <v>0.65</v>
      </c>
      <c r="AJ54" s="18">
        <v>0.35</v>
      </c>
      <c r="AK54" s="6">
        <f>ROUND((AD54-(AD54*BG54)),2)</f>
        <v>234.76</v>
      </c>
      <c r="AL54" s="6">
        <f>ROUND((AD54-(AD54*BH54)),2)</f>
        <v>232.39</v>
      </c>
      <c r="AM54" s="6">
        <f>ROUND((AD54-(AD54*BI54)),2)</f>
        <v>230.02</v>
      </c>
      <c r="AN54" s="6">
        <f>ROUND((AD54-(AD54*BJ54)),2)</f>
        <v>230.02</v>
      </c>
      <c r="AO54" s="6">
        <f>ROUND((AD54-(AD54*BK54)),2)</f>
        <v>237.13</v>
      </c>
      <c r="BG54" s="12">
        <v>0.01</v>
      </c>
      <c r="BH54" s="12">
        <v>0.02</v>
      </c>
      <c r="BI54" s="12">
        <v>0.03</v>
      </c>
      <c r="BJ54" s="12">
        <v>0.03</v>
      </c>
      <c r="CC54" s="3" t="str">
        <f>IF(B54&lt;&gt;"",CONCATENATE(SUBSTITUTE(B54," ","-"),".jpg"),"")</f>
        <v>Allied-Moulded-AMU1206LWF.jpg</v>
      </c>
      <c r="CD54" s="16" t="s">
        <v>111</v>
      </c>
      <c r="CE54" s="3"/>
      <c r="CF54" s="3"/>
      <c r="CG54" s="3" t="s">
        <v>112</v>
      </c>
      <c r="CI54" s="3" t="s">
        <v>97</v>
      </c>
      <c r="CJ54" s="3" t="s">
        <v>467</v>
      </c>
      <c r="CK54" s="3" t="s">
        <v>114</v>
      </c>
      <c r="CL54" s="3" t="s">
        <v>115</v>
      </c>
      <c r="CM54" s="3" t="s">
        <v>116</v>
      </c>
      <c r="CN54" t="s">
        <v>117</v>
      </c>
      <c r="CO54" s="3" t="s">
        <v>118</v>
      </c>
      <c r="CP54" s="3" t="s">
        <v>139</v>
      </c>
      <c r="CQ54" s="3" t="s">
        <v>120</v>
      </c>
      <c r="CR54" s="3" t="s">
        <v>140</v>
      </c>
      <c r="CS54" s="16" t="s">
        <v>122</v>
      </c>
      <c r="CT54" s="16" t="s">
        <v>125</v>
      </c>
      <c r="CU54" s="16" t="s">
        <v>167</v>
      </c>
      <c r="CV54" s="16" t="s">
        <v>351</v>
      </c>
    </row>
    <row r="55" spans="1:100" ht="15" customHeight="1">
      <c r="A55" t="s">
        <v>474</v>
      </c>
      <c r="B55" s="3" t="s">
        <v>475</v>
      </c>
      <c r="C55" s="16" t="s">
        <v>97</v>
      </c>
      <c r="D55" s="40" t="s">
        <v>476</v>
      </c>
      <c r="E55" s="16" t="s">
        <v>97</v>
      </c>
      <c r="F55" s="131" t="s">
        <v>477</v>
      </c>
      <c r="I55" s="100" t="s">
        <v>342</v>
      </c>
      <c r="J55" s="16" t="s">
        <v>101</v>
      </c>
      <c r="K55" s="16"/>
      <c r="L55" s="3" t="s">
        <v>102</v>
      </c>
      <c r="M55" s="3" t="s">
        <v>103</v>
      </c>
      <c r="N55" s="3" t="s">
        <v>104</v>
      </c>
      <c r="O55" s="16" t="s">
        <v>478</v>
      </c>
      <c r="P55" s="3" t="s">
        <v>479</v>
      </c>
      <c r="Q55" s="3" t="s">
        <v>479</v>
      </c>
      <c r="R55" s="3" t="s">
        <v>479</v>
      </c>
      <c r="S55" t="s">
        <v>474</v>
      </c>
      <c r="T55" s="130" t="s">
        <v>465</v>
      </c>
      <c r="U55" s="51">
        <v>7</v>
      </c>
      <c r="V55" s="58"/>
      <c r="W55" s="58"/>
      <c r="X55" s="59" t="s">
        <v>108</v>
      </c>
      <c r="Y55" s="93">
        <f>IF(AD55=0, 0, IF(OR(H55="", H55&lt;&gt;0), 1, 0))</f>
        <v>1</v>
      </c>
      <c r="Z55" s="3">
        <v>0</v>
      </c>
      <c r="AA55" s="3" t="s">
        <v>480</v>
      </c>
      <c r="AD55" s="6">
        <f>ROUND((AG55*(1+AJ55)),2)</f>
        <v>109.66</v>
      </c>
      <c r="AE55" s="69">
        <v>124.97006865000002</v>
      </c>
      <c r="AF55" s="17">
        <f>(AE55*1)</f>
        <v>124.97006865000002</v>
      </c>
      <c r="AG55" s="6">
        <f>ROUND((AE55*AI55),2)</f>
        <v>81.23</v>
      </c>
      <c r="AH55" s="30" t="s">
        <v>110</v>
      </c>
      <c r="AI55" s="3">
        <v>0.65</v>
      </c>
      <c r="AJ55" s="18">
        <v>0.35</v>
      </c>
      <c r="AK55" s="6">
        <f>ROUND((AD55-(AD55*BG55)),2)</f>
        <v>108.56</v>
      </c>
      <c r="AL55" s="6">
        <f>ROUND((AD55-(AD55*BH55)),2)</f>
        <v>107.47</v>
      </c>
      <c r="AM55" s="6">
        <f>ROUND((AD55-(AD55*BI55)),2)</f>
        <v>106.37</v>
      </c>
      <c r="AN55" s="6">
        <f>ROUND((AD55-(AD55*BJ55)),2)</f>
        <v>106.37</v>
      </c>
      <c r="AO55" s="6">
        <f>ROUND((AD55-(AD55*BK55)),2)</f>
        <v>109.66</v>
      </c>
      <c r="BG55" s="12">
        <v>0.01</v>
      </c>
      <c r="BH55" s="12">
        <v>0.02</v>
      </c>
      <c r="BI55" s="12">
        <v>0.03</v>
      </c>
      <c r="BJ55" s="12">
        <v>0.03</v>
      </c>
      <c r="CC55" s="3" t="str">
        <f>IF(B55&lt;&gt;"",CONCATENATE(SUBSTITUTE(B55," ","-"),".jpg"),"")</f>
        <v>Allied-Moulded-AMP1426CCNL.jpg</v>
      </c>
      <c r="CD55" s="16" t="s">
        <v>111</v>
      </c>
      <c r="CE55" s="3"/>
      <c r="CF55" s="3"/>
      <c r="CG55" s="3" t="s">
        <v>112</v>
      </c>
      <c r="CI55" s="3" t="s">
        <v>97</v>
      </c>
      <c r="CJ55" s="3" t="s">
        <v>481</v>
      </c>
      <c r="CK55" s="3" t="s">
        <v>114</v>
      </c>
      <c r="CL55" s="3" t="s">
        <v>115</v>
      </c>
      <c r="CM55" s="3" t="s">
        <v>116</v>
      </c>
      <c r="CN55" t="s">
        <v>117</v>
      </c>
      <c r="CO55" s="3" t="s">
        <v>482</v>
      </c>
      <c r="CP55" s="3" t="s">
        <v>139</v>
      </c>
      <c r="CQ55" s="3" t="s">
        <v>120</v>
      </c>
      <c r="CR55" s="16" t="s">
        <v>121</v>
      </c>
      <c r="CS55" s="16" t="s">
        <v>122</v>
      </c>
      <c r="CT55" s="16" t="s">
        <v>125</v>
      </c>
      <c r="CU55" s="16" t="s">
        <v>167</v>
      </c>
      <c r="CV55" s="16" t="s">
        <v>351</v>
      </c>
    </row>
    <row r="56" spans="1:100" ht="15" customHeight="1">
      <c r="A56" t="s">
        <v>483</v>
      </c>
      <c r="B56" s="3" t="s">
        <v>484</v>
      </c>
      <c r="C56" s="16" t="s">
        <v>97</v>
      </c>
      <c r="D56" s="40" t="s">
        <v>485</v>
      </c>
      <c r="E56" s="16" t="s">
        <v>97</v>
      </c>
      <c r="F56" s="131" t="s">
        <v>486</v>
      </c>
      <c r="I56" s="100" t="s">
        <v>342</v>
      </c>
      <c r="J56" s="16" t="s">
        <v>101</v>
      </c>
      <c r="K56" s="16"/>
      <c r="L56" s="3" t="s">
        <v>102</v>
      </c>
      <c r="M56" s="3" t="s">
        <v>103</v>
      </c>
      <c r="N56" s="3" t="s">
        <v>104</v>
      </c>
      <c r="O56" s="16" t="s">
        <v>105</v>
      </c>
      <c r="P56" s="3" t="s">
        <v>487</v>
      </c>
      <c r="Q56" s="3" t="s">
        <v>487</v>
      </c>
      <c r="R56" s="3" t="s">
        <v>487</v>
      </c>
      <c r="S56" t="s">
        <v>483</v>
      </c>
      <c r="T56" s="130" t="s">
        <v>465</v>
      </c>
      <c r="U56" s="35">
        <v>6</v>
      </c>
      <c r="V56" s="40"/>
      <c r="W56" s="40"/>
      <c r="X56" s="59" t="s">
        <v>108</v>
      </c>
      <c r="Y56" s="93">
        <f>IF(AD56=0, 0, IF(OR(H56="", H56&lt;&gt;0), 1, 0))</f>
        <v>1</v>
      </c>
      <c r="Z56" s="3">
        <v>0</v>
      </c>
      <c r="AA56" s="3" t="s">
        <v>488</v>
      </c>
      <c r="AD56" s="6">
        <f>ROUND((AG56*(1+AJ56)),2)</f>
        <v>119.97</v>
      </c>
      <c r="AE56" s="69">
        <v>136.72728716999998</v>
      </c>
      <c r="AF56" s="17">
        <f>(AE56*1)</f>
        <v>136.72728716999998</v>
      </c>
      <c r="AG56" s="6">
        <f>ROUND((AE56*AI56),2)</f>
        <v>88.87</v>
      </c>
      <c r="AH56" s="30" t="s">
        <v>110</v>
      </c>
      <c r="AI56" s="3">
        <v>0.65</v>
      </c>
      <c r="AJ56" s="18">
        <v>0.35</v>
      </c>
      <c r="AK56" s="6">
        <f>ROUND((AD56-(AD56*BG56)),2)</f>
        <v>118.77</v>
      </c>
      <c r="AL56" s="6">
        <f>ROUND((AD56-(AD56*BH56)),2)</f>
        <v>117.57</v>
      </c>
      <c r="AM56" s="6">
        <f>ROUND((AD56-(AD56*BI56)),2)</f>
        <v>116.37</v>
      </c>
      <c r="AN56" s="6">
        <f>ROUND((AD56-(AD56*BJ56)),2)</f>
        <v>116.37</v>
      </c>
      <c r="AO56" s="6">
        <f>ROUND((AD56-(AD56*BK56)),2)</f>
        <v>119.97</v>
      </c>
      <c r="BG56" s="12">
        <v>0.01</v>
      </c>
      <c r="BH56" s="12">
        <v>0.02</v>
      </c>
      <c r="BI56" s="12">
        <v>0.03</v>
      </c>
      <c r="BJ56" s="12">
        <v>0.03</v>
      </c>
      <c r="CC56" s="3" t="str">
        <f>IF(B56&lt;&gt;"",CONCATENATE(SUBSTITUTE(B56," ","-"),".jpg"),"")</f>
        <v>Allied-Moulded-AMU1206.jpg</v>
      </c>
      <c r="CD56" s="16" t="s">
        <v>111</v>
      </c>
      <c r="CE56" s="3"/>
      <c r="CF56" s="3"/>
      <c r="CG56" s="3" t="s">
        <v>112</v>
      </c>
      <c r="CI56" s="3" t="s">
        <v>97</v>
      </c>
      <c r="CJ56" s="3" t="s">
        <v>467</v>
      </c>
      <c r="CK56" s="3" t="s">
        <v>114</v>
      </c>
      <c r="CL56" s="3" t="s">
        <v>115</v>
      </c>
      <c r="CM56" s="16"/>
      <c r="CN56" s="16" t="s">
        <v>349</v>
      </c>
      <c r="CO56" s="3" t="s">
        <v>118</v>
      </c>
      <c r="CP56" s="3" t="s">
        <v>139</v>
      </c>
      <c r="CQ56" s="3" t="s">
        <v>120</v>
      </c>
      <c r="CR56" s="3" t="s">
        <v>140</v>
      </c>
      <c r="CS56" s="3" t="s">
        <v>384</v>
      </c>
      <c r="CT56" s="16" t="s">
        <v>125</v>
      </c>
      <c r="CU56" s="16" t="s">
        <v>167</v>
      </c>
      <c r="CV56" s="16" t="s">
        <v>351</v>
      </c>
    </row>
    <row r="57" spans="1:100" ht="15" customHeight="1">
      <c r="A57" t="s">
        <v>489</v>
      </c>
      <c r="B57" s="3" t="s">
        <v>490</v>
      </c>
      <c r="C57" s="16" t="s">
        <v>97</v>
      </c>
      <c r="D57" s="39" t="s">
        <v>491</v>
      </c>
      <c r="E57" s="16" t="s">
        <v>97</v>
      </c>
      <c r="F57" s="131" t="s">
        <v>492</v>
      </c>
      <c r="I57" s="100" t="s">
        <v>342</v>
      </c>
      <c r="J57" s="16" t="s">
        <v>101</v>
      </c>
      <c r="K57" s="16"/>
      <c r="L57" s="3" t="s">
        <v>102</v>
      </c>
      <c r="M57" s="3" t="s">
        <v>103</v>
      </c>
      <c r="N57" s="3" t="s">
        <v>104</v>
      </c>
      <c r="O57" s="16" t="s">
        <v>105</v>
      </c>
      <c r="P57" s="3" t="s">
        <v>493</v>
      </c>
      <c r="Q57" s="3" t="s">
        <v>493</v>
      </c>
      <c r="R57" s="3" t="s">
        <v>493</v>
      </c>
      <c r="S57" t="s">
        <v>489</v>
      </c>
      <c r="T57" s="130" t="s">
        <v>465</v>
      </c>
      <c r="U57" s="34">
        <v>6</v>
      </c>
      <c r="V57" s="39"/>
      <c r="W57" s="39"/>
      <c r="X57" s="59" t="s">
        <v>108</v>
      </c>
      <c r="Y57" s="93">
        <f>IF(AD57=0, 0, IF(OR(H57="", H57&lt;&gt;0), 1, 0))</f>
        <v>1</v>
      </c>
      <c r="Z57" s="3">
        <v>0</v>
      </c>
      <c r="AA57" s="3" t="s">
        <v>494</v>
      </c>
      <c r="AD57" s="6">
        <f>ROUND((AG57*(1+AJ57)),2)</f>
        <v>123.26</v>
      </c>
      <c r="AE57" s="69">
        <v>140.45781223999998</v>
      </c>
      <c r="AF57" s="17">
        <f>(AE57*1)</f>
        <v>140.45781223999998</v>
      </c>
      <c r="AG57" s="6">
        <f>ROUND((AE57*AI57),2)</f>
        <v>91.3</v>
      </c>
      <c r="AH57" s="30" t="s">
        <v>110</v>
      </c>
      <c r="AI57" s="3">
        <v>0.65</v>
      </c>
      <c r="AJ57" s="18">
        <v>0.35</v>
      </c>
      <c r="AK57" s="6">
        <f>ROUND((AD57-(AD57*BG57)),2)</f>
        <v>122.03</v>
      </c>
      <c r="AL57" s="6">
        <f>ROUND((AD57-(AD57*BH57)),2)</f>
        <v>120.79</v>
      </c>
      <c r="AM57" s="6">
        <f>ROUND((AD57-(AD57*BI57)),2)</f>
        <v>119.56</v>
      </c>
      <c r="AN57" s="6">
        <f>ROUND((AD57-(AD57*BJ57)),2)</f>
        <v>119.56</v>
      </c>
      <c r="AO57" s="6">
        <f>ROUND((AD57-(AD57*BK57)),2)</f>
        <v>123.26</v>
      </c>
      <c r="BG57" s="12">
        <v>0.01</v>
      </c>
      <c r="BH57" s="12">
        <v>0.02</v>
      </c>
      <c r="BI57" s="12">
        <v>0.03</v>
      </c>
      <c r="BJ57" s="12">
        <v>0.03</v>
      </c>
      <c r="CC57" s="3" t="str">
        <f>IF(B57&lt;&gt;"",CONCATENATE(SUBSTITUTE(B57," ","-"),".jpg"),"")</f>
        <v>Allied-Moulded-AMU1206F.jpg</v>
      </c>
      <c r="CD57" s="16" t="s">
        <v>111</v>
      </c>
      <c r="CE57" s="3"/>
      <c r="CF57" s="3"/>
      <c r="CG57" s="3" t="s">
        <v>112</v>
      </c>
      <c r="CI57" s="3" t="s">
        <v>97</v>
      </c>
      <c r="CJ57" s="3" t="s">
        <v>467</v>
      </c>
      <c r="CK57" s="3" t="s">
        <v>114</v>
      </c>
      <c r="CL57" s="3" t="s">
        <v>115</v>
      </c>
      <c r="CM57" s="16"/>
      <c r="CN57" s="16" t="s">
        <v>349</v>
      </c>
      <c r="CO57" s="3" t="s">
        <v>118</v>
      </c>
      <c r="CP57" s="3" t="s">
        <v>139</v>
      </c>
      <c r="CQ57" s="3" t="s">
        <v>120</v>
      </c>
      <c r="CR57" s="3" t="s">
        <v>140</v>
      </c>
      <c r="CS57" s="3" t="s">
        <v>384</v>
      </c>
      <c r="CT57" s="16" t="s">
        <v>125</v>
      </c>
      <c r="CU57" s="16" t="s">
        <v>167</v>
      </c>
      <c r="CV57" s="16" t="s">
        <v>351</v>
      </c>
    </row>
    <row r="58" spans="1:100" ht="15" customHeight="1">
      <c r="A58" t="s">
        <v>495</v>
      </c>
      <c r="B58" s="3" t="s">
        <v>496</v>
      </c>
      <c r="C58" s="16" t="s">
        <v>97</v>
      </c>
      <c r="D58" s="39" t="s">
        <v>497</v>
      </c>
      <c r="E58" s="16" t="s">
        <v>97</v>
      </c>
      <c r="F58" s="131" t="s">
        <v>498</v>
      </c>
      <c r="I58" s="100" t="s">
        <v>342</v>
      </c>
      <c r="J58" s="16" t="s">
        <v>101</v>
      </c>
      <c r="K58" s="16"/>
      <c r="L58" s="3" t="s">
        <v>102</v>
      </c>
      <c r="M58" s="3" t="s">
        <v>103</v>
      </c>
      <c r="N58" s="3" t="s">
        <v>104</v>
      </c>
      <c r="O58" s="16" t="s">
        <v>105</v>
      </c>
      <c r="P58" s="3" t="s">
        <v>499</v>
      </c>
      <c r="Q58" s="3" t="s">
        <v>499</v>
      </c>
      <c r="R58" s="3" t="s">
        <v>499</v>
      </c>
      <c r="S58" t="s">
        <v>495</v>
      </c>
      <c r="T58" s="130" t="s">
        <v>465</v>
      </c>
      <c r="U58" s="34">
        <v>6</v>
      </c>
      <c r="V58" s="39"/>
      <c r="W58" s="39"/>
      <c r="X58" s="59" t="s">
        <v>108</v>
      </c>
      <c r="Y58" s="93">
        <f>IF(AD58=0, 0, IF(OR(H58="", H58&lt;&gt;0), 1, 0))</f>
        <v>1</v>
      </c>
      <c r="Z58" s="3">
        <v>0</v>
      </c>
      <c r="AA58" s="3" t="s">
        <v>500</v>
      </c>
      <c r="AD58" s="6">
        <f>ROUND((AG58*(1+AJ58)),2)</f>
        <v>128.1</v>
      </c>
      <c r="AE58" s="69">
        <v>145.98321324999998</v>
      </c>
      <c r="AF58" s="17">
        <f>(AE58*1)</f>
        <v>145.98321324999998</v>
      </c>
      <c r="AG58" s="6">
        <f>ROUND((AE58*AI58),2)</f>
        <v>94.89</v>
      </c>
      <c r="AH58" s="30" t="s">
        <v>110</v>
      </c>
      <c r="AI58" s="3">
        <v>0.65</v>
      </c>
      <c r="AJ58" s="18">
        <v>0.35</v>
      </c>
      <c r="AK58" s="6">
        <f>ROUND((AD58-(AD58*BG58)),2)</f>
        <v>126.82</v>
      </c>
      <c r="AL58" s="6">
        <f>ROUND((AD58-(AD58*BH58)),2)</f>
        <v>125.54</v>
      </c>
      <c r="AM58" s="6">
        <f>ROUND((AD58-(AD58*BI58)),2)</f>
        <v>124.26</v>
      </c>
      <c r="AN58" s="6">
        <f>ROUND((AD58-(AD58*BJ58)),2)</f>
        <v>124.26</v>
      </c>
      <c r="AO58" s="6">
        <f>ROUND((AD58-(AD58*BK58)),2)</f>
        <v>128.1</v>
      </c>
      <c r="BG58" s="12">
        <v>0.01</v>
      </c>
      <c r="BH58" s="12">
        <v>0.02</v>
      </c>
      <c r="BI58" s="12">
        <v>0.03</v>
      </c>
      <c r="BJ58" s="12">
        <v>0.03</v>
      </c>
      <c r="CC58" s="3" t="str">
        <f>IF(B58&lt;&gt;"",CONCATENATE(SUBSTITUTE(B58," ","-"),".jpg"),"")</f>
        <v>Allied-Moulded-AMU1206H.jpg</v>
      </c>
      <c r="CD58" s="16" t="s">
        <v>111</v>
      </c>
      <c r="CE58" s="3"/>
      <c r="CF58" s="3"/>
      <c r="CG58" s="3" t="s">
        <v>112</v>
      </c>
      <c r="CI58" s="3" t="s">
        <v>97</v>
      </c>
      <c r="CJ58" s="3" t="s">
        <v>467</v>
      </c>
      <c r="CK58" s="3" t="s">
        <v>114</v>
      </c>
      <c r="CL58" s="3" t="s">
        <v>115</v>
      </c>
      <c r="CM58" s="3" t="s">
        <v>116</v>
      </c>
      <c r="CN58" s="16" t="s">
        <v>349</v>
      </c>
      <c r="CO58" s="3" t="s">
        <v>118</v>
      </c>
      <c r="CP58" s="3" t="s">
        <v>139</v>
      </c>
      <c r="CQ58" s="3" t="s">
        <v>120</v>
      </c>
      <c r="CR58" s="3" t="s">
        <v>140</v>
      </c>
      <c r="CS58" s="3" t="s">
        <v>384</v>
      </c>
      <c r="CT58" s="16" t="s">
        <v>125</v>
      </c>
      <c r="CU58" s="16" t="s">
        <v>167</v>
      </c>
      <c r="CV58" s="16" t="s">
        <v>351</v>
      </c>
    </row>
    <row r="59" spans="1:100" ht="15" customHeight="1">
      <c r="A59" t="s">
        <v>501</v>
      </c>
      <c r="B59" s="3" t="s">
        <v>502</v>
      </c>
      <c r="C59" s="16" t="s">
        <v>97</v>
      </c>
      <c r="D59" s="40" t="s">
        <v>503</v>
      </c>
      <c r="E59" s="16" t="s">
        <v>97</v>
      </c>
      <c r="F59" s="131" t="s">
        <v>504</v>
      </c>
      <c r="I59" s="100" t="s">
        <v>342</v>
      </c>
      <c r="J59" s="16" t="s">
        <v>101</v>
      </c>
      <c r="K59" s="16"/>
      <c r="L59" s="3" t="s">
        <v>102</v>
      </c>
      <c r="M59" s="3" t="s">
        <v>103</v>
      </c>
      <c r="N59" s="3" t="s">
        <v>104</v>
      </c>
      <c r="O59" s="16" t="s">
        <v>105</v>
      </c>
      <c r="P59" s="3" t="s">
        <v>505</v>
      </c>
      <c r="Q59" s="3" t="s">
        <v>505</v>
      </c>
      <c r="R59" s="3" t="s">
        <v>505</v>
      </c>
      <c r="S59" t="s">
        <v>501</v>
      </c>
      <c r="T59" s="130" t="s">
        <v>465</v>
      </c>
      <c r="U59" s="35">
        <v>6</v>
      </c>
      <c r="V59" s="40"/>
      <c r="W59" s="40"/>
      <c r="X59" s="59" t="s">
        <v>108</v>
      </c>
      <c r="Y59" s="93">
        <f>IF(AD59=0, 0, IF(OR(H59="", H59&lt;&gt;0), 1, 0))</f>
        <v>1</v>
      </c>
      <c r="Z59" s="3">
        <v>0</v>
      </c>
      <c r="AA59" s="3" t="s">
        <v>506</v>
      </c>
      <c r="AD59" s="6">
        <f>ROUND((AG59*(1+AJ59)),2)</f>
        <v>131.57</v>
      </c>
      <c r="AE59" s="69">
        <v>149.94249926000001</v>
      </c>
      <c r="AF59" s="17">
        <f>(AE59*1)</f>
        <v>149.94249926000001</v>
      </c>
      <c r="AG59" s="6">
        <f>ROUND((AE59*AI59),2)</f>
        <v>97.46</v>
      </c>
      <c r="AH59" s="30" t="s">
        <v>110</v>
      </c>
      <c r="AI59" s="3">
        <v>0.65</v>
      </c>
      <c r="AJ59" s="18">
        <v>0.35</v>
      </c>
      <c r="AK59" s="6">
        <f>ROUND((AD59-(AD59*BG59)),2)</f>
        <v>130.25</v>
      </c>
      <c r="AL59" s="6">
        <f>ROUND((AD59-(AD59*BH59)),2)</f>
        <v>128.94</v>
      </c>
      <c r="AM59" s="6">
        <f>ROUND((AD59-(AD59*BI59)),2)</f>
        <v>127.62</v>
      </c>
      <c r="AN59" s="6">
        <f>ROUND((AD59-(AD59*BJ59)),2)</f>
        <v>127.62</v>
      </c>
      <c r="AO59" s="6">
        <f>ROUND((AD59-(AD59*BK59)),2)</f>
        <v>131.57</v>
      </c>
      <c r="BG59" s="12">
        <v>0.01</v>
      </c>
      <c r="BH59" s="12">
        <v>0.02</v>
      </c>
      <c r="BI59" s="12">
        <v>0.03</v>
      </c>
      <c r="BJ59" s="12">
        <v>0.03</v>
      </c>
      <c r="CC59" s="3" t="str">
        <f>IF(B59&lt;&gt;"",CONCATENATE(SUBSTITUTE(B59," ","-"),".jpg"),"")</f>
        <v>Allied-Moulded-AMU1206HF.jpg</v>
      </c>
      <c r="CD59" s="16" t="s">
        <v>111</v>
      </c>
      <c r="CE59" s="3"/>
      <c r="CF59" s="3"/>
      <c r="CG59" s="3" t="s">
        <v>112</v>
      </c>
      <c r="CI59" s="3" t="s">
        <v>97</v>
      </c>
      <c r="CJ59" s="3" t="s">
        <v>467</v>
      </c>
      <c r="CK59" s="3" t="s">
        <v>114</v>
      </c>
      <c r="CL59" s="3" t="s">
        <v>115</v>
      </c>
      <c r="CM59" s="3" t="s">
        <v>116</v>
      </c>
      <c r="CN59" s="16" t="s">
        <v>349</v>
      </c>
      <c r="CO59" s="3" t="s">
        <v>118</v>
      </c>
      <c r="CP59" s="3" t="s">
        <v>139</v>
      </c>
      <c r="CQ59" s="3" t="s">
        <v>120</v>
      </c>
      <c r="CR59" s="3" t="s">
        <v>140</v>
      </c>
      <c r="CS59" s="3" t="s">
        <v>384</v>
      </c>
      <c r="CT59" s="16" t="s">
        <v>125</v>
      </c>
      <c r="CU59" s="16" t="s">
        <v>167</v>
      </c>
      <c r="CV59" s="16" t="s">
        <v>351</v>
      </c>
    </row>
    <row r="60" spans="1:100" ht="15" customHeight="1">
      <c r="A60" t="s">
        <v>507</v>
      </c>
      <c r="B60" s="3" t="s">
        <v>508</v>
      </c>
      <c r="C60" s="16" t="s">
        <v>97</v>
      </c>
      <c r="D60" s="38" t="s">
        <v>509</v>
      </c>
      <c r="E60" s="16" t="s">
        <v>97</v>
      </c>
      <c r="F60" s="131" t="s">
        <v>510</v>
      </c>
      <c r="I60" s="100" t="s">
        <v>342</v>
      </c>
      <c r="J60" s="16" t="s">
        <v>101</v>
      </c>
      <c r="K60" s="16"/>
      <c r="L60" s="3" t="s">
        <v>102</v>
      </c>
      <c r="M60" s="3" t="s">
        <v>103</v>
      </c>
      <c r="N60" s="3" t="s">
        <v>104</v>
      </c>
      <c r="O60" s="16" t="s">
        <v>105</v>
      </c>
      <c r="P60" s="3" t="s">
        <v>511</v>
      </c>
      <c r="Q60" s="3" t="s">
        <v>511</v>
      </c>
      <c r="R60" s="3" t="s">
        <v>511</v>
      </c>
      <c r="S60" t="s">
        <v>507</v>
      </c>
      <c r="T60" s="130" t="s">
        <v>465</v>
      </c>
      <c r="U60" s="33">
        <v>6</v>
      </c>
      <c r="V60" s="40"/>
      <c r="W60" s="40"/>
      <c r="X60" s="59" t="s">
        <v>108</v>
      </c>
      <c r="Y60" s="93">
        <f>IF(AD60=0, 0, IF(OR(H60="", H60&lt;&gt;0), 1, 0))</f>
        <v>1</v>
      </c>
      <c r="Z60" s="3">
        <v>0</v>
      </c>
      <c r="AA60" s="3" t="s">
        <v>512</v>
      </c>
      <c r="AD60" s="6">
        <f>ROUND((AG60*(1+AJ60)),2)</f>
        <v>144.11000000000001</v>
      </c>
      <c r="AE60" s="68">
        <v>164.23111555</v>
      </c>
      <c r="AF60" s="17">
        <f>(AE60*1)</f>
        <v>164.23111555</v>
      </c>
      <c r="AG60" s="6">
        <f>ROUND((AE60*AI60),2)</f>
        <v>106.75</v>
      </c>
      <c r="AH60" s="30" t="s">
        <v>110</v>
      </c>
      <c r="AI60" s="3">
        <v>0.65</v>
      </c>
      <c r="AJ60" s="18">
        <v>0.35</v>
      </c>
      <c r="AK60" s="6">
        <f>ROUND((AD60-(AD60*BG60)),2)</f>
        <v>142.66999999999999</v>
      </c>
      <c r="AL60" s="6">
        <f>ROUND((AD60-(AD60*BH60)),2)</f>
        <v>141.22999999999999</v>
      </c>
      <c r="AM60" s="6">
        <f>ROUND((AD60-(AD60*BI60)),2)</f>
        <v>139.79</v>
      </c>
      <c r="AN60" s="6">
        <f>ROUND((AD60-(AD60*BJ60)),2)</f>
        <v>139.79</v>
      </c>
      <c r="AO60" s="6">
        <f>ROUND((AD60-(AD60*BK60)),2)</f>
        <v>144.11000000000001</v>
      </c>
      <c r="BG60" s="12">
        <v>0.01</v>
      </c>
      <c r="BH60" s="12">
        <v>0.02</v>
      </c>
      <c r="BI60" s="12">
        <v>0.03</v>
      </c>
      <c r="BJ60" s="12">
        <v>0.03</v>
      </c>
      <c r="CC60" s="3" t="str">
        <f>IF(B60&lt;&gt;"",CONCATENATE(SUBSTITUTE(B60," ","-"),".jpg"),"")</f>
        <v>Allied-Moulded-AMU1206L.jpg</v>
      </c>
      <c r="CD60" s="16" t="s">
        <v>111</v>
      </c>
      <c r="CE60" s="3"/>
      <c r="CF60" s="3"/>
      <c r="CG60" s="3" t="s">
        <v>112</v>
      </c>
      <c r="CI60" s="3" t="s">
        <v>97</v>
      </c>
      <c r="CJ60" s="3" t="s">
        <v>467</v>
      </c>
      <c r="CK60" s="3" t="s">
        <v>114</v>
      </c>
      <c r="CL60" s="3" t="s">
        <v>115</v>
      </c>
      <c r="CM60" s="3" t="s">
        <v>116</v>
      </c>
      <c r="CN60" t="s">
        <v>117</v>
      </c>
      <c r="CO60" s="3" t="s">
        <v>118</v>
      </c>
      <c r="CP60" s="3" t="s">
        <v>139</v>
      </c>
      <c r="CQ60" s="3" t="s">
        <v>120</v>
      </c>
      <c r="CR60" s="3" t="s">
        <v>140</v>
      </c>
      <c r="CS60" s="16" t="s">
        <v>122</v>
      </c>
      <c r="CT60" s="16" t="s">
        <v>125</v>
      </c>
      <c r="CU60" s="16" t="s">
        <v>167</v>
      </c>
      <c r="CV60" s="16" t="s">
        <v>351</v>
      </c>
    </row>
    <row r="61" spans="1:100" ht="15" customHeight="1">
      <c r="A61" t="s">
        <v>513</v>
      </c>
      <c r="B61" s="3" t="s">
        <v>514</v>
      </c>
      <c r="C61" s="16" t="s">
        <v>97</v>
      </c>
      <c r="D61" s="39" t="s">
        <v>515</v>
      </c>
      <c r="E61" s="16" t="s">
        <v>97</v>
      </c>
      <c r="F61" s="131" t="s">
        <v>516</v>
      </c>
      <c r="I61" s="100" t="s">
        <v>342</v>
      </c>
      <c r="J61" s="16" t="s">
        <v>101</v>
      </c>
      <c r="K61" s="16"/>
      <c r="L61" s="3" t="s">
        <v>102</v>
      </c>
      <c r="M61" s="3" t="s">
        <v>103</v>
      </c>
      <c r="N61" s="3" t="s">
        <v>104</v>
      </c>
      <c r="O61" s="16" t="s">
        <v>105</v>
      </c>
      <c r="P61" s="3" t="s">
        <v>517</v>
      </c>
      <c r="Q61" s="3" t="s">
        <v>517</v>
      </c>
      <c r="R61" s="3" t="s">
        <v>517</v>
      </c>
      <c r="S61" t="s">
        <v>513</v>
      </c>
      <c r="T61" s="130" t="s">
        <v>465</v>
      </c>
      <c r="U61" s="34">
        <v>6</v>
      </c>
      <c r="V61" s="39"/>
      <c r="W61" s="39"/>
      <c r="X61" s="59" t="s">
        <v>108</v>
      </c>
      <c r="Y61" s="93">
        <f>IF(AD61=0, 0, IF(OR(H61="", H61&lt;&gt;0), 1, 0))</f>
        <v>1</v>
      </c>
      <c r="Z61" s="3">
        <v>0</v>
      </c>
      <c r="AA61" s="3" t="s">
        <v>518</v>
      </c>
      <c r="AD61" s="6">
        <f>ROUND((AG61*(1+AJ61)),2)</f>
        <v>148.11000000000001</v>
      </c>
      <c r="AE61" s="69">
        <v>168.78869147999998</v>
      </c>
      <c r="AF61" s="17">
        <f>(AE61*1)</f>
        <v>168.78869147999998</v>
      </c>
      <c r="AG61" s="6">
        <f>ROUND((AE61*AI61),2)</f>
        <v>109.71</v>
      </c>
      <c r="AH61" s="30" t="s">
        <v>110</v>
      </c>
      <c r="AI61" s="3">
        <v>0.65</v>
      </c>
      <c r="AJ61" s="18">
        <v>0.35</v>
      </c>
      <c r="AK61" s="6">
        <f>ROUND((AD61-(AD61*BG61)),2)</f>
        <v>146.63</v>
      </c>
      <c r="AL61" s="6">
        <f>ROUND((AD61-(AD61*BH61)),2)</f>
        <v>145.15</v>
      </c>
      <c r="AM61" s="6">
        <f>ROUND((AD61-(AD61*BI61)),2)</f>
        <v>143.66999999999999</v>
      </c>
      <c r="AN61" s="6">
        <f>ROUND((AD61-(AD61*BJ61)),2)</f>
        <v>143.66999999999999</v>
      </c>
      <c r="AO61" s="6">
        <f>ROUND((AD61-(AD61*BK61)),2)</f>
        <v>148.11000000000001</v>
      </c>
      <c r="BG61" s="12">
        <v>0.01</v>
      </c>
      <c r="BH61" s="12">
        <v>0.02</v>
      </c>
      <c r="BI61" s="12">
        <v>0.03</v>
      </c>
      <c r="BJ61" s="12">
        <v>0.03</v>
      </c>
      <c r="CC61" s="3" t="str">
        <f>IF(B61&lt;&gt;"",CONCATENATE(SUBSTITUTE(B61," ","-"),".jpg"),"")</f>
        <v>Allied-Moulded-AMU1206LF.jpg</v>
      </c>
      <c r="CD61" s="16" t="s">
        <v>111</v>
      </c>
      <c r="CE61" s="3"/>
      <c r="CF61" s="3"/>
      <c r="CG61" s="3" t="s">
        <v>112</v>
      </c>
      <c r="CI61" s="3" t="s">
        <v>97</v>
      </c>
      <c r="CJ61" s="3" t="s">
        <v>467</v>
      </c>
      <c r="CK61" s="3" t="s">
        <v>114</v>
      </c>
      <c r="CL61" s="3" t="s">
        <v>115</v>
      </c>
      <c r="CM61" s="3" t="s">
        <v>116</v>
      </c>
      <c r="CN61" t="s">
        <v>117</v>
      </c>
      <c r="CO61" s="3" t="s">
        <v>118</v>
      </c>
      <c r="CP61" s="3" t="s">
        <v>139</v>
      </c>
      <c r="CQ61" s="3" t="s">
        <v>120</v>
      </c>
      <c r="CR61" s="3" t="s">
        <v>140</v>
      </c>
      <c r="CS61" s="16" t="s">
        <v>122</v>
      </c>
      <c r="CT61" s="16" t="s">
        <v>125</v>
      </c>
      <c r="CU61" s="16" t="s">
        <v>167</v>
      </c>
      <c r="CV61" s="16" t="s">
        <v>351</v>
      </c>
    </row>
    <row r="62" spans="1:100" ht="15" customHeight="1">
      <c r="A62" t="s">
        <v>519</v>
      </c>
      <c r="B62" s="3" t="s">
        <v>520</v>
      </c>
      <c r="C62" s="16" t="s">
        <v>97</v>
      </c>
      <c r="D62" s="39" t="s">
        <v>521</v>
      </c>
      <c r="E62" s="16" t="s">
        <v>97</v>
      </c>
      <c r="F62" s="131" t="s">
        <v>522</v>
      </c>
      <c r="I62" s="100" t="s">
        <v>342</v>
      </c>
      <c r="J62" s="16" t="s">
        <v>101</v>
      </c>
      <c r="K62" s="16"/>
      <c r="L62" s="3" t="s">
        <v>102</v>
      </c>
      <c r="M62" s="3" t="s">
        <v>103</v>
      </c>
      <c r="N62" s="3" t="s">
        <v>104</v>
      </c>
      <c r="O62" s="16" t="s">
        <v>105</v>
      </c>
      <c r="P62" s="3" t="s">
        <v>523</v>
      </c>
      <c r="Q62" s="3" t="s">
        <v>523</v>
      </c>
      <c r="R62" s="3" t="s">
        <v>523</v>
      </c>
      <c r="S62" t="s">
        <v>519</v>
      </c>
      <c r="T62" s="130" t="s">
        <v>465</v>
      </c>
      <c r="U62" s="34">
        <v>6</v>
      </c>
      <c r="V62" s="39"/>
      <c r="W62" s="39"/>
      <c r="X62" s="59" t="s">
        <v>108</v>
      </c>
      <c r="Y62" s="93">
        <f>IF(AD62=0, 0, IF(OR(H62="", H62&lt;&gt;0), 1, 0))</f>
        <v>1</v>
      </c>
      <c r="Z62" s="3">
        <v>0</v>
      </c>
      <c r="AA62" s="3" t="s">
        <v>524</v>
      </c>
      <c r="AD62" s="6">
        <f>ROUND((AG62*(1+AJ62)),2)</f>
        <v>136.9</v>
      </c>
      <c r="AE62" s="69">
        <v>156.01340166</v>
      </c>
      <c r="AF62" s="17">
        <f>(AE62*1)</f>
        <v>156.01340166</v>
      </c>
      <c r="AG62" s="6">
        <f>ROUND((AE62*AI62),2)</f>
        <v>101.41</v>
      </c>
      <c r="AH62" s="30" t="s">
        <v>110</v>
      </c>
      <c r="AI62" s="3">
        <v>0.65</v>
      </c>
      <c r="AJ62" s="18">
        <v>0.35</v>
      </c>
      <c r="AK62" s="6">
        <f>ROUND((AD62-(AD62*BG62)),2)</f>
        <v>135.53</v>
      </c>
      <c r="AL62" s="6">
        <f>ROUND((AD62-(AD62*BH62)),2)</f>
        <v>134.16</v>
      </c>
      <c r="AM62" s="6">
        <f>ROUND((AD62-(AD62*BI62)),2)</f>
        <v>132.79</v>
      </c>
      <c r="AN62" s="6">
        <f>ROUND((AD62-(AD62*BJ62)),2)</f>
        <v>132.79</v>
      </c>
      <c r="AO62" s="6">
        <f>ROUND((AD62-(AD62*BK62)),2)</f>
        <v>136.9</v>
      </c>
      <c r="BG62" s="12">
        <v>0.01</v>
      </c>
      <c r="BH62" s="12">
        <v>0.02</v>
      </c>
      <c r="BI62" s="12">
        <v>0.03</v>
      </c>
      <c r="BJ62" s="12">
        <v>0.03</v>
      </c>
      <c r="CC62" s="3" t="str">
        <f>IF(B62&lt;&gt;"",CONCATENATE(SUBSTITUTE(B62," ","-"),".jpg"),"")</f>
        <v>Allied-Moulded-AMU1206NL.jpg</v>
      </c>
      <c r="CD62" s="16" t="s">
        <v>111</v>
      </c>
      <c r="CE62" s="3"/>
      <c r="CF62" s="3"/>
      <c r="CG62" s="3" t="s">
        <v>112</v>
      </c>
      <c r="CI62" s="3" t="s">
        <v>97</v>
      </c>
      <c r="CJ62" s="3" t="s">
        <v>467</v>
      </c>
      <c r="CK62" s="3" t="s">
        <v>114</v>
      </c>
      <c r="CL62" s="3" t="s">
        <v>115</v>
      </c>
      <c r="CM62" s="3" t="s">
        <v>116</v>
      </c>
      <c r="CN62" t="s">
        <v>117</v>
      </c>
      <c r="CO62" s="3" t="s">
        <v>118</v>
      </c>
      <c r="CP62" s="3" t="s">
        <v>139</v>
      </c>
      <c r="CQ62" s="3" t="s">
        <v>120</v>
      </c>
      <c r="CR62" s="3" t="s">
        <v>140</v>
      </c>
      <c r="CS62" s="16" t="s">
        <v>122</v>
      </c>
      <c r="CT62" s="16" t="s">
        <v>125</v>
      </c>
      <c r="CU62" s="16" t="s">
        <v>167</v>
      </c>
      <c r="CV62" s="16" t="s">
        <v>351</v>
      </c>
    </row>
    <row r="63" spans="1:100" ht="15" customHeight="1">
      <c r="A63" t="s">
        <v>525</v>
      </c>
      <c r="B63" s="3" t="s">
        <v>526</v>
      </c>
      <c r="C63" s="16" t="s">
        <v>97</v>
      </c>
      <c r="D63" s="40" t="s">
        <v>527</v>
      </c>
      <c r="E63" s="16" t="s">
        <v>97</v>
      </c>
      <c r="F63" s="131" t="s">
        <v>528</v>
      </c>
      <c r="I63" s="100" t="s">
        <v>342</v>
      </c>
      <c r="J63" s="16" t="s">
        <v>101</v>
      </c>
      <c r="K63" s="16"/>
      <c r="L63" s="3" t="s">
        <v>102</v>
      </c>
      <c r="M63" s="3" t="s">
        <v>103</v>
      </c>
      <c r="N63" s="3" t="s">
        <v>104</v>
      </c>
      <c r="O63" s="16" t="s">
        <v>105</v>
      </c>
      <c r="P63" s="3" t="s">
        <v>529</v>
      </c>
      <c r="Q63" s="3" t="s">
        <v>529</v>
      </c>
      <c r="R63" s="3" t="s">
        <v>529</v>
      </c>
      <c r="S63" t="s">
        <v>525</v>
      </c>
      <c r="T63" s="130" t="s">
        <v>465</v>
      </c>
      <c r="U63" s="35">
        <v>6</v>
      </c>
      <c r="V63" s="40"/>
      <c r="W63" s="40"/>
      <c r="X63" s="59" t="s">
        <v>108</v>
      </c>
      <c r="Y63" s="93">
        <f>IF(AD63=0, 0, IF(OR(H63="", H63&lt;&gt;0), 1, 0))</f>
        <v>1</v>
      </c>
      <c r="Z63" s="3">
        <v>0</v>
      </c>
      <c r="AA63" s="3" t="s">
        <v>530</v>
      </c>
      <c r="AD63" s="6">
        <f>ROUND((AG63*(1+AJ63)),2)</f>
        <v>140.69999999999999</v>
      </c>
      <c r="AE63" s="69">
        <v>160.34221768</v>
      </c>
      <c r="AF63" s="17">
        <f>(AE63*1)</f>
        <v>160.34221768</v>
      </c>
      <c r="AG63" s="6">
        <f>ROUND((AE63*AI63),2)</f>
        <v>104.22</v>
      </c>
      <c r="AH63" s="30" t="s">
        <v>110</v>
      </c>
      <c r="AI63" s="3">
        <v>0.65</v>
      </c>
      <c r="AJ63" s="18">
        <v>0.35</v>
      </c>
      <c r="AK63" s="6">
        <f>ROUND((AD63-(AD63*BG63)),2)</f>
        <v>139.29</v>
      </c>
      <c r="AL63" s="6">
        <f>ROUND((AD63-(AD63*BH63)),2)</f>
        <v>137.88999999999999</v>
      </c>
      <c r="AM63" s="6">
        <f>ROUND((AD63-(AD63*BI63)),2)</f>
        <v>136.47999999999999</v>
      </c>
      <c r="AN63" s="6">
        <f>ROUND((AD63-(AD63*BJ63)),2)</f>
        <v>136.47999999999999</v>
      </c>
      <c r="AO63" s="6">
        <f>ROUND((AD63-(AD63*BK63)),2)</f>
        <v>140.69999999999999</v>
      </c>
      <c r="BG63" s="12">
        <v>0.01</v>
      </c>
      <c r="BH63" s="12">
        <v>0.02</v>
      </c>
      <c r="BI63" s="12">
        <v>0.03</v>
      </c>
      <c r="BJ63" s="12">
        <v>0.03</v>
      </c>
      <c r="CC63" s="3" t="str">
        <f>IF(B63&lt;&gt;"",CONCATENATE(SUBSTITUTE(B63," ","-"),".jpg"),"")</f>
        <v>Allied-Moulded-AMU1206NLF.jpg</v>
      </c>
      <c r="CD63" s="16" t="s">
        <v>111</v>
      </c>
      <c r="CE63" s="3"/>
      <c r="CF63" s="3"/>
      <c r="CG63" s="3" t="s">
        <v>112</v>
      </c>
      <c r="CI63" s="3" t="s">
        <v>97</v>
      </c>
      <c r="CJ63" s="3" t="s">
        <v>467</v>
      </c>
      <c r="CK63" s="3" t="s">
        <v>114</v>
      </c>
      <c r="CL63" s="3" t="s">
        <v>115</v>
      </c>
      <c r="CM63" s="3" t="s">
        <v>116</v>
      </c>
      <c r="CN63" t="s">
        <v>117</v>
      </c>
      <c r="CO63" s="3" t="s">
        <v>118</v>
      </c>
      <c r="CP63" s="3" t="s">
        <v>139</v>
      </c>
      <c r="CQ63" s="3" t="s">
        <v>120</v>
      </c>
      <c r="CR63" s="3" t="s">
        <v>140</v>
      </c>
      <c r="CS63" s="16" t="s">
        <v>122</v>
      </c>
      <c r="CT63" s="16" t="s">
        <v>125</v>
      </c>
      <c r="CU63" s="16" t="s">
        <v>167</v>
      </c>
      <c r="CV63" s="16" t="s">
        <v>351</v>
      </c>
    </row>
    <row r="64" spans="1:100" ht="15" customHeight="1">
      <c r="A64" t="s">
        <v>531</v>
      </c>
      <c r="B64" s="3" t="s">
        <v>532</v>
      </c>
      <c r="C64" s="16" t="s">
        <v>97</v>
      </c>
      <c r="D64" s="40" t="s">
        <v>533</v>
      </c>
      <c r="E64" s="16" t="s">
        <v>97</v>
      </c>
      <c r="F64" s="131" t="s">
        <v>534</v>
      </c>
      <c r="I64" s="100" t="s">
        <v>342</v>
      </c>
      <c r="J64" s="16" t="s">
        <v>101</v>
      </c>
      <c r="K64" s="16"/>
      <c r="L64" s="3" t="s">
        <v>102</v>
      </c>
      <c r="M64" s="3" t="s">
        <v>103</v>
      </c>
      <c r="N64" s="3" t="s">
        <v>104</v>
      </c>
      <c r="O64" s="16" t="s">
        <v>105</v>
      </c>
      <c r="P64" s="3" t="s">
        <v>535</v>
      </c>
      <c r="Q64" s="3" t="s">
        <v>535</v>
      </c>
      <c r="R64" s="3" t="s">
        <v>535</v>
      </c>
      <c r="S64" t="s">
        <v>531</v>
      </c>
      <c r="T64" s="130" t="s">
        <v>465</v>
      </c>
      <c r="U64" s="51">
        <v>6</v>
      </c>
      <c r="V64" s="58"/>
      <c r="W64" s="58"/>
      <c r="X64" s="59" t="s">
        <v>108</v>
      </c>
      <c r="Y64" s="93">
        <f>IF(AD64=0, 0, IF(OR(H64="", H64&lt;&gt;0), 1, 0))</f>
        <v>1</v>
      </c>
      <c r="Z64" s="3">
        <v>0</v>
      </c>
      <c r="AA64" s="3" t="s">
        <v>536</v>
      </c>
      <c r="AD64" s="6">
        <f>ROUND((AG64*(1+AJ64)),2)</f>
        <v>144.11000000000001</v>
      </c>
      <c r="AE64" s="69">
        <v>164.23111555</v>
      </c>
      <c r="AF64" s="17">
        <f>(AE64*1)</f>
        <v>164.23111555</v>
      </c>
      <c r="AG64" s="6">
        <f>ROUND((AE64*AI64),2)</f>
        <v>106.75</v>
      </c>
      <c r="AH64" s="30" t="s">
        <v>110</v>
      </c>
      <c r="AI64" s="3">
        <v>0.65</v>
      </c>
      <c r="AJ64" s="18">
        <v>0.35</v>
      </c>
      <c r="AK64" s="6">
        <f>ROUND((AD64-(AD64*BG64)),2)</f>
        <v>142.66999999999999</v>
      </c>
      <c r="AL64" s="6">
        <f>ROUND((AD64-(AD64*BH64)),2)</f>
        <v>141.22999999999999</v>
      </c>
      <c r="AM64" s="6">
        <f>ROUND((AD64-(AD64*BI64)),2)</f>
        <v>139.79</v>
      </c>
      <c r="AN64" s="6">
        <f>ROUND((AD64-(AD64*BJ64)),2)</f>
        <v>139.79</v>
      </c>
      <c r="AO64" s="6">
        <f>ROUND((AD64-(AD64*BK64)),2)</f>
        <v>144.11000000000001</v>
      </c>
      <c r="BG64" s="12">
        <v>0.01</v>
      </c>
      <c r="BH64" s="12">
        <v>0.02</v>
      </c>
      <c r="BI64" s="12">
        <v>0.03</v>
      </c>
      <c r="BJ64" s="12">
        <v>0.03</v>
      </c>
      <c r="CC64" s="3" t="str">
        <f>IF(B64&lt;&gt;"",CONCATENATE(SUBSTITUTE(B64," ","-"),".jpg"),"")</f>
        <v>Allied-Moulded-AMU1206T.jpg</v>
      </c>
      <c r="CD64" s="16" t="s">
        <v>111</v>
      </c>
      <c r="CE64" s="3"/>
      <c r="CF64" s="3"/>
      <c r="CG64" s="3" t="s">
        <v>112</v>
      </c>
      <c r="CI64" s="3" t="s">
        <v>97</v>
      </c>
      <c r="CJ64" s="3" t="s">
        <v>467</v>
      </c>
      <c r="CK64" s="3" t="s">
        <v>114</v>
      </c>
      <c r="CL64" s="3" t="s">
        <v>115</v>
      </c>
      <c r="CM64" s="3" t="s">
        <v>116</v>
      </c>
      <c r="CN64" s="16" t="s">
        <v>132</v>
      </c>
      <c r="CO64" s="3" t="s">
        <v>118</v>
      </c>
      <c r="CP64" s="3" t="s">
        <v>139</v>
      </c>
      <c r="CQ64" s="3" t="s">
        <v>120</v>
      </c>
      <c r="CR64" s="3" t="s">
        <v>140</v>
      </c>
      <c r="CS64" s="16" t="s">
        <v>122</v>
      </c>
      <c r="CT64" s="16" t="s">
        <v>125</v>
      </c>
      <c r="CU64" s="16" t="s">
        <v>167</v>
      </c>
      <c r="CV64" s="16" t="s">
        <v>351</v>
      </c>
    </row>
    <row r="65" spans="1:100" ht="15" customHeight="1">
      <c r="A65" t="s">
        <v>537</v>
      </c>
      <c r="B65" s="3" t="s">
        <v>538</v>
      </c>
      <c r="C65" s="16" t="s">
        <v>97</v>
      </c>
      <c r="D65" s="39" t="s">
        <v>539</v>
      </c>
      <c r="E65" s="16" t="s">
        <v>97</v>
      </c>
      <c r="F65" s="131" t="s">
        <v>540</v>
      </c>
      <c r="I65" s="100" t="s">
        <v>342</v>
      </c>
      <c r="J65" s="16" t="s">
        <v>101</v>
      </c>
      <c r="K65" s="16"/>
      <c r="L65" s="3" t="s">
        <v>102</v>
      </c>
      <c r="M65" s="3" t="s">
        <v>103</v>
      </c>
      <c r="N65" s="3" t="s">
        <v>104</v>
      </c>
      <c r="O65" s="16" t="s">
        <v>105</v>
      </c>
      <c r="P65" s="3" t="s">
        <v>541</v>
      </c>
      <c r="Q65" s="3" t="s">
        <v>541</v>
      </c>
      <c r="R65" s="3" t="s">
        <v>541</v>
      </c>
      <c r="S65" t="s">
        <v>537</v>
      </c>
      <c r="T65" s="130" t="s">
        <v>465</v>
      </c>
      <c r="U65" s="50">
        <v>6</v>
      </c>
      <c r="V65" s="54"/>
      <c r="W65" s="54"/>
      <c r="X65" s="59" t="s">
        <v>108</v>
      </c>
      <c r="Y65" s="93">
        <f>IF(AD65=0, 0, IF(OR(H65="", H65&lt;&gt;0), 1, 0))</f>
        <v>1</v>
      </c>
      <c r="Z65" s="3">
        <v>0</v>
      </c>
      <c r="AA65" s="3" t="s">
        <v>542</v>
      </c>
      <c r="AD65" s="6">
        <f>ROUND((AG65*(1+AJ65)),2)</f>
        <v>148.11000000000001</v>
      </c>
      <c r="AE65" s="69">
        <v>168.78869147999998</v>
      </c>
      <c r="AF65" s="17">
        <f>(AE65*1)</f>
        <v>168.78869147999998</v>
      </c>
      <c r="AG65" s="6">
        <f>ROUND((AE65*AI65),2)</f>
        <v>109.71</v>
      </c>
      <c r="AH65" s="30" t="s">
        <v>110</v>
      </c>
      <c r="AI65" s="3">
        <v>0.65</v>
      </c>
      <c r="AJ65" s="18">
        <v>0.35</v>
      </c>
      <c r="AK65" s="6">
        <f>ROUND((AD65-(AD65*BG65)),2)</f>
        <v>146.63</v>
      </c>
      <c r="AL65" s="6">
        <f>ROUND((AD65-(AD65*BH65)),2)</f>
        <v>145.15</v>
      </c>
      <c r="AM65" s="6">
        <f>ROUND((AD65-(AD65*BI65)),2)</f>
        <v>143.66999999999999</v>
      </c>
      <c r="AN65" s="6">
        <f>ROUND((AD65-(AD65*BJ65)),2)</f>
        <v>143.66999999999999</v>
      </c>
      <c r="AO65" s="6">
        <f>ROUND((AD65-(AD65*BK65)),2)</f>
        <v>148.11000000000001</v>
      </c>
      <c r="BG65" s="12">
        <v>0.01</v>
      </c>
      <c r="BH65" s="12">
        <v>0.02</v>
      </c>
      <c r="BI65" s="12">
        <v>0.03</v>
      </c>
      <c r="BJ65" s="12">
        <v>0.03</v>
      </c>
      <c r="CC65" s="3" t="str">
        <f>IF(B65&lt;&gt;"",CONCATENATE(SUBSTITUTE(B65," ","-"),".jpg"),"")</f>
        <v>Allied-Moulded-AMU1206TF.jpg</v>
      </c>
      <c r="CD65" s="16" t="s">
        <v>111</v>
      </c>
      <c r="CE65" s="3"/>
      <c r="CF65" s="3"/>
      <c r="CG65" s="3" t="s">
        <v>112</v>
      </c>
      <c r="CI65" s="3" t="s">
        <v>97</v>
      </c>
      <c r="CJ65" s="3" t="s">
        <v>467</v>
      </c>
      <c r="CK65" s="3" t="s">
        <v>114</v>
      </c>
      <c r="CL65" s="3" t="s">
        <v>115</v>
      </c>
      <c r="CM65" s="3" t="s">
        <v>116</v>
      </c>
      <c r="CN65" s="16" t="s">
        <v>132</v>
      </c>
      <c r="CO65" s="3" t="s">
        <v>118</v>
      </c>
      <c r="CP65" s="3" t="s">
        <v>139</v>
      </c>
      <c r="CQ65" s="3" t="s">
        <v>120</v>
      </c>
      <c r="CR65" s="3" t="s">
        <v>140</v>
      </c>
      <c r="CS65" s="16" t="s">
        <v>122</v>
      </c>
      <c r="CT65" s="16" t="s">
        <v>125</v>
      </c>
      <c r="CU65" s="16" t="s">
        <v>167</v>
      </c>
      <c r="CV65" s="16" t="s">
        <v>351</v>
      </c>
    </row>
    <row r="66" spans="1:100" ht="15" customHeight="1">
      <c r="A66" t="s">
        <v>543</v>
      </c>
      <c r="B66" s="3" t="s">
        <v>544</v>
      </c>
      <c r="C66" s="16" t="s">
        <v>97</v>
      </c>
      <c r="D66" s="38" t="s">
        <v>545</v>
      </c>
      <c r="E66" s="16" t="s">
        <v>97</v>
      </c>
      <c r="F66" s="131" t="s">
        <v>546</v>
      </c>
      <c r="I66" s="100" t="s">
        <v>342</v>
      </c>
      <c r="J66" s="16" t="s">
        <v>101</v>
      </c>
      <c r="K66" s="16"/>
      <c r="L66" s="3" t="s">
        <v>102</v>
      </c>
      <c r="M66" s="3" t="s">
        <v>103</v>
      </c>
      <c r="N66" s="3" t="s">
        <v>104</v>
      </c>
      <c r="O66" s="16" t="s">
        <v>105</v>
      </c>
      <c r="P66" s="3" t="s">
        <v>547</v>
      </c>
      <c r="Q66" s="3" t="s">
        <v>547</v>
      </c>
      <c r="R66" s="3" t="s">
        <v>547</v>
      </c>
      <c r="S66" t="s">
        <v>543</v>
      </c>
      <c r="T66" s="130" t="s">
        <v>465</v>
      </c>
      <c r="U66" s="49">
        <v>6</v>
      </c>
      <c r="V66" s="58"/>
      <c r="W66" s="58"/>
      <c r="X66" s="59" t="s">
        <v>108</v>
      </c>
      <c r="Y66" s="93">
        <f>IF(AD66=0, 0, IF(OR(H66="", H66&lt;&gt;0), 1, 0))</f>
        <v>1</v>
      </c>
      <c r="Z66" s="3">
        <v>0</v>
      </c>
      <c r="AA66" s="3" t="s">
        <v>548</v>
      </c>
      <c r="AD66" s="6">
        <f>ROUND((AG66*(1+AJ66)),2)</f>
        <v>208.36</v>
      </c>
      <c r="AE66" s="68">
        <v>237.45148054000001</v>
      </c>
      <c r="AF66" s="17">
        <f>(AE66*1)</f>
        <v>237.45148054000001</v>
      </c>
      <c r="AG66" s="6">
        <f>ROUND((AE66*AI66),2)</f>
        <v>154.34</v>
      </c>
      <c r="AH66" s="30" t="s">
        <v>110</v>
      </c>
      <c r="AI66" s="3">
        <v>0.65</v>
      </c>
      <c r="AJ66" s="18">
        <v>0.35</v>
      </c>
      <c r="AK66" s="6">
        <f>ROUND((AD66-(AD66*BG66)),2)</f>
        <v>206.28</v>
      </c>
      <c r="AL66" s="6">
        <f>ROUND((AD66-(AD66*BH66)),2)</f>
        <v>204.19</v>
      </c>
      <c r="AM66" s="6">
        <f>ROUND((AD66-(AD66*BI66)),2)</f>
        <v>202.11</v>
      </c>
      <c r="AN66" s="6">
        <f>ROUND((AD66-(AD66*BJ66)),2)</f>
        <v>202.11</v>
      </c>
      <c r="AO66" s="6">
        <f>ROUND((AD66-(AD66*BK66)),2)</f>
        <v>208.36</v>
      </c>
      <c r="BG66" s="12">
        <v>0.01</v>
      </c>
      <c r="BH66" s="12">
        <v>0.02</v>
      </c>
      <c r="BI66" s="12">
        <v>0.03</v>
      </c>
      <c r="BJ66" s="12">
        <v>0.03</v>
      </c>
      <c r="CC66" s="3" t="str">
        <f>IF(B66&lt;&gt;"",CONCATENATE(SUBSTITUTE(B66," ","-"),".jpg"),"")</f>
        <v>Allied-Moulded-AMU1206W.jpg</v>
      </c>
      <c r="CD66" s="16" t="s">
        <v>111</v>
      </c>
      <c r="CE66" s="3"/>
      <c r="CF66" s="3"/>
      <c r="CG66" s="3" t="s">
        <v>112</v>
      </c>
      <c r="CI66" s="3" t="s">
        <v>97</v>
      </c>
      <c r="CJ66" s="3" t="s">
        <v>467</v>
      </c>
      <c r="CK66" s="3" t="s">
        <v>114</v>
      </c>
      <c r="CL66" s="3" t="s">
        <v>115</v>
      </c>
      <c r="CM66" s="16"/>
      <c r="CN66" s="16" t="s">
        <v>349</v>
      </c>
      <c r="CO66" s="3" t="s">
        <v>118</v>
      </c>
      <c r="CP66" s="3" t="s">
        <v>139</v>
      </c>
      <c r="CQ66" s="3" t="s">
        <v>120</v>
      </c>
      <c r="CR66" s="3" t="s">
        <v>140</v>
      </c>
      <c r="CS66" s="3" t="s">
        <v>384</v>
      </c>
      <c r="CT66" s="16" t="s">
        <v>125</v>
      </c>
      <c r="CU66" s="16" t="s">
        <v>167</v>
      </c>
      <c r="CV66" s="16" t="s">
        <v>351</v>
      </c>
    </row>
    <row r="67" spans="1:100" ht="15" customHeight="1">
      <c r="A67" t="s">
        <v>549</v>
      </c>
      <c r="B67" s="3" t="s">
        <v>550</v>
      </c>
      <c r="C67" s="16" t="s">
        <v>97</v>
      </c>
      <c r="D67" s="39" t="s">
        <v>551</v>
      </c>
      <c r="E67" s="16" t="s">
        <v>97</v>
      </c>
      <c r="F67" s="131" t="s">
        <v>552</v>
      </c>
      <c r="I67" s="100" t="s">
        <v>342</v>
      </c>
      <c r="J67" s="16" t="s">
        <v>101</v>
      </c>
      <c r="K67" s="16"/>
      <c r="L67" s="3" t="s">
        <v>102</v>
      </c>
      <c r="M67" s="3" t="s">
        <v>103</v>
      </c>
      <c r="N67" s="3" t="s">
        <v>104</v>
      </c>
      <c r="O67" s="16" t="s">
        <v>105</v>
      </c>
      <c r="P67" s="3" t="s">
        <v>553</v>
      </c>
      <c r="Q67" s="3" t="s">
        <v>553</v>
      </c>
      <c r="R67" s="3" t="s">
        <v>553</v>
      </c>
      <c r="S67" t="s">
        <v>549</v>
      </c>
      <c r="T67" s="130" t="s">
        <v>465</v>
      </c>
      <c r="U67" s="50">
        <v>6</v>
      </c>
      <c r="V67" s="54"/>
      <c r="W67" s="54"/>
      <c r="X67" s="59" t="s">
        <v>108</v>
      </c>
      <c r="Y67" s="93">
        <f>IF(AD67=0, 0, IF(OR(H67="", H67&lt;&gt;0), 1, 0))</f>
        <v>1</v>
      </c>
      <c r="Z67" s="3">
        <v>0</v>
      </c>
      <c r="AA67" s="3" t="s">
        <v>554</v>
      </c>
      <c r="AD67" s="6">
        <f>ROUND((AG67*(1+AJ67)),2)</f>
        <v>214.15</v>
      </c>
      <c r="AE67" s="69">
        <v>244.05028884000001</v>
      </c>
      <c r="AF67" s="17">
        <f>(AE67*1)</f>
        <v>244.05028884000001</v>
      </c>
      <c r="AG67" s="6">
        <f>ROUND((AE67*AI67),2)</f>
        <v>158.63</v>
      </c>
      <c r="AH67" s="30" t="s">
        <v>110</v>
      </c>
      <c r="AI67" s="3">
        <v>0.65</v>
      </c>
      <c r="AJ67" s="18">
        <v>0.35</v>
      </c>
      <c r="AK67" s="6">
        <f>ROUND((AD67-(AD67*BG67)),2)</f>
        <v>212.01</v>
      </c>
      <c r="AL67" s="6">
        <f>ROUND((AD67-(AD67*BH67)),2)</f>
        <v>209.87</v>
      </c>
      <c r="AM67" s="6">
        <f>ROUND((AD67-(AD67*BI67)),2)</f>
        <v>207.73</v>
      </c>
      <c r="AN67" s="6">
        <f>ROUND((AD67-(AD67*BJ67)),2)</f>
        <v>207.73</v>
      </c>
      <c r="AO67" s="6">
        <f>ROUND((AD67-(AD67*BK67)),2)</f>
        <v>214.15</v>
      </c>
      <c r="BG67" s="12">
        <v>0.01</v>
      </c>
      <c r="BH67" s="12">
        <v>0.02</v>
      </c>
      <c r="BI67" s="12">
        <v>0.03</v>
      </c>
      <c r="BJ67" s="12">
        <v>0.03</v>
      </c>
      <c r="CC67" s="3" t="str">
        <f>IF(B67&lt;&gt;"",CONCATENATE(SUBSTITUTE(B67," ","-"),".jpg"),"")</f>
        <v>Allied-Moulded-AMU1206WF.jpg</v>
      </c>
      <c r="CD67" s="16" t="s">
        <v>111</v>
      </c>
      <c r="CE67" s="3"/>
      <c r="CF67" s="3"/>
      <c r="CG67" s="3" t="s">
        <v>112</v>
      </c>
      <c r="CI67" s="3" t="s">
        <v>97</v>
      </c>
      <c r="CJ67" s="3" t="s">
        <v>467</v>
      </c>
      <c r="CK67" s="3" t="s">
        <v>114</v>
      </c>
      <c r="CL67" s="3" t="s">
        <v>115</v>
      </c>
      <c r="CM67" s="16"/>
      <c r="CN67" s="16" t="s">
        <v>349</v>
      </c>
      <c r="CO67" s="3" t="s">
        <v>118</v>
      </c>
      <c r="CP67" s="3" t="s">
        <v>139</v>
      </c>
      <c r="CQ67" s="3" t="s">
        <v>120</v>
      </c>
      <c r="CR67" s="3" t="s">
        <v>140</v>
      </c>
      <c r="CS67" s="3" t="s">
        <v>384</v>
      </c>
      <c r="CT67" s="16" t="s">
        <v>125</v>
      </c>
      <c r="CU67" s="16" t="s">
        <v>167</v>
      </c>
      <c r="CV67" s="16" t="s">
        <v>351</v>
      </c>
    </row>
    <row r="68" spans="1:100" ht="15" customHeight="1">
      <c r="A68" t="s">
        <v>555</v>
      </c>
      <c r="B68" s="3" t="s">
        <v>556</v>
      </c>
      <c r="C68" s="16" t="s">
        <v>97</v>
      </c>
      <c r="D68" s="40" t="s">
        <v>557</v>
      </c>
      <c r="E68" s="16" t="s">
        <v>97</v>
      </c>
      <c r="F68" s="131" t="s">
        <v>558</v>
      </c>
      <c r="I68" s="100" t="s">
        <v>342</v>
      </c>
      <c r="J68" s="16" t="s">
        <v>101</v>
      </c>
      <c r="K68" s="16"/>
      <c r="L68" s="3" t="s">
        <v>102</v>
      </c>
      <c r="M68" s="3" t="s">
        <v>103</v>
      </c>
      <c r="N68" s="3" t="s">
        <v>104</v>
      </c>
      <c r="O68" s="16" t="s">
        <v>105</v>
      </c>
      <c r="P68" s="3" t="s">
        <v>559</v>
      </c>
      <c r="Q68" s="3" t="s">
        <v>559</v>
      </c>
      <c r="R68" s="3" t="s">
        <v>559</v>
      </c>
      <c r="S68" t="s">
        <v>555</v>
      </c>
      <c r="T68" s="130" t="s">
        <v>465</v>
      </c>
      <c r="U68" s="35">
        <v>6</v>
      </c>
      <c r="V68" s="40"/>
      <c r="W68" s="40"/>
      <c r="X68" s="59" t="s">
        <v>108</v>
      </c>
      <c r="Y68" s="93">
        <f>IF(AD68=0, 0, IF(OR(H68="", H68&lt;&gt;0), 1, 0))</f>
        <v>1</v>
      </c>
      <c r="Z68" s="3">
        <v>0</v>
      </c>
      <c r="AA68" s="3" t="s">
        <v>560</v>
      </c>
      <c r="AD68" s="6">
        <f>ROUND((AG68*(1+AJ68)),2)</f>
        <v>216.45</v>
      </c>
      <c r="AE68" s="69">
        <v>246.65461706000002</v>
      </c>
      <c r="AF68" s="17">
        <f>(AE68*1)</f>
        <v>246.65461706000002</v>
      </c>
      <c r="AG68" s="6">
        <f>ROUND((AE68*AI68),2)</f>
        <v>160.33000000000001</v>
      </c>
      <c r="AH68" s="30" t="s">
        <v>110</v>
      </c>
      <c r="AI68" s="3">
        <v>0.65</v>
      </c>
      <c r="AJ68" s="18">
        <v>0.35</v>
      </c>
      <c r="AK68" s="6">
        <f>ROUND((AD68-(AD68*BG68)),2)</f>
        <v>214.29</v>
      </c>
      <c r="AL68" s="6">
        <f>ROUND((AD68-(AD68*BH68)),2)</f>
        <v>212.12</v>
      </c>
      <c r="AM68" s="6">
        <f>ROUND((AD68-(AD68*BI68)),2)</f>
        <v>209.96</v>
      </c>
      <c r="AN68" s="6">
        <f>ROUND((AD68-(AD68*BJ68)),2)</f>
        <v>209.96</v>
      </c>
      <c r="AO68" s="6">
        <f>ROUND((AD68-(AD68*BK68)),2)</f>
        <v>216.45</v>
      </c>
      <c r="BG68" s="12">
        <v>0.01</v>
      </c>
      <c r="BH68" s="12">
        <v>0.02</v>
      </c>
      <c r="BI68" s="12">
        <v>0.03</v>
      </c>
      <c r="BJ68" s="12">
        <v>0.03</v>
      </c>
      <c r="CC68" s="3" t="str">
        <f>IF(B68&lt;&gt;"",CONCATENATE(SUBSTITUTE(B68," ","-"),".jpg"),"")</f>
        <v>Allied-Moulded-AMU1206HW.jpg</v>
      </c>
      <c r="CD68" s="16" t="s">
        <v>111</v>
      </c>
      <c r="CE68" s="3"/>
      <c r="CF68" s="3"/>
      <c r="CG68" s="3" t="s">
        <v>112</v>
      </c>
      <c r="CI68" s="3" t="s">
        <v>97</v>
      </c>
      <c r="CJ68" s="3" t="s">
        <v>467</v>
      </c>
      <c r="CK68" s="3" t="s">
        <v>114</v>
      </c>
      <c r="CL68" s="3" t="s">
        <v>115</v>
      </c>
      <c r="CM68" s="3" t="s">
        <v>116</v>
      </c>
      <c r="CN68" s="16" t="s">
        <v>349</v>
      </c>
      <c r="CO68" s="3" t="s">
        <v>118</v>
      </c>
      <c r="CP68" s="3" t="s">
        <v>139</v>
      </c>
      <c r="CQ68" s="3" t="s">
        <v>120</v>
      </c>
      <c r="CR68" s="3" t="s">
        <v>140</v>
      </c>
      <c r="CS68" s="3" t="s">
        <v>384</v>
      </c>
      <c r="CT68" s="16" t="s">
        <v>125</v>
      </c>
      <c r="CU68" s="16" t="s">
        <v>167</v>
      </c>
      <c r="CV68" s="16" t="s">
        <v>351</v>
      </c>
    </row>
    <row r="69" spans="1:100" ht="15" customHeight="1">
      <c r="A69" t="s">
        <v>561</v>
      </c>
      <c r="B69" s="3" t="s">
        <v>562</v>
      </c>
      <c r="C69" s="16" t="s">
        <v>97</v>
      </c>
      <c r="D69" s="39" t="s">
        <v>563</v>
      </c>
      <c r="E69" s="16" t="s">
        <v>97</v>
      </c>
      <c r="F69" s="131" t="s">
        <v>564</v>
      </c>
      <c r="I69" s="100" t="s">
        <v>342</v>
      </c>
      <c r="J69" s="16" t="s">
        <v>101</v>
      </c>
      <c r="K69" s="16"/>
      <c r="L69" s="3" t="s">
        <v>102</v>
      </c>
      <c r="M69" s="3" t="s">
        <v>103</v>
      </c>
      <c r="N69" s="3" t="s">
        <v>104</v>
      </c>
      <c r="O69" s="16" t="s">
        <v>105</v>
      </c>
      <c r="P69" s="3" t="s">
        <v>565</v>
      </c>
      <c r="Q69" s="3" t="s">
        <v>565</v>
      </c>
      <c r="R69" s="3" t="s">
        <v>565</v>
      </c>
      <c r="S69" t="s">
        <v>561</v>
      </c>
      <c r="T69" s="130" t="s">
        <v>465</v>
      </c>
      <c r="U69" s="34">
        <v>6</v>
      </c>
      <c r="V69" s="39"/>
      <c r="W69" s="39"/>
      <c r="X69" s="59" t="s">
        <v>108</v>
      </c>
      <c r="Y69" s="93">
        <f>IF(AD69=0, 0, IF(OR(H69="", H69&lt;&gt;0), 1, 0))</f>
        <v>1</v>
      </c>
      <c r="Z69" s="3">
        <v>0</v>
      </c>
      <c r="AA69" s="3" t="s">
        <v>566</v>
      </c>
      <c r="AD69" s="6">
        <f>ROUND((AG69*(1+AJ69)),2)</f>
        <v>222.39</v>
      </c>
      <c r="AE69" s="69">
        <v>253.42939262000002</v>
      </c>
      <c r="AF69" s="17">
        <f>(AE69*1)</f>
        <v>253.42939262000002</v>
      </c>
      <c r="AG69" s="6">
        <f>ROUND((AE69*AI69),2)</f>
        <v>164.73</v>
      </c>
      <c r="AH69" s="30" t="s">
        <v>110</v>
      </c>
      <c r="AI69" s="3">
        <v>0.65</v>
      </c>
      <c r="AJ69" s="18">
        <v>0.35</v>
      </c>
      <c r="AK69" s="6">
        <f>ROUND((AD69-(AD69*BG69)),2)</f>
        <v>220.17</v>
      </c>
      <c r="AL69" s="6">
        <f>ROUND((AD69-(AD69*BH69)),2)</f>
        <v>217.94</v>
      </c>
      <c r="AM69" s="6">
        <f>ROUND((AD69-(AD69*BI69)),2)</f>
        <v>215.72</v>
      </c>
      <c r="AN69" s="6">
        <f>ROUND((AD69-(AD69*BJ69)),2)</f>
        <v>215.72</v>
      </c>
      <c r="AO69" s="6">
        <f>ROUND((AD69-(AD69*BK69)),2)</f>
        <v>222.39</v>
      </c>
      <c r="BG69" s="12">
        <v>0.01</v>
      </c>
      <c r="BH69" s="12">
        <v>0.02</v>
      </c>
      <c r="BI69" s="12">
        <v>0.03</v>
      </c>
      <c r="BJ69" s="12">
        <v>0.03</v>
      </c>
      <c r="CC69" s="3" t="str">
        <f>IF(B69&lt;&gt;"",CONCATENATE(SUBSTITUTE(B69," ","-"),".jpg"),"")</f>
        <v>Allied-Moulded-AMU1206HWF.jpg</v>
      </c>
      <c r="CD69" s="16" t="s">
        <v>111</v>
      </c>
      <c r="CE69" s="3"/>
      <c r="CF69" s="3"/>
      <c r="CG69" s="3" t="s">
        <v>112</v>
      </c>
      <c r="CI69" s="3" t="s">
        <v>97</v>
      </c>
      <c r="CJ69" s="3" t="s">
        <v>467</v>
      </c>
      <c r="CK69" s="3" t="s">
        <v>114</v>
      </c>
      <c r="CL69" s="3" t="s">
        <v>115</v>
      </c>
      <c r="CM69" s="3" t="s">
        <v>116</v>
      </c>
      <c r="CN69" s="16" t="s">
        <v>349</v>
      </c>
      <c r="CO69" s="3" t="s">
        <v>118</v>
      </c>
      <c r="CP69" s="3" t="s">
        <v>139</v>
      </c>
      <c r="CQ69" s="3" t="s">
        <v>120</v>
      </c>
      <c r="CR69" s="3" t="s">
        <v>140</v>
      </c>
      <c r="CS69" s="3" t="s">
        <v>384</v>
      </c>
      <c r="CT69" s="16" t="s">
        <v>125</v>
      </c>
      <c r="CU69" s="16" t="s">
        <v>167</v>
      </c>
      <c r="CV69" s="16" t="s">
        <v>351</v>
      </c>
    </row>
    <row r="70" spans="1:100" ht="15" customHeight="1">
      <c r="A70" t="s">
        <v>567</v>
      </c>
      <c r="B70" s="3" t="s">
        <v>568</v>
      </c>
      <c r="C70" s="16" t="s">
        <v>97</v>
      </c>
      <c r="D70" s="40" t="s">
        <v>569</v>
      </c>
      <c r="E70" s="16" t="s">
        <v>97</v>
      </c>
      <c r="F70" s="131" t="s">
        <v>570</v>
      </c>
      <c r="I70" s="100" t="s">
        <v>342</v>
      </c>
      <c r="J70" s="16" t="s">
        <v>101</v>
      </c>
      <c r="K70" s="16"/>
      <c r="L70" s="3" t="s">
        <v>102</v>
      </c>
      <c r="M70" s="3" t="s">
        <v>103</v>
      </c>
      <c r="N70" s="3" t="s">
        <v>104</v>
      </c>
      <c r="O70" s="16" t="s">
        <v>105</v>
      </c>
      <c r="P70" s="3" t="s">
        <v>571</v>
      </c>
      <c r="Q70" s="3" t="s">
        <v>571</v>
      </c>
      <c r="R70" s="3" t="s">
        <v>571</v>
      </c>
      <c r="S70" t="s">
        <v>567</v>
      </c>
      <c r="T70" s="130" t="s">
        <v>465</v>
      </c>
      <c r="U70" s="35">
        <v>6</v>
      </c>
      <c r="V70" s="40"/>
      <c r="W70" s="40"/>
      <c r="X70" s="59" t="s">
        <v>108</v>
      </c>
      <c r="Y70" s="93">
        <f>IF(AD70=0, 0, IF(OR(H70="", H70&lt;&gt;0), 1, 0))</f>
        <v>1</v>
      </c>
      <c r="Z70" s="3">
        <v>0</v>
      </c>
      <c r="AA70" s="3" t="s">
        <v>572</v>
      </c>
      <c r="AD70" s="6">
        <f>ROUND((AG70*(1+AJ70)),2)</f>
        <v>219.27</v>
      </c>
      <c r="AE70" s="69">
        <v>249.87483377999999</v>
      </c>
      <c r="AF70" s="17">
        <f>(AE70*1)</f>
        <v>249.87483377999999</v>
      </c>
      <c r="AG70" s="6">
        <f>ROUND((AE70*AI70),2)</f>
        <v>162.41999999999999</v>
      </c>
      <c r="AH70" s="30" t="s">
        <v>110</v>
      </c>
      <c r="AI70" s="3">
        <v>0.65</v>
      </c>
      <c r="AJ70" s="18">
        <v>0.35</v>
      </c>
      <c r="AK70" s="6">
        <f>ROUND((AD70-(AD70*BG70)),2)</f>
        <v>217.08</v>
      </c>
      <c r="AL70" s="6">
        <f>ROUND((AD70-(AD70*BH70)),2)</f>
        <v>214.88</v>
      </c>
      <c r="AM70" s="6">
        <f>ROUND((AD70-(AD70*BI70)),2)</f>
        <v>212.69</v>
      </c>
      <c r="AN70" s="6">
        <f>ROUND((AD70-(AD70*BJ70)),2)</f>
        <v>212.69</v>
      </c>
      <c r="AO70" s="6">
        <f>ROUND((AD70-(AD70*BK70)),2)</f>
        <v>219.27</v>
      </c>
      <c r="BG70" s="12">
        <v>0.01</v>
      </c>
      <c r="BH70" s="12">
        <v>0.02</v>
      </c>
      <c r="BI70" s="12">
        <v>0.03</v>
      </c>
      <c r="BJ70" s="12">
        <v>0.03</v>
      </c>
      <c r="CC70" s="3" t="str">
        <f>IF(B70&lt;&gt;"",CONCATENATE(SUBSTITUTE(B70," ","-"),".jpg"),"")</f>
        <v>Allied-Moulded-AMU1206NLW.jpg</v>
      </c>
      <c r="CD70" s="16" t="s">
        <v>111</v>
      </c>
      <c r="CE70" s="3"/>
      <c r="CF70" s="3"/>
      <c r="CG70" s="3" t="s">
        <v>112</v>
      </c>
      <c r="CI70" s="3" t="s">
        <v>97</v>
      </c>
      <c r="CJ70" s="3" t="s">
        <v>467</v>
      </c>
      <c r="CK70" s="3" t="s">
        <v>114</v>
      </c>
      <c r="CL70" s="3" t="s">
        <v>115</v>
      </c>
      <c r="CM70" s="3" t="s">
        <v>116</v>
      </c>
      <c r="CN70" t="s">
        <v>117</v>
      </c>
      <c r="CO70" s="3" t="s">
        <v>118</v>
      </c>
      <c r="CP70" s="3" t="s">
        <v>139</v>
      </c>
      <c r="CQ70" s="3" t="s">
        <v>120</v>
      </c>
      <c r="CR70" s="16" t="s">
        <v>121</v>
      </c>
      <c r="CS70" s="16" t="s">
        <v>122</v>
      </c>
      <c r="CT70" s="16" t="s">
        <v>125</v>
      </c>
      <c r="CU70" s="16" t="s">
        <v>167</v>
      </c>
      <c r="CV70" s="16" t="s">
        <v>351</v>
      </c>
    </row>
    <row r="71" spans="1:100" ht="15" customHeight="1">
      <c r="A71" t="s">
        <v>573</v>
      </c>
      <c r="B71" s="3" t="s">
        <v>574</v>
      </c>
      <c r="C71" s="16" t="s">
        <v>97</v>
      </c>
      <c r="D71" s="41" t="s">
        <v>575</v>
      </c>
      <c r="E71" s="16" t="s">
        <v>97</v>
      </c>
      <c r="F71" s="131" t="s">
        <v>576</v>
      </c>
      <c r="I71" s="100" t="s">
        <v>342</v>
      </c>
      <c r="J71" s="16" t="s">
        <v>101</v>
      </c>
      <c r="K71" s="16"/>
      <c r="L71" s="3" t="s">
        <v>102</v>
      </c>
      <c r="M71" s="3" t="s">
        <v>103</v>
      </c>
      <c r="N71" s="3" t="s">
        <v>104</v>
      </c>
      <c r="O71" s="16" t="s">
        <v>105</v>
      </c>
      <c r="P71" s="3" t="s">
        <v>577</v>
      </c>
      <c r="Q71" s="3" t="s">
        <v>577</v>
      </c>
      <c r="R71" s="3" t="s">
        <v>577</v>
      </c>
      <c r="S71" t="s">
        <v>573</v>
      </c>
      <c r="T71" s="130" t="s">
        <v>465</v>
      </c>
      <c r="U71" s="36">
        <v>6</v>
      </c>
      <c r="V71" s="39"/>
      <c r="W71" s="39"/>
      <c r="X71" s="59" t="s">
        <v>108</v>
      </c>
      <c r="Y71" s="93">
        <f>IF(AD71=0, 0, IF(OR(H71="", H71&lt;&gt;0), 1, 0))</f>
        <v>1</v>
      </c>
      <c r="Z71" s="3">
        <v>0</v>
      </c>
      <c r="AA71" s="3" t="s">
        <v>578</v>
      </c>
      <c r="AD71" s="6">
        <f>ROUND((AG71*(1+AJ71)),2)</f>
        <v>225.27</v>
      </c>
      <c r="AE71" s="68">
        <v>256.71999850999998</v>
      </c>
      <c r="AF71" s="17">
        <f>(AE71*1)</f>
        <v>256.71999850999998</v>
      </c>
      <c r="AG71" s="6">
        <f>ROUND((AE71*AI71),2)</f>
        <v>166.87</v>
      </c>
      <c r="AH71" s="30" t="s">
        <v>110</v>
      </c>
      <c r="AI71" s="3">
        <v>0.65</v>
      </c>
      <c r="AJ71" s="18">
        <v>0.35</v>
      </c>
      <c r="AK71" s="6">
        <f>ROUND((AD71-(AD71*BG71)),2)</f>
        <v>223.02</v>
      </c>
      <c r="AL71" s="6">
        <f>ROUND((AD71-(AD71*BH71)),2)</f>
        <v>220.76</v>
      </c>
      <c r="AM71" s="6">
        <f>ROUND((AD71-(AD71*BI71)),2)</f>
        <v>218.51</v>
      </c>
      <c r="AN71" s="6">
        <f>ROUND((AD71-(AD71*BJ71)),2)</f>
        <v>218.51</v>
      </c>
      <c r="AO71" s="6">
        <f>ROUND((AD71-(AD71*BK71)),2)</f>
        <v>225.27</v>
      </c>
      <c r="BG71" s="12">
        <v>0.01</v>
      </c>
      <c r="BH71" s="12">
        <v>0.02</v>
      </c>
      <c r="BI71" s="12">
        <v>0.03</v>
      </c>
      <c r="BJ71" s="12">
        <v>0.03</v>
      </c>
      <c r="CC71" s="3" t="str">
        <f>IF(B71&lt;&gt;"",CONCATENATE(SUBSTITUTE(B71," ","-"),".jpg"),"")</f>
        <v>Allied-Moulded-AMU1206NLWF.jpg</v>
      </c>
      <c r="CD71" s="16" t="s">
        <v>111</v>
      </c>
      <c r="CE71" s="3"/>
      <c r="CF71" s="3"/>
      <c r="CG71" s="3" t="s">
        <v>112</v>
      </c>
      <c r="CI71" s="3" t="s">
        <v>97</v>
      </c>
      <c r="CJ71" s="3" t="s">
        <v>467</v>
      </c>
      <c r="CK71" s="3" t="s">
        <v>114</v>
      </c>
      <c r="CL71" s="3" t="s">
        <v>115</v>
      </c>
      <c r="CM71" s="3" t="s">
        <v>116</v>
      </c>
      <c r="CN71" t="s">
        <v>117</v>
      </c>
      <c r="CO71" s="3" t="s">
        <v>118</v>
      </c>
      <c r="CP71" s="3" t="s">
        <v>139</v>
      </c>
      <c r="CQ71" s="3" t="s">
        <v>120</v>
      </c>
      <c r="CR71" s="16" t="s">
        <v>121</v>
      </c>
      <c r="CS71" s="16" t="s">
        <v>122</v>
      </c>
      <c r="CT71" s="16" t="s">
        <v>125</v>
      </c>
      <c r="CU71" s="16" t="s">
        <v>167</v>
      </c>
      <c r="CV71" s="16" t="s">
        <v>351</v>
      </c>
    </row>
    <row r="72" spans="1:100" ht="15" customHeight="1">
      <c r="A72" t="s">
        <v>579</v>
      </c>
      <c r="B72" s="3" t="s">
        <v>580</v>
      </c>
      <c r="C72" s="16" t="s">
        <v>97</v>
      </c>
      <c r="D72" s="39" t="s">
        <v>581</v>
      </c>
      <c r="E72" s="16" t="s">
        <v>97</v>
      </c>
      <c r="F72" s="131" t="s">
        <v>582</v>
      </c>
      <c r="I72" s="100" t="s">
        <v>342</v>
      </c>
      <c r="J72" s="16" t="s">
        <v>101</v>
      </c>
      <c r="K72" s="16"/>
      <c r="L72" s="3" t="s">
        <v>102</v>
      </c>
      <c r="M72" s="3" t="s">
        <v>103</v>
      </c>
      <c r="N72" s="3" t="s">
        <v>104</v>
      </c>
      <c r="O72" s="16" t="s">
        <v>105</v>
      </c>
      <c r="P72" s="3" t="s">
        <v>583</v>
      </c>
      <c r="Q72" s="3" t="s">
        <v>583</v>
      </c>
      <c r="R72" s="3" t="s">
        <v>583</v>
      </c>
      <c r="S72" t="s">
        <v>579</v>
      </c>
      <c r="T72" s="130" t="s">
        <v>465</v>
      </c>
      <c r="U72" s="34">
        <v>6</v>
      </c>
      <c r="V72" s="39"/>
      <c r="W72" s="39"/>
      <c r="X72" s="59" t="s">
        <v>108</v>
      </c>
      <c r="Y72" s="93">
        <f>IF(AD72=0, 0, IF(OR(H72="", H72&lt;&gt;0), 1, 0))</f>
        <v>1</v>
      </c>
      <c r="Z72" s="3">
        <v>0</v>
      </c>
      <c r="AA72" s="3" t="s">
        <v>584</v>
      </c>
      <c r="AD72" s="6">
        <f>ROUND((AG72*(1+AJ72)),2)</f>
        <v>230.81</v>
      </c>
      <c r="AE72" s="69">
        <v>263.03725528000001</v>
      </c>
      <c r="AF72" s="17">
        <f>(AE72*1)</f>
        <v>263.03725528000001</v>
      </c>
      <c r="AG72" s="6">
        <f>ROUND((AE72*AI72),2)</f>
        <v>170.97</v>
      </c>
      <c r="AH72" s="30" t="s">
        <v>110</v>
      </c>
      <c r="AI72" s="3">
        <v>0.65</v>
      </c>
      <c r="AJ72" s="18">
        <v>0.35</v>
      </c>
      <c r="AK72" s="6">
        <f>ROUND((AD72-(AD72*BG72)),2)</f>
        <v>228.5</v>
      </c>
      <c r="AL72" s="6">
        <f>ROUND((AD72-(AD72*BH72)),2)</f>
        <v>226.19</v>
      </c>
      <c r="AM72" s="6">
        <f>ROUND((AD72-(AD72*BI72)),2)</f>
        <v>223.89</v>
      </c>
      <c r="AN72" s="6">
        <f>ROUND((AD72-(AD72*BJ72)),2)</f>
        <v>223.89</v>
      </c>
      <c r="AO72" s="6">
        <f>ROUND((AD72-(AD72*BK72)),2)</f>
        <v>230.81</v>
      </c>
      <c r="BG72" s="12">
        <v>0.01</v>
      </c>
      <c r="BH72" s="12">
        <v>0.02</v>
      </c>
      <c r="BI72" s="12">
        <v>0.03</v>
      </c>
      <c r="BJ72" s="12">
        <v>0.03</v>
      </c>
      <c r="CC72" s="3" t="str">
        <f>IF(B72&lt;&gt;"",CONCATENATE(SUBSTITUTE(B72," ","-"),".jpg"),"")</f>
        <v>Allied-Moulded-AMU1206TW.jpg</v>
      </c>
      <c r="CD72" s="16" t="s">
        <v>111</v>
      </c>
      <c r="CE72" s="3"/>
      <c r="CF72" s="3"/>
      <c r="CG72" s="3" t="s">
        <v>112</v>
      </c>
      <c r="CI72" s="3" t="s">
        <v>97</v>
      </c>
      <c r="CJ72" s="3" t="s">
        <v>467</v>
      </c>
      <c r="CK72" s="3" t="s">
        <v>114</v>
      </c>
      <c r="CL72" s="3" t="s">
        <v>115</v>
      </c>
      <c r="CM72" s="3" t="s">
        <v>116</v>
      </c>
      <c r="CN72" s="16" t="s">
        <v>132</v>
      </c>
      <c r="CO72" s="3" t="s">
        <v>118</v>
      </c>
      <c r="CP72" s="3" t="s">
        <v>139</v>
      </c>
      <c r="CQ72" s="3" t="s">
        <v>120</v>
      </c>
      <c r="CR72" s="16" t="s">
        <v>121</v>
      </c>
      <c r="CS72" s="16" t="s">
        <v>122</v>
      </c>
      <c r="CT72" s="16" t="s">
        <v>125</v>
      </c>
      <c r="CU72" s="16" t="s">
        <v>167</v>
      </c>
      <c r="CV72" s="16" t="s">
        <v>351</v>
      </c>
    </row>
    <row r="73" spans="1:100" ht="15" customHeight="1">
      <c r="A73" t="s">
        <v>585</v>
      </c>
      <c r="B73" s="3" t="s">
        <v>586</v>
      </c>
      <c r="C73" s="16" t="s">
        <v>97</v>
      </c>
      <c r="D73" s="40" t="s">
        <v>587</v>
      </c>
      <c r="E73" s="16" t="s">
        <v>97</v>
      </c>
      <c r="F73" s="131" t="s">
        <v>588</v>
      </c>
      <c r="I73" s="100" t="s">
        <v>342</v>
      </c>
      <c r="J73" s="16" t="s">
        <v>101</v>
      </c>
      <c r="K73" s="16"/>
      <c r="L73" s="3" t="s">
        <v>102</v>
      </c>
      <c r="M73" s="3" t="s">
        <v>103</v>
      </c>
      <c r="N73" s="3" t="s">
        <v>104</v>
      </c>
      <c r="O73" s="16" t="s">
        <v>105</v>
      </c>
      <c r="P73" s="3" t="s">
        <v>589</v>
      </c>
      <c r="Q73" s="3" t="s">
        <v>589</v>
      </c>
      <c r="R73" s="3" t="s">
        <v>589</v>
      </c>
      <c r="S73" t="s">
        <v>585</v>
      </c>
      <c r="T73" s="130" t="s">
        <v>465</v>
      </c>
      <c r="U73" s="35">
        <v>6</v>
      </c>
      <c r="V73" s="40"/>
      <c r="W73" s="40"/>
      <c r="X73" s="59" t="s">
        <v>108</v>
      </c>
      <c r="Y73" s="93">
        <f>IF(AD73=0, 0, IF(OR(H73="", H73&lt;&gt;0), 1, 0))</f>
        <v>1</v>
      </c>
      <c r="Z73" s="3">
        <v>0</v>
      </c>
      <c r="AA73" s="3" t="s">
        <v>590</v>
      </c>
      <c r="AD73" s="6">
        <f>ROUND((AG73*(1+AJ73)),2)</f>
        <v>237.13</v>
      </c>
      <c r="AE73" s="69">
        <v>270.23435555999998</v>
      </c>
      <c r="AF73" s="17">
        <f>(AE73*1)</f>
        <v>270.23435555999998</v>
      </c>
      <c r="AG73" s="6">
        <f>ROUND((AE73*AI73),2)</f>
        <v>175.65</v>
      </c>
      <c r="AH73" s="30" t="s">
        <v>110</v>
      </c>
      <c r="AI73" s="3">
        <v>0.65</v>
      </c>
      <c r="AJ73" s="18">
        <v>0.35</v>
      </c>
      <c r="AK73" s="6">
        <f>ROUND((AD73-(AD73*BG73)),2)</f>
        <v>234.76</v>
      </c>
      <c r="AL73" s="6">
        <f>ROUND((AD73-(AD73*BH73)),2)</f>
        <v>232.39</v>
      </c>
      <c r="AM73" s="6">
        <f>ROUND((AD73-(AD73*BI73)),2)</f>
        <v>230.02</v>
      </c>
      <c r="AN73" s="6">
        <f>ROUND((AD73-(AD73*BJ73)),2)</f>
        <v>230.02</v>
      </c>
      <c r="AO73" s="6">
        <f>ROUND((AD73-(AD73*BK73)),2)</f>
        <v>237.13</v>
      </c>
      <c r="BG73" s="12">
        <v>0.01</v>
      </c>
      <c r="BH73" s="12">
        <v>0.02</v>
      </c>
      <c r="BI73" s="12">
        <v>0.03</v>
      </c>
      <c r="BJ73" s="12">
        <v>0.03</v>
      </c>
      <c r="CC73" s="3" t="str">
        <f>IF(B73&lt;&gt;"",CONCATENATE(SUBSTITUTE(B73," ","-"),".jpg"),"")</f>
        <v>Allied-Moulded-AMU1206TWF.jpg</v>
      </c>
      <c r="CD73" s="16" t="s">
        <v>111</v>
      </c>
      <c r="CE73" s="3"/>
      <c r="CF73" s="3"/>
      <c r="CG73" s="3" t="s">
        <v>112</v>
      </c>
      <c r="CI73" s="3" t="s">
        <v>97</v>
      </c>
      <c r="CJ73" s="3" t="s">
        <v>467</v>
      </c>
      <c r="CK73" s="3" t="s">
        <v>114</v>
      </c>
      <c r="CL73" s="3" t="s">
        <v>115</v>
      </c>
      <c r="CM73" s="3" t="s">
        <v>116</v>
      </c>
      <c r="CN73" s="16" t="s">
        <v>132</v>
      </c>
      <c r="CO73" s="3" t="s">
        <v>118</v>
      </c>
      <c r="CP73" s="3" t="s">
        <v>139</v>
      </c>
      <c r="CQ73" s="3" t="s">
        <v>120</v>
      </c>
      <c r="CR73" s="16" t="s">
        <v>121</v>
      </c>
      <c r="CS73" s="16" t="s">
        <v>122</v>
      </c>
      <c r="CT73" s="16" t="s">
        <v>125</v>
      </c>
      <c r="CU73" s="16" t="s">
        <v>167</v>
      </c>
      <c r="CV73" s="16" t="s">
        <v>351</v>
      </c>
    </row>
    <row r="74" spans="1:100" ht="15" customHeight="1">
      <c r="A74" t="s">
        <v>591</v>
      </c>
      <c r="B74" s="3" t="s">
        <v>592</v>
      </c>
      <c r="C74" s="16" t="s">
        <v>97</v>
      </c>
      <c r="D74" s="40" t="s">
        <v>593</v>
      </c>
      <c r="E74" s="16" t="s">
        <v>97</v>
      </c>
      <c r="F74" s="131" t="s">
        <v>594</v>
      </c>
      <c r="I74" s="100" t="s">
        <v>342</v>
      </c>
      <c r="J74" s="16" t="s">
        <v>101</v>
      </c>
      <c r="K74" s="16"/>
      <c r="L74" s="3" t="s">
        <v>102</v>
      </c>
      <c r="M74" s="3" t="s">
        <v>103</v>
      </c>
      <c r="N74" s="3" t="s">
        <v>104</v>
      </c>
      <c r="O74" s="16" t="s">
        <v>105</v>
      </c>
      <c r="P74" s="3" t="s">
        <v>595</v>
      </c>
      <c r="Q74" s="3" t="s">
        <v>595</v>
      </c>
      <c r="R74" s="3" t="s">
        <v>595</v>
      </c>
      <c r="S74" t="s">
        <v>591</v>
      </c>
      <c r="T74" s="130" t="s">
        <v>465</v>
      </c>
      <c r="U74" s="35">
        <v>6</v>
      </c>
      <c r="V74" s="40"/>
      <c r="W74" s="40"/>
      <c r="X74" s="59" t="s">
        <v>108</v>
      </c>
      <c r="Y74" s="93">
        <f>IF(AD74=0, 0, IF(OR(H74="", H74&lt;&gt;0), 1, 0))</f>
        <v>1</v>
      </c>
      <c r="Z74" s="3">
        <v>0</v>
      </c>
      <c r="AA74" s="3" t="s">
        <v>596</v>
      </c>
      <c r="AD74" s="6">
        <f>ROUND((AG74*(1+AJ74)),2)</f>
        <v>133.43</v>
      </c>
      <c r="AE74" s="69">
        <v>152.06727183999999</v>
      </c>
      <c r="AF74" s="17">
        <f>(AE74*1)</f>
        <v>152.06727183999999</v>
      </c>
      <c r="AG74" s="6">
        <f>ROUND((AE74*AI74),2)</f>
        <v>98.84</v>
      </c>
      <c r="AH74" s="30" t="s">
        <v>110</v>
      </c>
      <c r="AI74" s="3">
        <v>0.65</v>
      </c>
      <c r="AJ74" s="18">
        <v>0.35</v>
      </c>
      <c r="AK74" s="6">
        <f>ROUND((AD74-(AD74*BG74)),2)</f>
        <v>132.1</v>
      </c>
      <c r="AL74" s="6">
        <f>ROUND((AD74-(AD74*BH74)),2)</f>
        <v>130.76</v>
      </c>
      <c r="AM74" s="6">
        <f>ROUND((AD74-(AD74*BI74)),2)</f>
        <v>129.43</v>
      </c>
      <c r="AN74" s="6">
        <f>ROUND((AD74-(AD74*BJ74)),2)</f>
        <v>129.43</v>
      </c>
      <c r="AO74" s="6">
        <f>ROUND((AD74-(AD74*BK74)),2)</f>
        <v>133.43</v>
      </c>
      <c r="BG74" s="12">
        <v>0.01</v>
      </c>
      <c r="BH74" s="12">
        <v>0.02</v>
      </c>
      <c r="BI74" s="12">
        <v>0.03</v>
      </c>
      <c r="BJ74" s="12">
        <v>0.03</v>
      </c>
      <c r="CC74" s="3" t="str">
        <f>IF(B74&lt;&gt;"",CONCATENATE(SUBSTITUTE(B74," ","-"),".jpg"),"")</f>
        <v>Allied-Moulded-AMU1206CC.jpg</v>
      </c>
      <c r="CD74" s="16" t="s">
        <v>111</v>
      </c>
      <c r="CE74" s="3"/>
      <c r="CF74" s="3"/>
      <c r="CG74" s="3" t="s">
        <v>112</v>
      </c>
      <c r="CI74" s="3" t="s">
        <v>97</v>
      </c>
      <c r="CJ74" s="3" t="s">
        <v>467</v>
      </c>
      <c r="CK74" s="3" t="s">
        <v>114</v>
      </c>
      <c r="CL74" s="3" t="s">
        <v>115</v>
      </c>
      <c r="CM74" s="16"/>
      <c r="CN74" s="16" t="s">
        <v>349</v>
      </c>
      <c r="CO74" s="3" t="s">
        <v>118</v>
      </c>
      <c r="CP74" s="3" t="s">
        <v>139</v>
      </c>
      <c r="CQ74" s="3" t="s">
        <v>120</v>
      </c>
      <c r="CR74" s="16" t="s">
        <v>121</v>
      </c>
      <c r="CS74" s="3" t="s">
        <v>384</v>
      </c>
      <c r="CT74" s="16" t="s">
        <v>125</v>
      </c>
      <c r="CU74" s="16" t="s">
        <v>167</v>
      </c>
      <c r="CV74" s="16" t="s">
        <v>351</v>
      </c>
    </row>
    <row r="75" spans="1:100" ht="15" customHeight="1">
      <c r="A75" t="s">
        <v>597</v>
      </c>
      <c r="B75" s="3" t="s">
        <v>598</v>
      </c>
      <c r="C75" s="16" t="s">
        <v>97</v>
      </c>
      <c r="D75" s="39" t="s">
        <v>599</v>
      </c>
      <c r="E75" s="16" t="s">
        <v>97</v>
      </c>
      <c r="F75" s="131" t="s">
        <v>600</v>
      </c>
      <c r="I75" s="100" t="s">
        <v>342</v>
      </c>
      <c r="J75" s="16" t="s">
        <v>101</v>
      </c>
      <c r="K75" s="16"/>
      <c r="L75" s="3" t="s">
        <v>102</v>
      </c>
      <c r="M75" s="3" t="s">
        <v>103</v>
      </c>
      <c r="N75" s="3" t="s">
        <v>104</v>
      </c>
      <c r="O75" s="16" t="s">
        <v>105</v>
      </c>
      <c r="P75" s="3" t="s">
        <v>601</v>
      </c>
      <c r="Q75" s="3" t="s">
        <v>601</v>
      </c>
      <c r="R75" s="3" t="s">
        <v>601</v>
      </c>
      <c r="S75" t="s">
        <v>597</v>
      </c>
      <c r="T75" s="130" t="s">
        <v>465</v>
      </c>
      <c r="U75" s="34">
        <v>6</v>
      </c>
      <c r="V75" s="39"/>
      <c r="W75" s="39"/>
      <c r="X75" s="59" t="s">
        <v>108</v>
      </c>
      <c r="Y75" s="93">
        <f>IF(AD75=0, 0, IF(OR(H75="", H75&lt;&gt;0), 1, 0))</f>
        <v>1</v>
      </c>
      <c r="Z75" s="3">
        <v>0</v>
      </c>
      <c r="AA75" s="3" t="s">
        <v>602</v>
      </c>
      <c r="AD75" s="6">
        <f>ROUND((AG75*(1+AJ75)),2)</f>
        <v>136.49</v>
      </c>
      <c r="AE75" s="69">
        <v>155.53538277999999</v>
      </c>
      <c r="AF75" s="17">
        <f>(AE75*1)</f>
        <v>155.53538277999999</v>
      </c>
      <c r="AG75" s="6">
        <f>ROUND((AE75*AI75),2)</f>
        <v>101.1</v>
      </c>
      <c r="AH75" s="30" t="s">
        <v>110</v>
      </c>
      <c r="AI75" s="3">
        <v>0.65</v>
      </c>
      <c r="AJ75" s="18">
        <v>0.35</v>
      </c>
      <c r="AK75" s="6">
        <f>ROUND((AD75-(AD75*BG75)),2)</f>
        <v>135.13</v>
      </c>
      <c r="AL75" s="6">
        <f>ROUND((AD75-(AD75*BH75)),2)</f>
        <v>133.76</v>
      </c>
      <c r="AM75" s="6">
        <f>ROUND((AD75-(AD75*BI75)),2)</f>
        <v>132.4</v>
      </c>
      <c r="AN75" s="6">
        <f>ROUND((AD75-(AD75*BJ75)),2)</f>
        <v>132.4</v>
      </c>
      <c r="AO75" s="6">
        <f>ROUND((AD75-(AD75*BK75)),2)</f>
        <v>136.49</v>
      </c>
      <c r="BG75" s="12">
        <v>0.01</v>
      </c>
      <c r="BH75" s="12">
        <v>0.02</v>
      </c>
      <c r="BI75" s="12">
        <v>0.03</v>
      </c>
      <c r="BJ75" s="12">
        <v>0.03</v>
      </c>
      <c r="CC75" s="3" t="str">
        <f>IF(B75&lt;&gt;"",CONCATENATE(SUBSTITUTE(B75," ","-"),".jpg"),"")</f>
        <v>Allied-Moulded-AMU1206CCF.jpg</v>
      </c>
      <c r="CD75" s="16" t="s">
        <v>111</v>
      </c>
      <c r="CE75" s="3"/>
      <c r="CF75" s="3"/>
      <c r="CG75" s="3" t="s">
        <v>112</v>
      </c>
      <c r="CI75" s="3" t="s">
        <v>97</v>
      </c>
      <c r="CJ75" s="3" t="s">
        <v>467</v>
      </c>
      <c r="CK75" s="3" t="s">
        <v>114</v>
      </c>
      <c r="CL75" s="3" t="s">
        <v>115</v>
      </c>
      <c r="CM75" s="16"/>
      <c r="CN75" s="16" t="s">
        <v>349</v>
      </c>
      <c r="CO75" s="3" t="s">
        <v>118</v>
      </c>
      <c r="CP75" s="3" t="s">
        <v>139</v>
      </c>
      <c r="CQ75" s="3" t="s">
        <v>120</v>
      </c>
      <c r="CR75" s="16" t="s">
        <v>121</v>
      </c>
      <c r="CS75" s="3" t="s">
        <v>384</v>
      </c>
      <c r="CT75" s="16" t="s">
        <v>125</v>
      </c>
      <c r="CU75" s="16" t="s">
        <v>167</v>
      </c>
      <c r="CV75" s="16" t="s">
        <v>351</v>
      </c>
    </row>
    <row r="76" spans="1:100" ht="15" customHeight="1">
      <c r="A76" t="s">
        <v>603</v>
      </c>
      <c r="B76" s="3" t="s">
        <v>604</v>
      </c>
      <c r="C76" s="16" t="s">
        <v>97</v>
      </c>
      <c r="D76" s="39" t="s">
        <v>605</v>
      </c>
      <c r="E76" s="16" t="s">
        <v>97</v>
      </c>
      <c r="F76" s="131" t="s">
        <v>606</v>
      </c>
      <c r="I76" s="100" t="s">
        <v>342</v>
      </c>
      <c r="J76" s="16" t="s">
        <v>101</v>
      </c>
      <c r="K76" s="16"/>
      <c r="L76" s="3" t="s">
        <v>102</v>
      </c>
      <c r="M76" s="3" t="s">
        <v>103</v>
      </c>
      <c r="N76" s="3" t="s">
        <v>104</v>
      </c>
      <c r="O76" s="16" t="s">
        <v>105</v>
      </c>
      <c r="P76" s="3" t="s">
        <v>607</v>
      </c>
      <c r="Q76" s="3" t="s">
        <v>607</v>
      </c>
      <c r="R76" s="3" t="s">
        <v>607</v>
      </c>
      <c r="S76" t="s">
        <v>603</v>
      </c>
      <c r="T76" s="130" t="s">
        <v>465</v>
      </c>
      <c r="U76" s="34">
        <v>6</v>
      </c>
      <c r="V76" s="39"/>
      <c r="W76" s="39"/>
      <c r="X76" s="59" t="s">
        <v>108</v>
      </c>
      <c r="Y76" s="93">
        <f>IF(AD76=0, 0, IF(OR(H76="", H76&lt;&gt;0), 1, 0))</f>
        <v>1</v>
      </c>
      <c r="Z76" s="3">
        <v>0</v>
      </c>
      <c r="AA76" s="3" t="s">
        <v>608</v>
      </c>
      <c r="AD76" s="6">
        <f>ROUND((AG76*(1+AJ76)),2)</f>
        <v>142.37</v>
      </c>
      <c r="AE76" s="69">
        <v>162.24950885000001</v>
      </c>
      <c r="AF76" s="17">
        <f>(AE76*1)</f>
        <v>162.24950885000001</v>
      </c>
      <c r="AG76" s="6">
        <f>ROUND((AE76*AI76),2)</f>
        <v>105.46</v>
      </c>
      <c r="AH76" s="30" t="s">
        <v>110</v>
      </c>
      <c r="AI76" s="3">
        <v>0.65</v>
      </c>
      <c r="AJ76" s="18">
        <v>0.35</v>
      </c>
      <c r="AK76" s="6">
        <f>ROUND((AD76-(AD76*BG76)),2)</f>
        <v>140.94999999999999</v>
      </c>
      <c r="AL76" s="6">
        <f>ROUND((AD76-(AD76*BH76)),2)</f>
        <v>139.52000000000001</v>
      </c>
      <c r="AM76" s="6">
        <f>ROUND((AD76-(AD76*BI76)),2)</f>
        <v>138.1</v>
      </c>
      <c r="AN76" s="6">
        <f>ROUND((AD76-(AD76*BJ76)),2)</f>
        <v>138.1</v>
      </c>
      <c r="AO76" s="6">
        <f>ROUND((AD76-(AD76*BK76)),2)</f>
        <v>142.37</v>
      </c>
      <c r="BG76" s="12">
        <v>0.01</v>
      </c>
      <c r="BH76" s="12">
        <v>0.02</v>
      </c>
      <c r="BI76" s="12">
        <v>0.03</v>
      </c>
      <c r="BJ76" s="12">
        <v>0.03</v>
      </c>
      <c r="CC76" s="3" t="str">
        <f>IF(B76&lt;&gt;"",CONCATENATE(SUBSTITUTE(B76," ","-"),".jpg"),"")</f>
        <v>Allied-Moulded-AMU1206CCH.jpg</v>
      </c>
      <c r="CD76" s="16" t="s">
        <v>111</v>
      </c>
      <c r="CE76" s="3"/>
      <c r="CF76" s="3"/>
      <c r="CG76" s="3" t="s">
        <v>112</v>
      </c>
      <c r="CI76" s="3" t="s">
        <v>97</v>
      </c>
      <c r="CJ76" s="3" t="s">
        <v>467</v>
      </c>
      <c r="CK76" s="3" t="s">
        <v>114</v>
      </c>
      <c r="CL76" s="3" t="s">
        <v>115</v>
      </c>
      <c r="CM76" s="3" t="s">
        <v>116</v>
      </c>
      <c r="CN76" s="16" t="s">
        <v>349</v>
      </c>
      <c r="CO76" s="3" t="s">
        <v>118</v>
      </c>
      <c r="CP76" s="3" t="s">
        <v>139</v>
      </c>
      <c r="CQ76" s="3" t="s">
        <v>120</v>
      </c>
      <c r="CR76" s="16" t="s">
        <v>121</v>
      </c>
      <c r="CS76" s="3" t="s">
        <v>384</v>
      </c>
      <c r="CT76" s="16" t="s">
        <v>125</v>
      </c>
      <c r="CU76" s="16" t="s">
        <v>167</v>
      </c>
      <c r="CV76" s="16" t="s">
        <v>351</v>
      </c>
    </row>
    <row r="77" spans="1:100" ht="15" customHeight="1">
      <c r="A77" t="s">
        <v>609</v>
      </c>
      <c r="B77" s="3" t="s">
        <v>610</v>
      </c>
      <c r="C77" s="16" t="s">
        <v>97</v>
      </c>
      <c r="D77" s="40" t="s">
        <v>611</v>
      </c>
      <c r="E77" s="16" t="s">
        <v>97</v>
      </c>
      <c r="F77" s="131" t="s">
        <v>612</v>
      </c>
      <c r="I77" s="100" t="s">
        <v>342</v>
      </c>
      <c r="J77" s="16" t="s">
        <v>101</v>
      </c>
      <c r="K77" s="16"/>
      <c r="L77" s="3" t="s">
        <v>102</v>
      </c>
      <c r="M77" s="3" t="s">
        <v>103</v>
      </c>
      <c r="N77" s="3" t="s">
        <v>104</v>
      </c>
      <c r="O77" s="16" t="s">
        <v>105</v>
      </c>
      <c r="P77" s="3" t="s">
        <v>613</v>
      </c>
      <c r="Q77" s="3" t="s">
        <v>613</v>
      </c>
      <c r="R77" s="3" t="s">
        <v>613</v>
      </c>
      <c r="S77" t="s">
        <v>609</v>
      </c>
      <c r="T77" s="130" t="s">
        <v>465</v>
      </c>
      <c r="U77" s="35">
        <v>6</v>
      </c>
      <c r="V77" s="40"/>
      <c r="W77" s="40"/>
      <c r="X77" s="59" t="s">
        <v>108</v>
      </c>
      <c r="Y77" s="93">
        <f>IF(AD77=0, 0, IF(OR(H77="", H77&lt;&gt;0), 1, 0))</f>
        <v>1</v>
      </c>
      <c r="Z77" s="3">
        <v>0</v>
      </c>
      <c r="AA77" s="3" t="s">
        <v>614</v>
      </c>
      <c r="AD77" s="6">
        <f>ROUND((AG77*(1+AJ77)),2)</f>
        <v>145.61000000000001</v>
      </c>
      <c r="AE77" s="69">
        <v>165.9397156</v>
      </c>
      <c r="AF77" s="17">
        <f>(AE77*1)</f>
        <v>165.9397156</v>
      </c>
      <c r="AG77" s="6">
        <f>ROUND((AE77*AI77),2)</f>
        <v>107.86</v>
      </c>
      <c r="AH77" s="30" t="s">
        <v>110</v>
      </c>
      <c r="AI77" s="3">
        <v>0.65</v>
      </c>
      <c r="AJ77" s="18">
        <v>0.35</v>
      </c>
      <c r="AK77" s="6">
        <f>ROUND((AD77-(AD77*BG77)),2)</f>
        <v>144.15</v>
      </c>
      <c r="AL77" s="6">
        <f>ROUND((AD77-(AD77*BH77)),2)</f>
        <v>142.69999999999999</v>
      </c>
      <c r="AM77" s="6">
        <f>ROUND((AD77-(AD77*BI77)),2)</f>
        <v>141.24</v>
      </c>
      <c r="AN77" s="6">
        <f>ROUND((AD77-(AD77*BJ77)),2)</f>
        <v>141.24</v>
      </c>
      <c r="AO77" s="6">
        <f>ROUND((AD77-(AD77*BK77)),2)</f>
        <v>145.61000000000001</v>
      </c>
      <c r="BG77" s="12">
        <v>0.01</v>
      </c>
      <c r="BH77" s="12">
        <v>0.02</v>
      </c>
      <c r="BI77" s="12">
        <v>0.03</v>
      </c>
      <c r="BJ77" s="12">
        <v>0.03</v>
      </c>
      <c r="CC77" s="3" t="str">
        <f>IF(B77&lt;&gt;"",CONCATENATE(SUBSTITUTE(B77," ","-"),".jpg"),"")</f>
        <v>Allied-Moulded-AMU1206CCHF.jpg</v>
      </c>
      <c r="CD77" s="16" t="s">
        <v>111</v>
      </c>
      <c r="CE77" s="3"/>
      <c r="CF77" s="3"/>
      <c r="CG77" s="3" t="s">
        <v>112</v>
      </c>
      <c r="CI77" s="3" t="s">
        <v>97</v>
      </c>
      <c r="CJ77" s="3" t="s">
        <v>467</v>
      </c>
      <c r="CK77" s="3" t="s">
        <v>114</v>
      </c>
      <c r="CL77" s="3" t="s">
        <v>115</v>
      </c>
      <c r="CM77" s="3" t="s">
        <v>116</v>
      </c>
      <c r="CN77" s="16" t="s">
        <v>349</v>
      </c>
      <c r="CO77" s="3" t="s">
        <v>118</v>
      </c>
      <c r="CP77" s="3" t="s">
        <v>139</v>
      </c>
      <c r="CQ77" s="3" t="s">
        <v>120</v>
      </c>
      <c r="CR77" s="16" t="s">
        <v>121</v>
      </c>
      <c r="CS77" s="3" t="s">
        <v>384</v>
      </c>
      <c r="CT77" s="16" t="s">
        <v>125</v>
      </c>
      <c r="CU77" s="16" t="s">
        <v>167</v>
      </c>
      <c r="CV77" s="16" t="s">
        <v>351</v>
      </c>
    </row>
    <row r="78" spans="1:100" ht="15" customHeight="1">
      <c r="A78" t="s">
        <v>615</v>
      </c>
      <c r="B78" s="3" t="s">
        <v>616</v>
      </c>
      <c r="C78" s="16" t="s">
        <v>97</v>
      </c>
      <c r="D78" s="40" t="s">
        <v>617</v>
      </c>
      <c r="E78" s="16" t="s">
        <v>97</v>
      </c>
      <c r="F78" s="131" t="s">
        <v>618</v>
      </c>
      <c r="I78" s="100" t="s">
        <v>342</v>
      </c>
      <c r="J78" s="16" t="s">
        <v>101</v>
      </c>
      <c r="K78" s="16"/>
      <c r="L78" s="3" t="s">
        <v>102</v>
      </c>
      <c r="M78" s="3" t="s">
        <v>103</v>
      </c>
      <c r="N78" s="3" t="s">
        <v>104</v>
      </c>
      <c r="O78" s="16" t="s">
        <v>105</v>
      </c>
      <c r="P78" s="3" t="s">
        <v>619</v>
      </c>
      <c r="Q78" s="3" t="s">
        <v>619</v>
      </c>
      <c r="R78" s="3" t="s">
        <v>619</v>
      </c>
      <c r="S78" t="s">
        <v>615</v>
      </c>
      <c r="T78" s="130" t="s">
        <v>465</v>
      </c>
      <c r="U78" s="35">
        <v>6</v>
      </c>
      <c r="V78" s="40"/>
      <c r="W78" s="40"/>
      <c r="X78" s="59" t="s">
        <v>108</v>
      </c>
      <c r="Y78" s="93">
        <f>IF(AD78=0, 0, IF(OR(H78="", H78&lt;&gt;0), 1, 0))</f>
        <v>1</v>
      </c>
      <c r="Z78" s="3">
        <v>0</v>
      </c>
      <c r="AA78" s="3" t="s">
        <v>620</v>
      </c>
      <c r="AD78" s="6">
        <f>ROUND((AG78*(1+AJ78)),2)</f>
        <v>160.25</v>
      </c>
      <c r="AE78" s="69">
        <v>182.61398287</v>
      </c>
      <c r="AF78" s="17">
        <f>(AE78*1)</f>
        <v>182.61398287</v>
      </c>
      <c r="AG78" s="6">
        <f>ROUND((AE78*AI78),2)</f>
        <v>118.7</v>
      </c>
      <c r="AH78" s="30" t="s">
        <v>110</v>
      </c>
      <c r="AI78" s="3">
        <v>0.65</v>
      </c>
      <c r="AJ78" s="18">
        <v>0.35</v>
      </c>
      <c r="AK78" s="6">
        <f>ROUND((AD78-(AD78*BG78)),2)</f>
        <v>158.65</v>
      </c>
      <c r="AL78" s="6">
        <f>ROUND((AD78-(AD78*BH78)),2)</f>
        <v>157.05000000000001</v>
      </c>
      <c r="AM78" s="6">
        <f>ROUND((AD78-(AD78*BI78)),2)</f>
        <v>155.44</v>
      </c>
      <c r="AN78" s="6">
        <f>ROUND((AD78-(AD78*BJ78)),2)</f>
        <v>155.44</v>
      </c>
      <c r="AO78" s="6">
        <f>ROUND((AD78-(AD78*BK78)),2)</f>
        <v>160.25</v>
      </c>
      <c r="BG78" s="12">
        <v>0.01</v>
      </c>
      <c r="BH78" s="12">
        <v>0.02</v>
      </c>
      <c r="BI78" s="12">
        <v>0.03</v>
      </c>
      <c r="BJ78" s="12">
        <v>0.03</v>
      </c>
      <c r="CC78" s="3" t="str">
        <f>IF(B78&lt;&gt;"",CONCATENATE(SUBSTITUTE(B78," ","-"),".jpg"),"")</f>
        <v>Allied-Moulded-AMU1206CCL.jpg</v>
      </c>
      <c r="CD78" s="16" t="s">
        <v>111</v>
      </c>
      <c r="CE78" s="3"/>
      <c r="CF78" s="3"/>
      <c r="CG78" s="3" t="s">
        <v>112</v>
      </c>
      <c r="CI78" s="3" t="s">
        <v>97</v>
      </c>
      <c r="CJ78" s="3" t="s">
        <v>467</v>
      </c>
      <c r="CK78" s="3" t="s">
        <v>114</v>
      </c>
      <c r="CL78" s="3" t="s">
        <v>115</v>
      </c>
      <c r="CM78" s="3" t="s">
        <v>116</v>
      </c>
      <c r="CN78" t="s">
        <v>117</v>
      </c>
      <c r="CO78" s="3" t="s">
        <v>118</v>
      </c>
      <c r="CP78" s="3" t="s">
        <v>139</v>
      </c>
      <c r="CQ78" s="3" t="s">
        <v>120</v>
      </c>
      <c r="CR78" s="16" t="s">
        <v>121</v>
      </c>
      <c r="CS78" s="16" t="s">
        <v>122</v>
      </c>
      <c r="CT78" s="16" t="s">
        <v>125</v>
      </c>
      <c r="CU78" s="16" t="s">
        <v>167</v>
      </c>
      <c r="CV78" s="16" t="s">
        <v>351</v>
      </c>
    </row>
    <row r="79" spans="1:100" ht="15" customHeight="1">
      <c r="A79" t="s">
        <v>621</v>
      </c>
      <c r="B79" s="3" t="s">
        <v>622</v>
      </c>
      <c r="C79" s="16" t="s">
        <v>97</v>
      </c>
      <c r="D79" s="44" t="s">
        <v>623</v>
      </c>
      <c r="E79" s="16" t="s">
        <v>97</v>
      </c>
      <c r="F79" s="131" t="s">
        <v>624</v>
      </c>
      <c r="I79" s="100" t="s">
        <v>342</v>
      </c>
      <c r="J79" s="16" t="s">
        <v>101</v>
      </c>
      <c r="K79" s="16"/>
      <c r="L79" s="3" t="s">
        <v>102</v>
      </c>
      <c r="M79" s="3" t="s">
        <v>103</v>
      </c>
      <c r="N79" s="3" t="s">
        <v>104</v>
      </c>
      <c r="O79" s="16" t="s">
        <v>105</v>
      </c>
      <c r="P79" s="3" t="s">
        <v>625</v>
      </c>
      <c r="Q79" s="3" t="s">
        <v>625</v>
      </c>
      <c r="R79" s="3" t="s">
        <v>625</v>
      </c>
      <c r="S79" t="s">
        <v>621</v>
      </c>
      <c r="T79" s="130" t="s">
        <v>465</v>
      </c>
      <c r="U79" s="34">
        <v>6</v>
      </c>
      <c r="V79" s="39"/>
      <c r="W79" s="39"/>
      <c r="X79" s="59" t="s">
        <v>108</v>
      </c>
      <c r="Y79" s="93">
        <f>IF(AD79=0, 0, IF(OR(H79="", H79&lt;&gt;0), 1, 0))</f>
        <v>1</v>
      </c>
      <c r="Z79" s="3">
        <v>0</v>
      </c>
      <c r="AA79" s="3" t="s">
        <v>626</v>
      </c>
      <c r="AD79" s="6">
        <f>ROUND((AG79*(1+AJ79)),2)</f>
        <v>163.88</v>
      </c>
      <c r="AE79" s="69">
        <v>186.74838123999999</v>
      </c>
      <c r="AF79" s="17">
        <f>(AE79*1)</f>
        <v>186.74838123999999</v>
      </c>
      <c r="AG79" s="6">
        <f>ROUND((AE79*AI79),2)</f>
        <v>121.39</v>
      </c>
      <c r="AH79" s="30" t="s">
        <v>110</v>
      </c>
      <c r="AI79" s="3">
        <v>0.65</v>
      </c>
      <c r="AJ79" s="18">
        <v>0.35</v>
      </c>
      <c r="AK79" s="6">
        <f>ROUND((AD79-(AD79*BG79)),2)</f>
        <v>162.24</v>
      </c>
      <c r="AL79" s="6">
        <f>ROUND((AD79-(AD79*BH79)),2)</f>
        <v>160.6</v>
      </c>
      <c r="AM79" s="6">
        <f>ROUND((AD79-(AD79*BI79)),2)</f>
        <v>158.96</v>
      </c>
      <c r="AN79" s="6">
        <f>ROUND((AD79-(AD79*BJ79)),2)</f>
        <v>158.96</v>
      </c>
      <c r="AO79" s="6">
        <f>ROUND((AD79-(AD79*BK79)),2)</f>
        <v>163.88</v>
      </c>
      <c r="BG79" s="12">
        <v>0.01</v>
      </c>
      <c r="BH79" s="12">
        <v>0.02</v>
      </c>
      <c r="BI79" s="12">
        <v>0.03</v>
      </c>
      <c r="BJ79" s="12">
        <v>0.03</v>
      </c>
      <c r="CC79" s="3" t="str">
        <f>IF(B79&lt;&gt;"",CONCATENATE(SUBSTITUTE(B79," ","-"),".jpg"),"")</f>
        <v>Allied-Moulded-AMU1206CCLF.jpg</v>
      </c>
      <c r="CD79" s="16" t="s">
        <v>111</v>
      </c>
      <c r="CE79" s="3"/>
      <c r="CF79" s="3"/>
      <c r="CG79" s="3" t="s">
        <v>112</v>
      </c>
      <c r="CI79" s="3" t="s">
        <v>97</v>
      </c>
      <c r="CJ79" s="3" t="s">
        <v>467</v>
      </c>
      <c r="CK79" s="3" t="s">
        <v>114</v>
      </c>
      <c r="CL79" s="3" t="s">
        <v>115</v>
      </c>
      <c r="CM79" s="3" t="s">
        <v>116</v>
      </c>
      <c r="CN79" t="s">
        <v>117</v>
      </c>
      <c r="CO79" s="3" t="s">
        <v>118</v>
      </c>
      <c r="CP79" s="3" t="s">
        <v>139</v>
      </c>
      <c r="CQ79" s="3" t="s">
        <v>120</v>
      </c>
      <c r="CR79" s="16" t="s">
        <v>121</v>
      </c>
      <c r="CS79" s="16" t="s">
        <v>122</v>
      </c>
      <c r="CT79" s="16" t="s">
        <v>125</v>
      </c>
      <c r="CU79" s="16" t="s">
        <v>167</v>
      </c>
      <c r="CV79" s="16" t="s">
        <v>351</v>
      </c>
    </row>
    <row r="80" spans="1:100" ht="15" customHeight="1">
      <c r="A80" t="s">
        <v>627</v>
      </c>
      <c r="B80" s="3" t="s">
        <v>628</v>
      </c>
      <c r="C80" s="16" t="s">
        <v>97</v>
      </c>
      <c r="D80" s="44" t="s">
        <v>629</v>
      </c>
      <c r="E80" s="16" t="s">
        <v>97</v>
      </c>
      <c r="F80" s="131" t="s">
        <v>630</v>
      </c>
      <c r="I80" s="100" t="s">
        <v>342</v>
      </c>
      <c r="J80" s="16" t="s">
        <v>101</v>
      </c>
      <c r="K80" s="16"/>
      <c r="L80" s="3" t="s">
        <v>102</v>
      </c>
      <c r="M80" s="3" t="s">
        <v>103</v>
      </c>
      <c r="N80" s="3" t="s">
        <v>104</v>
      </c>
      <c r="O80" s="16" t="s">
        <v>105</v>
      </c>
      <c r="P80" s="3" t="s">
        <v>631</v>
      </c>
      <c r="Q80" s="3" t="s">
        <v>631</v>
      </c>
      <c r="R80" s="3" t="s">
        <v>631</v>
      </c>
      <c r="S80" t="s">
        <v>627</v>
      </c>
      <c r="T80" s="130" t="s">
        <v>465</v>
      </c>
      <c r="U80" s="34">
        <v>6</v>
      </c>
      <c r="V80" s="39"/>
      <c r="W80" s="39"/>
      <c r="X80" s="59" t="s">
        <v>108</v>
      </c>
      <c r="Y80" s="93">
        <f>IF(AD80=0, 0, IF(OR(H80="", H80&lt;&gt;0), 1, 0))</f>
        <v>1</v>
      </c>
      <c r="Z80" s="3">
        <v>0</v>
      </c>
      <c r="AA80" s="3" t="s">
        <v>632</v>
      </c>
      <c r="AD80" s="6">
        <f>ROUND((AG80*(1+AJ80)),2)</f>
        <v>152.22999999999999</v>
      </c>
      <c r="AE80" s="69">
        <v>173.47388852999998</v>
      </c>
      <c r="AF80" s="17">
        <f>(AE80*1)</f>
        <v>173.47388852999998</v>
      </c>
      <c r="AG80" s="6">
        <f>ROUND((AE80*AI80),2)</f>
        <v>112.76</v>
      </c>
      <c r="AH80" s="30" t="s">
        <v>110</v>
      </c>
      <c r="AI80" s="3">
        <v>0.65</v>
      </c>
      <c r="AJ80" s="18">
        <v>0.35</v>
      </c>
      <c r="AK80" s="6">
        <f>ROUND((AD80-(AD80*BG80)),2)</f>
        <v>150.71</v>
      </c>
      <c r="AL80" s="6">
        <f>ROUND((AD80-(AD80*BH80)),2)</f>
        <v>149.19</v>
      </c>
      <c r="AM80" s="6">
        <f>ROUND((AD80-(AD80*BI80)),2)</f>
        <v>147.66</v>
      </c>
      <c r="AN80" s="6">
        <f>ROUND((AD80-(AD80*BJ80)),2)</f>
        <v>147.66</v>
      </c>
      <c r="AO80" s="6">
        <f>ROUND((AD80-(AD80*BK80)),2)</f>
        <v>152.22999999999999</v>
      </c>
      <c r="BG80" s="12">
        <v>0.01</v>
      </c>
      <c r="BH80" s="12">
        <v>0.02</v>
      </c>
      <c r="BI80" s="12">
        <v>0.03</v>
      </c>
      <c r="BJ80" s="12">
        <v>0.03</v>
      </c>
      <c r="CC80" s="3" t="str">
        <f>IF(B80&lt;&gt;"",CONCATENATE(SUBSTITUTE(B80," ","-"),".jpg"),"")</f>
        <v>Allied-Moulded-AMU1206CCNL.jpg</v>
      </c>
      <c r="CD80" s="16" t="s">
        <v>111</v>
      </c>
      <c r="CE80" s="3"/>
      <c r="CF80" s="3"/>
      <c r="CG80" s="3" t="s">
        <v>112</v>
      </c>
      <c r="CI80" s="3" t="s">
        <v>97</v>
      </c>
      <c r="CJ80" s="3" t="s">
        <v>467</v>
      </c>
      <c r="CK80" s="3" t="s">
        <v>114</v>
      </c>
      <c r="CL80" s="3" t="s">
        <v>115</v>
      </c>
      <c r="CM80" s="3" t="s">
        <v>116</v>
      </c>
      <c r="CN80" t="s">
        <v>117</v>
      </c>
      <c r="CO80" s="3" t="s">
        <v>118</v>
      </c>
      <c r="CP80" s="3" t="s">
        <v>139</v>
      </c>
      <c r="CQ80" s="3" t="s">
        <v>120</v>
      </c>
      <c r="CR80" s="16" t="s">
        <v>121</v>
      </c>
      <c r="CS80" s="16" t="s">
        <v>122</v>
      </c>
      <c r="CT80" s="16" t="s">
        <v>125</v>
      </c>
      <c r="CU80" s="16" t="s">
        <v>167</v>
      </c>
      <c r="CV80" s="16" t="s">
        <v>351</v>
      </c>
    </row>
    <row r="81" spans="1:100" ht="15" customHeight="1">
      <c r="A81" t="s">
        <v>633</v>
      </c>
      <c r="B81" s="3" t="s">
        <v>634</v>
      </c>
      <c r="C81" s="16" t="s">
        <v>97</v>
      </c>
      <c r="D81" s="43" t="s">
        <v>635</v>
      </c>
      <c r="E81" s="16" t="s">
        <v>97</v>
      </c>
      <c r="F81" s="131" t="s">
        <v>636</v>
      </c>
      <c r="I81" s="100" t="s">
        <v>342</v>
      </c>
      <c r="J81" s="16" t="s">
        <v>101</v>
      </c>
      <c r="K81" s="16"/>
      <c r="L81" s="3" t="s">
        <v>102</v>
      </c>
      <c r="M81" s="3" t="s">
        <v>103</v>
      </c>
      <c r="N81" s="3" t="s">
        <v>104</v>
      </c>
      <c r="O81" s="16" t="s">
        <v>105</v>
      </c>
      <c r="P81" s="3" t="s">
        <v>637</v>
      </c>
      <c r="Q81" s="3" t="s">
        <v>637</v>
      </c>
      <c r="R81" s="3" t="s">
        <v>637</v>
      </c>
      <c r="S81" t="s">
        <v>633</v>
      </c>
      <c r="T81" s="130" t="s">
        <v>465</v>
      </c>
      <c r="U81" s="35">
        <v>6</v>
      </c>
      <c r="V81" s="40"/>
      <c r="W81" s="40"/>
      <c r="X81" s="59" t="s">
        <v>108</v>
      </c>
      <c r="Y81" s="93">
        <f>IF(AD81=0, 0, IF(OR(H81="", H81&lt;&gt;0), 1, 0))</f>
        <v>1</v>
      </c>
      <c r="Z81" s="3">
        <v>0</v>
      </c>
      <c r="AA81" s="3" t="s">
        <v>638</v>
      </c>
      <c r="AD81" s="6">
        <f>ROUND((AG81*(1+AJ81)),2)</f>
        <v>155.66999999999999</v>
      </c>
      <c r="AE81" s="69">
        <v>177.40327569999999</v>
      </c>
      <c r="AF81" s="17">
        <f>(AE81*1)</f>
        <v>177.40327569999999</v>
      </c>
      <c r="AG81" s="6">
        <f>ROUND((AE81*AI81),2)</f>
        <v>115.31</v>
      </c>
      <c r="AH81" s="30" t="s">
        <v>110</v>
      </c>
      <c r="AI81" s="3">
        <v>0.65</v>
      </c>
      <c r="AJ81" s="18">
        <v>0.35</v>
      </c>
      <c r="AK81" s="6">
        <f>ROUND((AD81-(AD81*BG81)),2)</f>
        <v>154.11000000000001</v>
      </c>
      <c r="AL81" s="6">
        <f>ROUND((AD81-(AD81*BH81)),2)</f>
        <v>152.56</v>
      </c>
      <c r="AM81" s="6">
        <f>ROUND((AD81-(AD81*BI81)),2)</f>
        <v>151</v>
      </c>
      <c r="AN81" s="6">
        <f>ROUND((AD81-(AD81*BJ81)),2)</f>
        <v>151</v>
      </c>
      <c r="AO81" s="6">
        <f>ROUND((AD81-(AD81*BK81)),2)</f>
        <v>155.66999999999999</v>
      </c>
      <c r="BG81" s="12">
        <v>0.01</v>
      </c>
      <c r="BH81" s="12">
        <v>0.02</v>
      </c>
      <c r="BI81" s="12">
        <v>0.03</v>
      </c>
      <c r="BJ81" s="12">
        <v>0.03</v>
      </c>
      <c r="CC81" s="3" t="str">
        <f>IF(B81&lt;&gt;"",CONCATENATE(SUBSTITUTE(B81," ","-"),".jpg"),"")</f>
        <v>Allied-Moulded-AMU1206CCNLF.jpg</v>
      </c>
      <c r="CD81" s="16" t="s">
        <v>111</v>
      </c>
      <c r="CE81" s="3"/>
      <c r="CF81" s="3"/>
      <c r="CG81" s="3" t="s">
        <v>112</v>
      </c>
      <c r="CI81" s="3" t="s">
        <v>97</v>
      </c>
      <c r="CJ81" s="3" t="s">
        <v>467</v>
      </c>
      <c r="CK81" s="3" t="s">
        <v>114</v>
      </c>
      <c r="CL81" s="3" t="s">
        <v>115</v>
      </c>
      <c r="CM81" s="3" t="s">
        <v>116</v>
      </c>
      <c r="CN81" t="s">
        <v>117</v>
      </c>
      <c r="CO81" s="3" t="s">
        <v>118</v>
      </c>
      <c r="CP81" s="3" t="s">
        <v>139</v>
      </c>
      <c r="CQ81" s="3" t="s">
        <v>120</v>
      </c>
      <c r="CR81" s="16" t="s">
        <v>121</v>
      </c>
      <c r="CS81" s="16" t="s">
        <v>122</v>
      </c>
      <c r="CT81" s="16" t="s">
        <v>125</v>
      </c>
      <c r="CU81" s="16" t="s">
        <v>167</v>
      </c>
      <c r="CV81" s="16" t="s">
        <v>351</v>
      </c>
    </row>
    <row r="82" spans="1:100" ht="15" customHeight="1">
      <c r="A82" t="s">
        <v>639</v>
      </c>
      <c r="B82" s="3" t="s">
        <v>640</v>
      </c>
      <c r="C82" s="16" t="s">
        <v>97</v>
      </c>
      <c r="D82" s="43" t="s">
        <v>641</v>
      </c>
      <c r="E82" s="16" t="s">
        <v>97</v>
      </c>
      <c r="F82" s="131" t="s">
        <v>642</v>
      </c>
      <c r="I82" s="100" t="s">
        <v>342</v>
      </c>
      <c r="J82" s="16" t="s">
        <v>101</v>
      </c>
      <c r="K82" s="16"/>
      <c r="L82" s="3" t="s">
        <v>102</v>
      </c>
      <c r="M82" s="3" t="s">
        <v>103</v>
      </c>
      <c r="N82" s="3" t="s">
        <v>104</v>
      </c>
      <c r="O82" s="16" t="s">
        <v>105</v>
      </c>
      <c r="P82" s="3" t="s">
        <v>643</v>
      </c>
      <c r="Q82" s="3" t="s">
        <v>643</v>
      </c>
      <c r="R82" s="3" t="s">
        <v>643</v>
      </c>
      <c r="S82" t="s">
        <v>639</v>
      </c>
      <c r="T82" s="130" t="s">
        <v>465</v>
      </c>
      <c r="U82" s="51">
        <v>6</v>
      </c>
      <c r="V82" s="58"/>
      <c r="W82" s="58"/>
      <c r="X82" s="59" t="s">
        <v>108</v>
      </c>
      <c r="Y82" s="93">
        <f>IF(AD82=0, 0, IF(OR(H82="", H82&lt;&gt;0), 1, 0))</f>
        <v>1</v>
      </c>
      <c r="Z82" s="3">
        <v>0</v>
      </c>
      <c r="AA82" s="3" t="s">
        <v>644</v>
      </c>
      <c r="AD82" s="6">
        <f>ROUND((AG82*(1+AJ82)),2)</f>
        <v>160.25</v>
      </c>
      <c r="AE82" s="69">
        <v>182.61398287</v>
      </c>
      <c r="AF82" s="17">
        <f>(AE82*1)</f>
        <v>182.61398287</v>
      </c>
      <c r="AG82" s="6">
        <f>ROUND((AE82*AI82),2)</f>
        <v>118.7</v>
      </c>
      <c r="AH82" s="30" t="s">
        <v>110</v>
      </c>
      <c r="AI82" s="3">
        <v>0.65</v>
      </c>
      <c r="AJ82" s="18">
        <v>0.35</v>
      </c>
      <c r="AK82" s="6">
        <f>ROUND((AD82-(AD82*BG82)),2)</f>
        <v>158.65</v>
      </c>
      <c r="AL82" s="6">
        <f>ROUND((AD82-(AD82*BH82)),2)</f>
        <v>157.05000000000001</v>
      </c>
      <c r="AM82" s="6">
        <f>ROUND((AD82-(AD82*BI82)),2)</f>
        <v>155.44</v>
      </c>
      <c r="AN82" s="6">
        <f>ROUND((AD82-(AD82*BJ82)),2)</f>
        <v>155.44</v>
      </c>
      <c r="AO82" s="6">
        <f>ROUND((AD82-(AD82*BK82)),2)</f>
        <v>160.25</v>
      </c>
      <c r="BG82" s="12">
        <v>0.01</v>
      </c>
      <c r="BH82" s="12">
        <v>0.02</v>
      </c>
      <c r="BI82" s="12">
        <v>0.03</v>
      </c>
      <c r="BJ82" s="12">
        <v>0.03</v>
      </c>
      <c r="CC82" s="3" t="str">
        <f>IF(B82&lt;&gt;"",CONCATENATE(SUBSTITUTE(B82," ","-"),".jpg"),"")</f>
        <v>Allied-Moulded-AMU1206CCT.jpg</v>
      </c>
      <c r="CD82" s="16" t="s">
        <v>111</v>
      </c>
      <c r="CE82" s="3"/>
      <c r="CF82" s="3"/>
      <c r="CG82" s="3" t="s">
        <v>112</v>
      </c>
      <c r="CI82" s="3" t="s">
        <v>97</v>
      </c>
      <c r="CJ82" s="3" t="s">
        <v>467</v>
      </c>
      <c r="CK82" s="3" t="s">
        <v>114</v>
      </c>
      <c r="CL82" s="3" t="s">
        <v>115</v>
      </c>
      <c r="CM82" s="3" t="s">
        <v>116</v>
      </c>
      <c r="CN82" s="16" t="s">
        <v>132</v>
      </c>
      <c r="CO82" s="3" t="s">
        <v>118</v>
      </c>
      <c r="CP82" s="3" t="s">
        <v>139</v>
      </c>
      <c r="CQ82" s="3" t="s">
        <v>120</v>
      </c>
      <c r="CR82" s="16" t="s">
        <v>121</v>
      </c>
      <c r="CS82" s="16" t="s">
        <v>122</v>
      </c>
      <c r="CT82" s="16" t="s">
        <v>125</v>
      </c>
      <c r="CU82" s="16" t="s">
        <v>167</v>
      </c>
      <c r="CV82" s="16" t="s">
        <v>351</v>
      </c>
    </row>
    <row r="83" spans="1:100" ht="15" customHeight="1">
      <c r="A83" t="s">
        <v>645</v>
      </c>
      <c r="B83" s="3" t="s">
        <v>646</v>
      </c>
      <c r="C83" s="16" t="s">
        <v>97</v>
      </c>
      <c r="D83" s="39" t="s">
        <v>647</v>
      </c>
      <c r="E83" s="16" t="s">
        <v>97</v>
      </c>
      <c r="F83" s="131" t="s">
        <v>648</v>
      </c>
      <c r="I83" s="100" t="s">
        <v>342</v>
      </c>
      <c r="J83" s="16" t="s">
        <v>101</v>
      </c>
      <c r="K83" s="16"/>
      <c r="L83" s="3" t="s">
        <v>102</v>
      </c>
      <c r="M83" s="3" t="s">
        <v>103</v>
      </c>
      <c r="N83" s="3" t="s">
        <v>104</v>
      </c>
      <c r="O83" s="16" t="s">
        <v>105</v>
      </c>
      <c r="P83" s="3" t="s">
        <v>649</v>
      </c>
      <c r="Q83" s="3" t="s">
        <v>649</v>
      </c>
      <c r="R83" s="3" t="s">
        <v>649</v>
      </c>
      <c r="S83" t="s">
        <v>645</v>
      </c>
      <c r="T83" s="130" t="s">
        <v>465</v>
      </c>
      <c r="U83" s="50">
        <v>6</v>
      </c>
      <c r="V83" s="54"/>
      <c r="W83" s="54"/>
      <c r="X83" s="59" t="s">
        <v>108</v>
      </c>
      <c r="Y83" s="93">
        <f>IF(AD83=0, 0, IF(OR(H83="", H83&lt;&gt;0), 1, 0))</f>
        <v>1</v>
      </c>
      <c r="Z83" s="3">
        <v>0</v>
      </c>
      <c r="AA83" s="3" t="s">
        <v>650</v>
      </c>
      <c r="AD83" s="6">
        <f>ROUND((AG83*(1+AJ83)),2)</f>
        <v>163.88</v>
      </c>
      <c r="AE83" s="69">
        <v>186.74838123999999</v>
      </c>
      <c r="AF83" s="17">
        <f>(AE83*1)</f>
        <v>186.74838123999999</v>
      </c>
      <c r="AG83" s="6">
        <f>ROUND((AE83*AI83),2)</f>
        <v>121.39</v>
      </c>
      <c r="AH83" s="30" t="s">
        <v>110</v>
      </c>
      <c r="AI83" s="3">
        <v>0.65</v>
      </c>
      <c r="AJ83" s="18">
        <v>0.35</v>
      </c>
      <c r="AK83" s="6">
        <f>ROUND((AD83-(AD83*BG83)),2)</f>
        <v>162.24</v>
      </c>
      <c r="AL83" s="6">
        <f>ROUND((AD83-(AD83*BH83)),2)</f>
        <v>160.6</v>
      </c>
      <c r="AM83" s="6">
        <f>ROUND((AD83-(AD83*BI83)),2)</f>
        <v>158.96</v>
      </c>
      <c r="AN83" s="6">
        <f>ROUND((AD83-(AD83*BJ83)),2)</f>
        <v>158.96</v>
      </c>
      <c r="AO83" s="6">
        <f>ROUND((AD83-(AD83*BK83)),2)</f>
        <v>163.88</v>
      </c>
      <c r="BG83" s="12">
        <v>0.01</v>
      </c>
      <c r="BH83" s="12">
        <v>0.02</v>
      </c>
      <c r="BI83" s="12">
        <v>0.03</v>
      </c>
      <c r="BJ83" s="12">
        <v>0.03</v>
      </c>
      <c r="CC83" s="3" t="str">
        <f>IF(B83&lt;&gt;"",CONCATENATE(SUBSTITUTE(B83," ","-"),".jpg"),"")</f>
        <v>Allied-Moulded-AMU1206CCTF.jpg</v>
      </c>
      <c r="CD83" s="16" t="s">
        <v>111</v>
      </c>
      <c r="CE83" s="3"/>
      <c r="CF83" s="3"/>
      <c r="CG83" s="3" t="s">
        <v>112</v>
      </c>
      <c r="CI83" s="3" t="s">
        <v>97</v>
      </c>
      <c r="CJ83" s="3" t="s">
        <v>467</v>
      </c>
      <c r="CK83" s="3" t="s">
        <v>114</v>
      </c>
      <c r="CL83" s="3" t="s">
        <v>115</v>
      </c>
      <c r="CM83" s="3" t="s">
        <v>116</v>
      </c>
      <c r="CN83" s="16" t="s">
        <v>132</v>
      </c>
      <c r="CO83" s="3" t="s">
        <v>118</v>
      </c>
      <c r="CP83" s="3" t="s">
        <v>139</v>
      </c>
      <c r="CQ83" s="3" t="s">
        <v>120</v>
      </c>
      <c r="CR83" s="16" t="s">
        <v>121</v>
      </c>
      <c r="CS83" s="16" t="s">
        <v>122</v>
      </c>
      <c r="CT83" s="16" t="s">
        <v>125</v>
      </c>
      <c r="CU83" s="16" t="s">
        <v>167</v>
      </c>
      <c r="CV83" s="16" t="s">
        <v>351</v>
      </c>
    </row>
    <row r="84" spans="1:100" ht="15" customHeight="1">
      <c r="A84" t="s">
        <v>651</v>
      </c>
      <c r="B84" s="3" t="s">
        <v>652</v>
      </c>
      <c r="C84" s="16" t="s">
        <v>97</v>
      </c>
      <c r="D84" s="39" t="s">
        <v>653</v>
      </c>
      <c r="E84" s="16" t="s">
        <v>97</v>
      </c>
      <c r="F84" s="131" t="s">
        <v>654</v>
      </c>
      <c r="I84" s="100" t="s">
        <v>342</v>
      </c>
      <c r="J84" s="16" t="s">
        <v>101</v>
      </c>
      <c r="K84" s="16"/>
      <c r="L84" s="3" t="s">
        <v>102</v>
      </c>
      <c r="M84" s="3" t="s">
        <v>103</v>
      </c>
      <c r="N84" s="3" t="s">
        <v>104</v>
      </c>
      <c r="O84" s="16" t="s">
        <v>478</v>
      </c>
      <c r="P84" s="3" t="s">
        <v>655</v>
      </c>
      <c r="Q84" s="3" t="s">
        <v>655</v>
      </c>
      <c r="R84" s="3" t="s">
        <v>655</v>
      </c>
      <c r="S84" t="s">
        <v>651</v>
      </c>
      <c r="T84" s="130" t="s">
        <v>465</v>
      </c>
      <c r="U84" s="50">
        <v>5</v>
      </c>
      <c r="V84" s="54"/>
      <c r="W84" s="54"/>
      <c r="X84" s="59" t="s">
        <v>108</v>
      </c>
      <c r="Y84" s="93">
        <f>IF(AD84=0, 0, IF(OR(H84="", H84&lt;&gt;0), 1, 0))</f>
        <v>1</v>
      </c>
      <c r="Z84" s="3">
        <v>0</v>
      </c>
      <c r="AA84" s="3" t="s">
        <v>656</v>
      </c>
      <c r="AD84" s="6">
        <f>ROUND((AG84*(1+AJ84)),2)</f>
        <v>73.08</v>
      </c>
      <c r="AE84" s="69">
        <v>83.271034349999994</v>
      </c>
      <c r="AF84" s="17">
        <f>(AE84*1)</f>
        <v>83.271034349999994</v>
      </c>
      <c r="AG84" s="6">
        <f>ROUND((AE84*AI84),2)</f>
        <v>54.13</v>
      </c>
      <c r="AH84" s="30" t="s">
        <v>110</v>
      </c>
      <c r="AI84" s="3">
        <v>0.65</v>
      </c>
      <c r="AJ84" s="18">
        <v>0.35</v>
      </c>
      <c r="AK84" s="6">
        <f>ROUND((AD84-(AD84*BG84)),2)</f>
        <v>72.349999999999994</v>
      </c>
      <c r="AL84" s="6">
        <f>ROUND((AD84-(AD84*BH84)),2)</f>
        <v>71.62</v>
      </c>
      <c r="AM84" s="6">
        <f>ROUND((AD84-(AD84*BI84)),2)</f>
        <v>70.89</v>
      </c>
      <c r="AN84" s="6">
        <f>ROUND((AD84-(AD84*BJ84)),2)</f>
        <v>70.89</v>
      </c>
      <c r="AO84" s="6">
        <f>ROUND((AD84-(AD84*BK84)),2)</f>
        <v>73.08</v>
      </c>
      <c r="BG84" s="12">
        <v>0.01</v>
      </c>
      <c r="BH84" s="12">
        <v>0.02</v>
      </c>
      <c r="BI84" s="12">
        <v>0.03</v>
      </c>
      <c r="BJ84" s="12">
        <v>0.03</v>
      </c>
      <c r="CC84" s="3" t="str">
        <f>IF(B84&lt;&gt;"",CONCATENATE(SUBSTITUTE(B84," ","-"),".jpg"),"")</f>
        <v>Allied-Moulded-AMP1204CC.jpg</v>
      </c>
      <c r="CD84" s="16" t="s">
        <v>111</v>
      </c>
      <c r="CE84" s="3"/>
      <c r="CF84" s="3"/>
      <c r="CG84" s="3" t="s">
        <v>112</v>
      </c>
      <c r="CI84" s="3" t="s">
        <v>97</v>
      </c>
      <c r="CJ84" s="3" t="s">
        <v>481</v>
      </c>
      <c r="CK84" s="3" t="s">
        <v>114</v>
      </c>
      <c r="CL84" s="3" t="s">
        <v>115</v>
      </c>
      <c r="CM84" s="16"/>
      <c r="CN84" s="16" t="s">
        <v>349</v>
      </c>
      <c r="CO84" s="3" t="s">
        <v>482</v>
      </c>
      <c r="CP84" s="3" t="s">
        <v>139</v>
      </c>
      <c r="CQ84" s="3" t="s">
        <v>120</v>
      </c>
      <c r="CR84" s="16" t="s">
        <v>121</v>
      </c>
      <c r="CS84" s="3" t="s">
        <v>384</v>
      </c>
      <c r="CT84" s="16" t="s">
        <v>125</v>
      </c>
      <c r="CU84" s="16" t="s">
        <v>167</v>
      </c>
      <c r="CV84" s="16" t="s">
        <v>657</v>
      </c>
    </row>
    <row r="85" spans="1:100" ht="15" customHeight="1">
      <c r="A85" t="s">
        <v>658</v>
      </c>
      <c r="B85" s="3" t="s">
        <v>659</v>
      </c>
      <c r="C85" s="16" t="s">
        <v>97</v>
      </c>
      <c r="D85" s="40" t="s">
        <v>660</v>
      </c>
      <c r="E85" s="16" t="s">
        <v>97</v>
      </c>
      <c r="F85" s="131" t="s">
        <v>661</v>
      </c>
      <c r="I85" s="100" t="s">
        <v>342</v>
      </c>
      <c r="J85" s="16" t="s">
        <v>101</v>
      </c>
      <c r="K85" s="16"/>
      <c r="L85" s="3" t="s">
        <v>102</v>
      </c>
      <c r="M85" s="3" t="s">
        <v>103</v>
      </c>
      <c r="N85" s="3" t="s">
        <v>104</v>
      </c>
      <c r="O85" s="16" t="s">
        <v>478</v>
      </c>
      <c r="P85" s="3" t="s">
        <v>662</v>
      </c>
      <c r="Q85" s="3" t="s">
        <v>662</v>
      </c>
      <c r="R85" s="3" t="s">
        <v>662</v>
      </c>
      <c r="S85" t="s">
        <v>658</v>
      </c>
      <c r="T85" s="130" t="s">
        <v>465</v>
      </c>
      <c r="U85" s="51">
        <v>5</v>
      </c>
      <c r="V85" s="58"/>
      <c r="W85" s="58"/>
      <c r="X85" s="59" t="s">
        <v>108</v>
      </c>
      <c r="Y85" s="93">
        <f>IF(AD85=0, 0, IF(OR(H85="", H85&lt;&gt;0), 1, 0))</f>
        <v>1</v>
      </c>
      <c r="Z85" s="3">
        <v>0</v>
      </c>
      <c r="AA85" s="3" t="s">
        <v>663</v>
      </c>
      <c r="AD85" s="6">
        <f>ROUND((AG85*(1+AJ85)),2)</f>
        <v>76.72</v>
      </c>
      <c r="AE85" s="69">
        <v>87.431409449999975</v>
      </c>
      <c r="AF85" s="17">
        <f>(AE85*1)</f>
        <v>87.431409449999975</v>
      </c>
      <c r="AG85" s="6">
        <f>ROUND((AE85*AI85),2)</f>
        <v>56.83</v>
      </c>
      <c r="AH85" s="30" t="s">
        <v>110</v>
      </c>
      <c r="AI85" s="3">
        <v>0.65</v>
      </c>
      <c r="AJ85" s="18">
        <v>0.35</v>
      </c>
      <c r="AK85" s="6">
        <f>ROUND((AD85-(AD85*BG85)),2)</f>
        <v>75.95</v>
      </c>
      <c r="AL85" s="6">
        <f>ROUND((AD85-(AD85*BH85)),2)</f>
        <v>75.19</v>
      </c>
      <c r="AM85" s="6">
        <f>ROUND((AD85-(AD85*BI85)),2)</f>
        <v>74.42</v>
      </c>
      <c r="AN85" s="6">
        <f>ROUND((AD85-(AD85*BJ85)),2)</f>
        <v>74.42</v>
      </c>
      <c r="AO85" s="6">
        <f>ROUND((AD85-(AD85*BK85)),2)</f>
        <v>76.72</v>
      </c>
      <c r="BG85" s="12">
        <v>0.01</v>
      </c>
      <c r="BH85" s="12">
        <v>0.02</v>
      </c>
      <c r="BI85" s="12">
        <v>0.03</v>
      </c>
      <c r="BJ85" s="12">
        <v>0.03</v>
      </c>
      <c r="CC85" s="3" t="str">
        <f>IF(B85&lt;&gt;"",CONCATENATE(SUBSTITUTE(B85," ","-"),".jpg"),"")</f>
        <v>Allied-Moulded-AMP1204CCF.jpg</v>
      </c>
      <c r="CD85" s="16" t="s">
        <v>111</v>
      </c>
      <c r="CE85" s="3"/>
      <c r="CF85" s="3"/>
      <c r="CG85" s="3" t="s">
        <v>112</v>
      </c>
      <c r="CI85" s="3" t="s">
        <v>97</v>
      </c>
      <c r="CJ85" s="3" t="s">
        <v>481</v>
      </c>
      <c r="CK85" s="3" t="s">
        <v>114</v>
      </c>
      <c r="CL85" s="3" t="s">
        <v>115</v>
      </c>
      <c r="CM85" s="16"/>
      <c r="CN85" s="16" t="s">
        <v>349</v>
      </c>
      <c r="CO85" s="3" t="s">
        <v>482</v>
      </c>
      <c r="CP85" s="3" t="s">
        <v>139</v>
      </c>
      <c r="CQ85" s="3" t="s">
        <v>120</v>
      </c>
      <c r="CR85" s="16" t="s">
        <v>121</v>
      </c>
      <c r="CS85" s="3" t="s">
        <v>384</v>
      </c>
      <c r="CT85" s="16" t="s">
        <v>125</v>
      </c>
      <c r="CU85" s="16" t="s">
        <v>167</v>
      </c>
      <c r="CV85" s="16" t="s">
        <v>657</v>
      </c>
    </row>
    <row r="86" spans="1:100" ht="15" customHeight="1">
      <c r="A86" t="s">
        <v>664</v>
      </c>
      <c r="B86" s="3" t="s">
        <v>665</v>
      </c>
      <c r="C86" s="16" t="s">
        <v>97</v>
      </c>
      <c r="D86" s="39" t="s">
        <v>666</v>
      </c>
      <c r="E86" s="16" t="s">
        <v>97</v>
      </c>
      <c r="F86" s="131" t="s">
        <v>667</v>
      </c>
      <c r="I86" s="100" t="s">
        <v>342</v>
      </c>
      <c r="J86" s="16" t="s">
        <v>101</v>
      </c>
      <c r="K86" s="16"/>
      <c r="L86" s="3" t="s">
        <v>102</v>
      </c>
      <c r="M86" s="3" t="s">
        <v>103</v>
      </c>
      <c r="N86" s="3" t="s">
        <v>104</v>
      </c>
      <c r="O86" s="16" t="s">
        <v>478</v>
      </c>
      <c r="P86" s="3" t="s">
        <v>668</v>
      </c>
      <c r="Q86" s="3" t="s">
        <v>668</v>
      </c>
      <c r="R86" s="3" t="s">
        <v>668</v>
      </c>
      <c r="S86" t="s">
        <v>664</v>
      </c>
      <c r="T86" s="130" t="s">
        <v>465</v>
      </c>
      <c r="U86" s="50">
        <v>5</v>
      </c>
      <c r="V86" s="54"/>
      <c r="W86" s="54"/>
      <c r="X86" s="59" t="s">
        <v>108</v>
      </c>
      <c r="Y86" s="93">
        <f>IF(AD86=0, 0, IF(OR(H86="", H86&lt;&gt;0), 1, 0))</f>
        <v>1</v>
      </c>
      <c r="Z86" s="3">
        <v>0</v>
      </c>
      <c r="AA86" s="3" t="s">
        <v>669</v>
      </c>
      <c r="AD86" s="6">
        <f>ROUND((AG86*(1+AJ86)),2)</f>
        <v>79.42</v>
      </c>
      <c r="AE86" s="69">
        <v>90.511993950000004</v>
      </c>
      <c r="AF86" s="17">
        <f>(AE86*1)</f>
        <v>90.511993950000004</v>
      </c>
      <c r="AG86" s="6">
        <f>ROUND((AE86*AI86),2)</f>
        <v>58.83</v>
      </c>
      <c r="AH86" s="30" t="s">
        <v>110</v>
      </c>
      <c r="AI86" s="3">
        <v>0.65</v>
      </c>
      <c r="AJ86" s="18">
        <v>0.35</v>
      </c>
      <c r="AK86" s="6">
        <f>ROUND((AD86-(AD86*BG86)),2)</f>
        <v>78.63</v>
      </c>
      <c r="AL86" s="6">
        <f>ROUND((AD86-(AD86*BH86)),2)</f>
        <v>77.83</v>
      </c>
      <c r="AM86" s="6">
        <f>ROUND((AD86-(AD86*BI86)),2)</f>
        <v>77.040000000000006</v>
      </c>
      <c r="AN86" s="6">
        <f>ROUND((AD86-(AD86*BJ86)),2)</f>
        <v>77.040000000000006</v>
      </c>
      <c r="AO86" s="6">
        <f>ROUND((AD86-(AD86*BK86)),2)</f>
        <v>79.42</v>
      </c>
      <c r="BG86" s="12">
        <v>0.01</v>
      </c>
      <c r="BH86" s="12">
        <v>0.02</v>
      </c>
      <c r="BI86" s="12">
        <v>0.03</v>
      </c>
      <c r="BJ86" s="12">
        <v>0.03</v>
      </c>
      <c r="CC86" s="3" t="str">
        <f>IF(B86&lt;&gt;"",CONCATENATE(SUBSTITUTE(B86," ","-"),".jpg"),"")</f>
        <v>Allied-Moulded-AMP1206CC.jpg</v>
      </c>
      <c r="CD86" s="16" t="s">
        <v>111</v>
      </c>
      <c r="CE86" s="3"/>
      <c r="CF86" s="3"/>
      <c r="CG86" s="3" t="s">
        <v>112</v>
      </c>
      <c r="CI86" s="3" t="s">
        <v>97</v>
      </c>
      <c r="CJ86" s="3" t="s">
        <v>481</v>
      </c>
      <c r="CK86" s="3" t="s">
        <v>114</v>
      </c>
      <c r="CL86" s="3" t="s">
        <v>115</v>
      </c>
      <c r="CM86" s="16"/>
      <c r="CN86" s="16" t="s">
        <v>349</v>
      </c>
      <c r="CO86" s="3" t="s">
        <v>482</v>
      </c>
      <c r="CP86" s="3" t="s">
        <v>139</v>
      </c>
      <c r="CQ86" s="3" t="s">
        <v>120</v>
      </c>
      <c r="CR86" s="16" t="s">
        <v>121</v>
      </c>
      <c r="CS86" s="3" t="s">
        <v>384</v>
      </c>
      <c r="CT86" s="16" t="s">
        <v>125</v>
      </c>
      <c r="CU86" s="16" t="s">
        <v>167</v>
      </c>
      <c r="CV86" s="16" t="s">
        <v>351</v>
      </c>
    </row>
    <row r="87" spans="1:100" ht="15" customHeight="1">
      <c r="A87" t="s">
        <v>670</v>
      </c>
      <c r="B87" s="3" t="s">
        <v>671</v>
      </c>
      <c r="C87" s="16" t="s">
        <v>97</v>
      </c>
      <c r="D87" s="40" t="s">
        <v>672</v>
      </c>
      <c r="E87" s="16" t="s">
        <v>97</v>
      </c>
      <c r="F87" s="131" t="s">
        <v>673</v>
      </c>
      <c r="I87" s="100" t="s">
        <v>342</v>
      </c>
      <c r="J87" s="16" t="s">
        <v>101</v>
      </c>
      <c r="K87" s="16"/>
      <c r="L87" s="3" t="s">
        <v>102</v>
      </c>
      <c r="M87" s="3" t="s">
        <v>103</v>
      </c>
      <c r="N87" s="3" t="s">
        <v>104</v>
      </c>
      <c r="O87" s="16" t="s">
        <v>478</v>
      </c>
      <c r="P87" s="3" t="s">
        <v>674</v>
      </c>
      <c r="Q87" s="3" t="s">
        <v>674</v>
      </c>
      <c r="R87" s="3" t="s">
        <v>674</v>
      </c>
      <c r="S87" t="s">
        <v>670</v>
      </c>
      <c r="T87" s="130" t="s">
        <v>465</v>
      </c>
      <c r="U87" s="51">
        <v>5</v>
      </c>
      <c r="V87" s="58"/>
      <c r="W87" s="58"/>
      <c r="X87" s="59" t="s">
        <v>108</v>
      </c>
      <c r="Y87" s="93">
        <f>IF(AD87=0, 0, IF(OR(H87="", H87&lt;&gt;0), 1, 0))</f>
        <v>1</v>
      </c>
      <c r="Z87" s="3">
        <v>0</v>
      </c>
      <c r="AA87" s="3" t="s">
        <v>675</v>
      </c>
      <c r="AD87" s="6">
        <f>ROUND((AG87*(1+AJ87)),2)</f>
        <v>83.39</v>
      </c>
      <c r="AE87" s="69">
        <v>95.037593700000002</v>
      </c>
      <c r="AF87" s="17">
        <f>(AE87*1)</f>
        <v>95.037593700000002</v>
      </c>
      <c r="AG87" s="6">
        <f>ROUND((AE87*AI87),2)</f>
        <v>61.77</v>
      </c>
      <c r="AH87" s="30" t="s">
        <v>110</v>
      </c>
      <c r="AI87" s="3">
        <v>0.65</v>
      </c>
      <c r="AJ87" s="18">
        <v>0.35</v>
      </c>
      <c r="AK87" s="6">
        <f>ROUND((AD87-(AD87*BG87)),2)</f>
        <v>82.56</v>
      </c>
      <c r="AL87" s="6">
        <f>ROUND((AD87-(AD87*BH87)),2)</f>
        <v>81.72</v>
      </c>
      <c r="AM87" s="6">
        <f>ROUND((AD87-(AD87*BI87)),2)</f>
        <v>80.89</v>
      </c>
      <c r="AN87" s="6">
        <f>ROUND((AD87-(AD87*BJ87)),2)</f>
        <v>80.89</v>
      </c>
      <c r="AO87" s="6">
        <f>ROUND((AD87-(AD87*BK87)),2)</f>
        <v>83.39</v>
      </c>
      <c r="BG87" s="12">
        <v>0.01</v>
      </c>
      <c r="BH87" s="12">
        <v>0.02</v>
      </c>
      <c r="BI87" s="12">
        <v>0.03</v>
      </c>
      <c r="BJ87" s="12">
        <v>0.03</v>
      </c>
      <c r="CC87" s="3" t="str">
        <f>IF(B87&lt;&gt;"",CONCATENATE(SUBSTITUTE(B87," ","-"),".jpg"),"")</f>
        <v>Allied-Moulded-AMP1206CCF.jpg</v>
      </c>
      <c r="CD87" s="16" t="s">
        <v>111</v>
      </c>
      <c r="CE87" s="3"/>
      <c r="CF87" s="3"/>
      <c r="CG87" s="3" t="s">
        <v>112</v>
      </c>
      <c r="CI87" s="3" t="s">
        <v>97</v>
      </c>
      <c r="CJ87" s="3" t="s">
        <v>481</v>
      </c>
      <c r="CK87" s="3" t="s">
        <v>114</v>
      </c>
      <c r="CL87" s="3" t="s">
        <v>115</v>
      </c>
      <c r="CM87" s="16"/>
      <c r="CN87" s="16" t="s">
        <v>349</v>
      </c>
      <c r="CO87" s="3" t="s">
        <v>482</v>
      </c>
      <c r="CP87" s="3" t="s">
        <v>139</v>
      </c>
      <c r="CQ87" s="3" t="s">
        <v>120</v>
      </c>
      <c r="CR87" s="16" t="s">
        <v>121</v>
      </c>
      <c r="CS87" s="3" t="s">
        <v>384</v>
      </c>
      <c r="CT87" s="16" t="s">
        <v>125</v>
      </c>
      <c r="CU87" s="16" t="s">
        <v>167</v>
      </c>
      <c r="CV87" s="16" t="s">
        <v>351</v>
      </c>
    </row>
    <row r="88" spans="1:100" ht="15" customHeight="1">
      <c r="A88" t="s">
        <v>676</v>
      </c>
      <c r="B88" s="3" t="s">
        <v>677</v>
      </c>
      <c r="C88" s="16" t="s">
        <v>97</v>
      </c>
      <c r="D88" s="40" t="s">
        <v>678</v>
      </c>
      <c r="E88" s="16" t="s">
        <v>97</v>
      </c>
      <c r="F88" s="131" t="s">
        <v>679</v>
      </c>
      <c r="I88" s="100" t="s">
        <v>342</v>
      </c>
      <c r="J88" s="16" t="s">
        <v>101</v>
      </c>
      <c r="K88" s="16"/>
      <c r="L88" s="3" t="s">
        <v>102</v>
      </c>
      <c r="M88" s="3" t="s">
        <v>103</v>
      </c>
      <c r="N88" s="3" t="s">
        <v>104</v>
      </c>
      <c r="O88" s="16" t="s">
        <v>478</v>
      </c>
      <c r="P88" s="3" t="s">
        <v>680</v>
      </c>
      <c r="Q88" s="3" t="s">
        <v>680</v>
      </c>
      <c r="R88" s="3" t="s">
        <v>680</v>
      </c>
      <c r="S88" t="s">
        <v>676</v>
      </c>
      <c r="T88" s="130" t="s">
        <v>465</v>
      </c>
      <c r="U88" s="51">
        <v>5</v>
      </c>
      <c r="V88" s="58"/>
      <c r="W88" s="58"/>
      <c r="X88" s="59" t="s">
        <v>108</v>
      </c>
      <c r="Y88" s="93">
        <f>IF(AD88=0, 0, IF(OR(H88="", H88&lt;&gt;0), 1, 0))</f>
        <v>1</v>
      </c>
      <c r="Z88" s="3">
        <v>0</v>
      </c>
      <c r="AA88" s="3" t="s">
        <v>681</v>
      </c>
      <c r="AD88" s="6">
        <f>ROUND((AG88*(1+AJ88)),2)</f>
        <v>77.98</v>
      </c>
      <c r="AE88" s="69">
        <v>88.860546600000006</v>
      </c>
      <c r="AF88" s="17">
        <f>(AE88*1)</f>
        <v>88.860546600000006</v>
      </c>
      <c r="AG88" s="6">
        <f>ROUND((AE88*AI88),2)</f>
        <v>57.76</v>
      </c>
      <c r="AH88" s="30" t="s">
        <v>110</v>
      </c>
      <c r="AI88" s="3">
        <v>0.65</v>
      </c>
      <c r="AJ88" s="18">
        <v>0.35</v>
      </c>
      <c r="AK88" s="6">
        <f>ROUND((AD88-(AD88*BG88)),2)</f>
        <v>77.2</v>
      </c>
      <c r="AL88" s="6">
        <f>ROUND((AD88-(AD88*BH88)),2)</f>
        <v>76.42</v>
      </c>
      <c r="AM88" s="6">
        <f>ROUND((AD88-(AD88*BI88)),2)</f>
        <v>75.64</v>
      </c>
      <c r="AN88" s="6">
        <f>ROUND((AD88-(AD88*BJ88)),2)</f>
        <v>75.64</v>
      </c>
      <c r="AO88" s="6">
        <f>ROUND((AD88-(AD88*BK88)),2)</f>
        <v>77.98</v>
      </c>
      <c r="BG88" s="12">
        <v>0.01</v>
      </c>
      <c r="BH88" s="12">
        <v>0.02</v>
      </c>
      <c r="BI88" s="12">
        <v>0.03</v>
      </c>
      <c r="BJ88" s="12">
        <v>0.03</v>
      </c>
      <c r="CC88" s="3" t="str">
        <f>IF(B88&lt;&gt;"",CONCATENATE(SUBSTITUTE(B88," ","-"),".jpg"),"")</f>
        <v>Allied-Moulded-AMP1204CCH.jpg</v>
      </c>
      <c r="CD88" s="16" t="s">
        <v>111</v>
      </c>
      <c r="CE88" s="3"/>
      <c r="CF88" s="3"/>
      <c r="CG88" s="3" t="s">
        <v>112</v>
      </c>
      <c r="CI88" s="3" t="s">
        <v>97</v>
      </c>
      <c r="CJ88" s="3" t="s">
        <v>481</v>
      </c>
      <c r="CK88" s="3" t="s">
        <v>114</v>
      </c>
      <c r="CL88" s="3" t="s">
        <v>115</v>
      </c>
      <c r="CM88" s="3" t="s">
        <v>116</v>
      </c>
      <c r="CN88" s="16" t="s">
        <v>349</v>
      </c>
      <c r="CO88" s="3" t="s">
        <v>482</v>
      </c>
      <c r="CP88" s="3" t="s">
        <v>139</v>
      </c>
      <c r="CQ88" s="3" t="s">
        <v>120</v>
      </c>
      <c r="CR88" s="16" t="s">
        <v>121</v>
      </c>
      <c r="CS88" s="3" t="s">
        <v>384</v>
      </c>
      <c r="CT88" s="16" t="s">
        <v>125</v>
      </c>
      <c r="CU88" s="16" t="s">
        <v>167</v>
      </c>
      <c r="CV88" s="16" t="s">
        <v>657</v>
      </c>
    </row>
    <row r="89" spans="1:100" ht="15" customHeight="1">
      <c r="A89" t="s">
        <v>682</v>
      </c>
      <c r="B89" s="3" t="s">
        <v>683</v>
      </c>
      <c r="C89" s="16" t="s">
        <v>97</v>
      </c>
      <c r="D89" s="39" t="s">
        <v>684</v>
      </c>
      <c r="E89" s="16" t="s">
        <v>97</v>
      </c>
      <c r="F89" s="131" t="s">
        <v>685</v>
      </c>
      <c r="I89" s="100" t="s">
        <v>342</v>
      </c>
      <c r="J89" s="16" t="s">
        <v>101</v>
      </c>
      <c r="K89" s="16"/>
      <c r="L89" s="3" t="s">
        <v>102</v>
      </c>
      <c r="M89" s="3" t="s">
        <v>103</v>
      </c>
      <c r="N89" s="3" t="s">
        <v>104</v>
      </c>
      <c r="O89" s="16" t="s">
        <v>478</v>
      </c>
      <c r="P89" s="3" t="s">
        <v>686</v>
      </c>
      <c r="Q89" s="3" t="s">
        <v>686</v>
      </c>
      <c r="R89" s="3" t="s">
        <v>686</v>
      </c>
      <c r="S89" t="s">
        <v>682</v>
      </c>
      <c r="T89" s="130" t="s">
        <v>465</v>
      </c>
      <c r="U89" s="50">
        <v>5</v>
      </c>
      <c r="V89" s="54"/>
      <c r="W89" s="54"/>
      <c r="X89" s="59" t="s">
        <v>108</v>
      </c>
      <c r="Y89" s="93">
        <f>IF(AD89=0, 0, IF(OR(H89="", H89&lt;&gt;0), 1, 0))</f>
        <v>1</v>
      </c>
      <c r="Z89" s="3">
        <v>0</v>
      </c>
      <c r="AA89" s="3" t="s">
        <v>687</v>
      </c>
      <c r="AD89" s="6">
        <f>ROUND((AG89*(1+AJ89)),2)</f>
        <v>81.88</v>
      </c>
      <c r="AE89" s="69">
        <v>93.306749549999992</v>
      </c>
      <c r="AF89" s="17">
        <f>(AE89*1)</f>
        <v>93.306749549999992</v>
      </c>
      <c r="AG89" s="6">
        <f>ROUND((AE89*AI89),2)</f>
        <v>60.65</v>
      </c>
      <c r="AH89" s="30" t="s">
        <v>110</v>
      </c>
      <c r="AI89" s="3">
        <v>0.65</v>
      </c>
      <c r="AJ89" s="18">
        <v>0.35</v>
      </c>
      <c r="AK89" s="6">
        <f>ROUND((AD89-(AD89*BG89)),2)</f>
        <v>81.06</v>
      </c>
      <c r="AL89" s="6">
        <f>ROUND((AD89-(AD89*BH89)),2)</f>
        <v>80.239999999999995</v>
      </c>
      <c r="AM89" s="6">
        <f>ROUND((AD89-(AD89*BI89)),2)</f>
        <v>79.42</v>
      </c>
      <c r="AN89" s="6">
        <f>ROUND((AD89-(AD89*BJ89)),2)</f>
        <v>79.42</v>
      </c>
      <c r="AO89" s="6">
        <f>ROUND((AD89-(AD89*BK89)),2)</f>
        <v>81.88</v>
      </c>
      <c r="BG89" s="12">
        <v>0.01</v>
      </c>
      <c r="BH89" s="12">
        <v>0.02</v>
      </c>
      <c r="BI89" s="12">
        <v>0.03</v>
      </c>
      <c r="BJ89" s="12">
        <v>0.03</v>
      </c>
      <c r="CC89" s="3" t="str">
        <f>IF(B89&lt;&gt;"",CONCATENATE(SUBSTITUTE(B89," ","-"),".jpg"),"")</f>
        <v>Allied-Moulded-AMP1204CCHF.jpg</v>
      </c>
      <c r="CD89" s="16" t="s">
        <v>111</v>
      </c>
      <c r="CE89" s="3"/>
      <c r="CF89" s="3"/>
      <c r="CG89" s="3" t="s">
        <v>112</v>
      </c>
      <c r="CI89" s="3" t="s">
        <v>97</v>
      </c>
      <c r="CJ89" s="3" t="s">
        <v>481</v>
      </c>
      <c r="CK89" s="3" t="s">
        <v>114</v>
      </c>
      <c r="CL89" s="3" t="s">
        <v>115</v>
      </c>
      <c r="CM89" s="3" t="s">
        <v>116</v>
      </c>
      <c r="CN89" s="16" t="s">
        <v>349</v>
      </c>
      <c r="CO89" s="3" t="s">
        <v>482</v>
      </c>
      <c r="CP89" s="3" t="s">
        <v>139</v>
      </c>
      <c r="CQ89" s="3" t="s">
        <v>120</v>
      </c>
      <c r="CR89" s="16" t="s">
        <v>121</v>
      </c>
      <c r="CS89" s="3" t="s">
        <v>384</v>
      </c>
      <c r="CT89" s="16" t="s">
        <v>125</v>
      </c>
      <c r="CU89" s="16" t="s">
        <v>167</v>
      </c>
      <c r="CV89" s="16" t="s">
        <v>657</v>
      </c>
    </row>
    <row r="90" spans="1:100" ht="15" customHeight="1">
      <c r="A90" t="s">
        <v>688</v>
      </c>
      <c r="B90" s="3" t="s">
        <v>689</v>
      </c>
      <c r="C90" s="16" t="s">
        <v>97</v>
      </c>
      <c r="D90" s="40" t="s">
        <v>690</v>
      </c>
      <c r="E90" s="16" t="s">
        <v>97</v>
      </c>
      <c r="F90" s="131" t="s">
        <v>691</v>
      </c>
      <c r="I90" s="100" t="s">
        <v>342</v>
      </c>
      <c r="J90" s="16" t="s">
        <v>101</v>
      </c>
      <c r="K90" s="16"/>
      <c r="L90" s="3" t="s">
        <v>102</v>
      </c>
      <c r="M90" s="3" t="s">
        <v>103</v>
      </c>
      <c r="N90" s="3" t="s">
        <v>104</v>
      </c>
      <c r="O90" s="16" t="s">
        <v>478</v>
      </c>
      <c r="P90" s="3" t="s">
        <v>692</v>
      </c>
      <c r="Q90" s="3" t="s">
        <v>692</v>
      </c>
      <c r="R90" s="3" t="s">
        <v>692</v>
      </c>
      <c r="S90" t="s">
        <v>688</v>
      </c>
      <c r="T90" s="130" t="s">
        <v>465</v>
      </c>
      <c r="U90" s="51">
        <v>5</v>
      </c>
      <c r="V90" s="58"/>
      <c r="W90" s="58"/>
      <c r="X90" s="59" t="s">
        <v>108</v>
      </c>
      <c r="Y90" s="93">
        <f>IF(AD90=0, 0, IF(OR(H90="", H90&lt;&gt;0), 1, 0))</f>
        <v>1</v>
      </c>
      <c r="Z90" s="3">
        <v>0</v>
      </c>
      <c r="AA90" s="3" t="s">
        <v>693</v>
      </c>
      <c r="AD90" s="6">
        <f>ROUND((AG90*(1+AJ90)),2)</f>
        <v>84.77</v>
      </c>
      <c r="AE90" s="69">
        <v>96.593762999999996</v>
      </c>
      <c r="AF90" s="17">
        <f>(AE90*1)</f>
        <v>96.593762999999996</v>
      </c>
      <c r="AG90" s="6">
        <f>ROUND((AE90*AI90),2)</f>
        <v>62.79</v>
      </c>
      <c r="AH90" s="30" t="s">
        <v>110</v>
      </c>
      <c r="AI90" s="3">
        <v>0.65</v>
      </c>
      <c r="AJ90" s="18">
        <v>0.35</v>
      </c>
      <c r="AK90" s="6">
        <f>ROUND((AD90-(AD90*BG90)),2)</f>
        <v>83.92</v>
      </c>
      <c r="AL90" s="6">
        <f>ROUND((AD90-(AD90*BH90)),2)</f>
        <v>83.07</v>
      </c>
      <c r="AM90" s="6">
        <f>ROUND((AD90-(AD90*BI90)),2)</f>
        <v>82.23</v>
      </c>
      <c r="AN90" s="6">
        <f>ROUND((AD90-(AD90*BJ90)),2)</f>
        <v>82.23</v>
      </c>
      <c r="AO90" s="6">
        <f>ROUND((AD90-(AD90*BK90)),2)</f>
        <v>84.77</v>
      </c>
      <c r="BG90" s="12">
        <v>0.01</v>
      </c>
      <c r="BH90" s="12">
        <v>0.02</v>
      </c>
      <c r="BI90" s="12">
        <v>0.03</v>
      </c>
      <c r="BJ90" s="12">
        <v>0.03</v>
      </c>
      <c r="CC90" s="3" t="str">
        <f>IF(B90&lt;&gt;"",CONCATENATE(SUBSTITUTE(B90," ","-"),".jpg"),"")</f>
        <v>Allied-Moulded-AMP1206CCH.jpg</v>
      </c>
      <c r="CD90" s="16" t="s">
        <v>111</v>
      </c>
      <c r="CE90" s="3"/>
      <c r="CF90" s="3"/>
      <c r="CG90" s="3" t="s">
        <v>112</v>
      </c>
      <c r="CI90" s="3" t="s">
        <v>97</v>
      </c>
      <c r="CJ90" s="3" t="s">
        <v>481</v>
      </c>
      <c r="CK90" s="3" t="s">
        <v>114</v>
      </c>
      <c r="CL90" s="3" t="s">
        <v>115</v>
      </c>
      <c r="CM90" s="3" t="s">
        <v>116</v>
      </c>
      <c r="CN90" s="16" t="s">
        <v>349</v>
      </c>
      <c r="CO90" s="3" t="s">
        <v>482</v>
      </c>
      <c r="CP90" s="3" t="s">
        <v>139</v>
      </c>
      <c r="CQ90" s="3" t="s">
        <v>120</v>
      </c>
      <c r="CR90" s="16" t="s">
        <v>121</v>
      </c>
      <c r="CS90" s="3" t="s">
        <v>384</v>
      </c>
      <c r="CT90" s="16" t="s">
        <v>125</v>
      </c>
      <c r="CU90" s="16" t="s">
        <v>167</v>
      </c>
      <c r="CV90" s="16" t="s">
        <v>351</v>
      </c>
    </row>
    <row r="91" spans="1:100" ht="15" customHeight="1">
      <c r="A91" t="s">
        <v>694</v>
      </c>
      <c r="B91" s="3" t="s">
        <v>695</v>
      </c>
      <c r="C91" s="16" t="s">
        <v>97</v>
      </c>
      <c r="D91" s="39" t="s">
        <v>696</v>
      </c>
      <c r="E91" s="16" t="s">
        <v>97</v>
      </c>
      <c r="F91" s="131" t="s">
        <v>697</v>
      </c>
      <c r="I91" s="100" t="s">
        <v>342</v>
      </c>
      <c r="J91" s="16" t="s">
        <v>101</v>
      </c>
      <c r="K91" s="16"/>
      <c r="L91" s="3" t="s">
        <v>102</v>
      </c>
      <c r="M91" s="3" t="s">
        <v>103</v>
      </c>
      <c r="N91" s="3" t="s">
        <v>104</v>
      </c>
      <c r="O91" s="16" t="s">
        <v>478</v>
      </c>
      <c r="P91" s="3" t="s">
        <v>698</v>
      </c>
      <c r="Q91" s="3" t="s">
        <v>698</v>
      </c>
      <c r="R91" s="3" t="s">
        <v>698</v>
      </c>
      <c r="S91" t="s">
        <v>694</v>
      </c>
      <c r="T91" s="130" t="s">
        <v>465</v>
      </c>
      <c r="U91" s="50">
        <v>5</v>
      </c>
      <c r="V91" s="54"/>
      <c r="W91" s="54"/>
      <c r="X91" s="59" t="s">
        <v>108</v>
      </c>
      <c r="Y91" s="93">
        <f>IF(AD91=0, 0, IF(OR(H91="", H91&lt;&gt;0), 1, 0))</f>
        <v>1</v>
      </c>
      <c r="Z91" s="3">
        <v>0</v>
      </c>
      <c r="AA91" s="3" t="s">
        <v>699</v>
      </c>
      <c r="AD91" s="6">
        <f>ROUND((AG91*(1+AJ91)),2)</f>
        <v>88.99</v>
      </c>
      <c r="AE91" s="69">
        <v>101.4210708</v>
      </c>
      <c r="AF91" s="17">
        <f>(AE91*1)</f>
        <v>101.4210708</v>
      </c>
      <c r="AG91" s="6">
        <f>ROUND((AE91*AI91),2)</f>
        <v>65.92</v>
      </c>
      <c r="AH91" s="30" t="s">
        <v>110</v>
      </c>
      <c r="AI91" s="3">
        <v>0.65</v>
      </c>
      <c r="AJ91" s="18">
        <v>0.35</v>
      </c>
      <c r="AK91" s="6">
        <f>ROUND((AD91-(AD91*BG91)),2)</f>
        <v>88.1</v>
      </c>
      <c r="AL91" s="6">
        <f>ROUND((AD91-(AD91*BH91)),2)</f>
        <v>87.21</v>
      </c>
      <c r="AM91" s="6">
        <f>ROUND((AD91-(AD91*BI91)),2)</f>
        <v>86.32</v>
      </c>
      <c r="AN91" s="6">
        <f>ROUND((AD91-(AD91*BJ91)),2)</f>
        <v>86.32</v>
      </c>
      <c r="AO91" s="6">
        <f>ROUND((AD91-(AD91*BK91)),2)</f>
        <v>88.99</v>
      </c>
      <c r="BG91" s="12">
        <v>0.01</v>
      </c>
      <c r="BH91" s="12">
        <v>0.02</v>
      </c>
      <c r="BI91" s="12">
        <v>0.03</v>
      </c>
      <c r="BJ91" s="12">
        <v>0.03</v>
      </c>
      <c r="CC91" s="3" t="str">
        <f>IF(B91&lt;&gt;"",CONCATENATE(SUBSTITUTE(B91," ","-"),".jpg"),"")</f>
        <v>Allied-Moulded-AMP1206CCHF.jpg</v>
      </c>
      <c r="CD91" s="16" t="s">
        <v>111</v>
      </c>
      <c r="CE91" s="3"/>
      <c r="CF91" s="3"/>
      <c r="CG91" s="3" t="s">
        <v>112</v>
      </c>
      <c r="CI91" s="3" t="s">
        <v>97</v>
      </c>
      <c r="CJ91" s="3" t="s">
        <v>481</v>
      </c>
      <c r="CK91" s="3" t="s">
        <v>114</v>
      </c>
      <c r="CL91" s="3" t="s">
        <v>115</v>
      </c>
      <c r="CM91" s="3" t="s">
        <v>116</v>
      </c>
      <c r="CN91" s="16" t="s">
        <v>349</v>
      </c>
      <c r="CO91" s="3" t="s">
        <v>482</v>
      </c>
      <c r="CP91" s="3" t="s">
        <v>139</v>
      </c>
      <c r="CQ91" s="3" t="s">
        <v>120</v>
      </c>
      <c r="CR91" s="16" t="s">
        <v>121</v>
      </c>
      <c r="CS91" s="3" t="s">
        <v>384</v>
      </c>
      <c r="CT91" s="16" t="s">
        <v>125</v>
      </c>
      <c r="CU91" s="16" t="s">
        <v>167</v>
      </c>
      <c r="CV91" s="16" t="s">
        <v>351</v>
      </c>
    </row>
    <row r="92" spans="1:100" ht="15" customHeight="1">
      <c r="A92" t="s">
        <v>700</v>
      </c>
      <c r="B92" s="3" t="s">
        <v>701</v>
      </c>
      <c r="C92" s="16" t="s">
        <v>97</v>
      </c>
      <c r="D92" s="39" t="s">
        <v>702</v>
      </c>
      <c r="E92" s="16" t="s">
        <v>97</v>
      </c>
      <c r="F92" s="131" t="s">
        <v>703</v>
      </c>
      <c r="I92" s="100" t="s">
        <v>342</v>
      </c>
      <c r="J92" s="16" t="s">
        <v>101</v>
      </c>
      <c r="K92" s="16"/>
      <c r="L92" s="3" t="s">
        <v>102</v>
      </c>
      <c r="M92" s="3" t="s">
        <v>103</v>
      </c>
      <c r="N92" s="3" t="s">
        <v>104</v>
      </c>
      <c r="O92" s="16" t="s">
        <v>478</v>
      </c>
      <c r="P92" s="3" t="s">
        <v>704</v>
      </c>
      <c r="Q92" s="3" t="s">
        <v>704</v>
      </c>
      <c r="R92" s="3" t="s">
        <v>704</v>
      </c>
      <c r="S92" t="s">
        <v>700</v>
      </c>
      <c r="T92" s="130" t="s">
        <v>465</v>
      </c>
      <c r="U92" s="50">
        <v>5</v>
      </c>
      <c r="V92" s="54"/>
      <c r="W92" s="54"/>
      <c r="X92" s="59" t="s">
        <v>108</v>
      </c>
      <c r="Y92" s="93">
        <f>IF(AD92=0, 0, IF(OR(H92="", H92&lt;&gt;0), 1, 0))</f>
        <v>1</v>
      </c>
      <c r="Z92" s="3">
        <v>0</v>
      </c>
      <c r="AA92" s="3" t="s">
        <v>705</v>
      </c>
      <c r="AD92" s="6">
        <f>ROUND((AG92*(1+AJ92)),2)</f>
        <v>87.76</v>
      </c>
      <c r="AE92" s="69">
        <v>100.00781385000001</v>
      </c>
      <c r="AF92" s="17">
        <f>(AE92*1)</f>
        <v>100.00781385000001</v>
      </c>
      <c r="AG92" s="6">
        <f>ROUND((AE92*AI92),2)</f>
        <v>65.010000000000005</v>
      </c>
      <c r="AH92" s="30" t="s">
        <v>110</v>
      </c>
      <c r="AI92" s="3">
        <v>0.65</v>
      </c>
      <c r="AJ92" s="18">
        <v>0.35</v>
      </c>
      <c r="AK92" s="6">
        <f>ROUND((AD92-(AD92*BG92)),2)</f>
        <v>86.88</v>
      </c>
      <c r="AL92" s="6">
        <f>ROUND((AD92-(AD92*BH92)),2)</f>
        <v>86</v>
      </c>
      <c r="AM92" s="6">
        <f>ROUND((AD92-(AD92*BI92)),2)</f>
        <v>85.13</v>
      </c>
      <c r="AN92" s="6">
        <f>ROUND((AD92-(AD92*BJ92)),2)</f>
        <v>85.13</v>
      </c>
      <c r="AO92" s="6">
        <f>ROUND((AD92-(AD92*BK92)),2)</f>
        <v>87.76</v>
      </c>
      <c r="BG92" s="12">
        <v>0.01</v>
      </c>
      <c r="BH92" s="12">
        <v>0.02</v>
      </c>
      <c r="BI92" s="12">
        <v>0.03</v>
      </c>
      <c r="BJ92" s="12">
        <v>0.03</v>
      </c>
      <c r="CC92" s="3" t="str">
        <f>IF(B92&lt;&gt;"",CONCATENATE(SUBSTITUTE(B92," ","-"),".jpg"),"")</f>
        <v>Allied-Moulded-AMP1204CCL.jpg</v>
      </c>
      <c r="CD92" s="16" t="s">
        <v>111</v>
      </c>
      <c r="CE92" s="3"/>
      <c r="CF92" s="3"/>
      <c r="CG92" s="3" t="s">
        <v>112</v>
      </c>
      <c r="CI92" s="3" t="s">
        <v>97</v>
      </c>
      <c r="CJ92" s="3" t="s">
        <v>481</v>
      </c>
      <c r="CK92" s="3" t="s">
        <v>114</v>
      </c>
      <c r="CL92" s="3" t="s">
        <v>115</v>
      </c>
      <c r="CM92" s="3" t="s">
        <v>116</v>
      </c>
      <c r="CN92" t="s">
        <v>117</v>
      </c>
      <c r="CO92" s="3" t="s">
        <v>482</v>
      </c>
      <c r="CP92" s="3" t="s">
        <v>139</v>
      </c>
      <c r="CQ92" s="3" t="s">
        <v>120</v>
      </c>
      <c r="CR92" s="16" t="s">
        <v>121</v>
      </c>
      <c r="CS92" s="16" t="s">
        <v>122</v>
      </c>
      <c r="CT92" s="16" t="s">
        <v>125</v>
      </c>
      <c r="CU92" s="16" t="s">
        <v>167</v>
      </c>
      <c r="CV92" s="16" t="s">
        <v>657</v>
      </c>
    </row>
    <row r="93" spans="1:100" ht="15" customHeight="1">
      <c r="A93" t="s">
        <v>706</v>
      </c>
      <c r="B93" s="3" t="s">
        <v>707</v>
      </c>
      <c r="C93" s="16" t="s">
        <v>97</v>
      </c>
      <c r="D93" s="38" t="s">
        <v>708</v>
      </c>
      <c r="E93" s="16" t="s">
        <v>97</v>
      </c>
      <c r="F93" s="131" t="s">
        <v>709</v>
      </c>
      <c r="I93" s="100" t="s">
        <v>342</v>
      </c>
      <c r="J93" s="16" t="s">
        <v>101</v>
      </c>
      <c r="K93" s="16"/>
      <c r="L93" s="3" t="s">
        <v>102</v>
      </c>
      <c r="M93" s="3" t="s">
        <v>103</v>
      </c>
      <c r="N93" s="3" t="s">
        <v>104</v>
      </c>
      <c r="O93" s="16" t="s">
        <v>478</v>
      </c>
      <c r="P93" s="3" t="s">
        <v>710</v>
      </c>
      <c r="Q93" s="3" t="s">
        <v>710</v>
      </c>
      <c r="R93" s="3" t="s">
        <v>710</v>
      </c>
      <c r="S93" t="s">
        <v>706</v>
      </c>
      <c r="T93" s="130" t="s">
        <v>465</v>
      </c>
      <c r="U93" s="49">
        <v>5</v>
      </c>
      <c r="V93" s="58"/>
      <c r="W93" s="58"/>
      <c r="X93" s="59" t="s">
        <v>108</v>
      </c>
      <c r="Y93" s="93">
        <f>IF(AD93=0, 0, IF(OR(H93="", H93&lt;&gt;0), 1, 0))</f>
        <v>1</v>
      </c>
      <c r="Z93" s="3">
        <v>0</v>
      </c>
      <c r="AA93" s="3" t="s">
        <v>711</v>
      </c>
      <c r="AD93" s="6">
        <f>ROUND((AG93*(1+AJ93)),2)</f>
        <v>92.15</v>
      </c>
      <c r="AE93" s="68">
        <v>105.00979125000001</v>
      </c>
      <c r="AF93" s="17">
        <f>(AE93*1)</f>
        <v>105.00979125000001</v>
      </c>
      <c r="AG93" s="6">
        <f>ROUND((AE93*AI93),2)</f>
        <v>68.260000000000005</v>
      </c>
      <c r="AH93" s="30" t="s">
        <v>110</v>
      </c>
      <c r="AI93" s="3">
        <v>0.65</v>
      </c>
      <c r="AJ93" s="18">
        <v>0.35</v>
      </c>
      <c r="AK93" s="6">
        <f>ROUND((AD93-(AD93*BG93)),2)</f>
        <v>91.23</v>
      </c>
      <c r="AL93" s="6">
        <f>ROUND((AD93-(AD93*BH93)),2)</f>
        <v>90.31</v>
      </c>
      <c r="AM93" s="6">
        <f>ROUND((AD93-(AD93*BI93)),2)</f>
        <v>89.39</v>
      </c>
      <c r="AN93" s="6">
        <f>ROUND((AD93-(AD93*BJ93)),2)</f>
        <v>89.39</v>
      </c>
      <c r="AO93" s="6">
        <f>ROUND((AD93-(AD93*BK93)),2)</f>
        <v>92.15</v>
      </c>
      <c r="BG93" s="12">
        <v>0.01</v>
      </c>
      <c r="BH93" s="12">
        <v>0.02</v>
      </c>
      <c r="BI93" s="12">
        <v>0.03</v>
      </c>
      <c r="BJ93" s="12">
        <v>0.03</v>
      </c>
      <c r="CC93" s="3" t="str">
        <f>IF(B93&lt;&gt;"",CONCATENATE(SUBSTITUTE(B93," ","-"),".jpg"),"")</f>
        <v>Allied-Moulded-AMP1204CCLF.jpg</v>
      </c>
      <c r="CD93" s="16" t="s">
        <v>111</v>
      </c>
      <c r="CE93" s="3"/>
      <c r="CF93" s="3"/>
      <c r="CG93" s="3" t="s">
        <v>112</v>
      </c>
      <c r="CI93" s="3" t="s">
        <v>97</v>
      </c>
      <c r="CJ93" s="3" t="s">
        <v>481</v>
      </c>
      <c r="CK93" s="3" t="s">
        <v>114</v>
      </c>
      <c r="CL93" s="3" t="s">
        <v>115</v>
      </c>
      <c r="CM93" s="3" t="s">
        <v>116</v>
      </c>
      <c r="CN93" t="s">
        <v>117</v>
      </c>
      <c r="CO93" s="3" t="s">
        <v>482</v>
      </c>
      <c r="CP93" s="3" t="s">
        <v>139</v>
      </c>
      <c r="CQ93" s="3" t="s">
        <v>120</v>
      </c>
      <c r="CR93" s="16" t="s">
        <v>121</v>
      </c>
      <c r="CS93" s="16" t="s">
        <v>122</v>
      </c>
      <c r="CT93" s="16" t="s">
        <v>125</v>
      </c>
      <c r="CU93" s="16" t="s">
        <v>167</v>
      </c>
      <c r="CV93" s="16" t="s">
        <v>657</v>
      </c>
    </row>
    <row r="94" spans="1:100" ht="15" customHeight="1">
      <c r="A94" t="s">
        <v>712</v>
      </c>
      <c r="B94" s="3" t="s">
        <v>713</v>
      </c>
      <c r="C94" s="16" t="s">
        <v>97</v>
      </c>
      <c r="D94" s="39" t="s">
        <v>714</v>
      </c>
      <c r="E94" s="16" t="s">
        <v>97</v>
      </c>
      <c r="F94" s="131" t="s">
        <v>715</v>
      </c>
      <c r="I94" s="100" t="s">
        <v>342</v>
      </c>
      <c r="J94" s="16" t="s">
        <v>101</v>
      </c>
      <c r="K94" s="16"/>
      <c r="L94" s="3" t="s">
        <v>102</v>
      </c>
      <c r="M94" s="3" t="s">
        <v>103</v>
      </c>
      <c r="N94" s="3" t="s">
        <v>104</v>
      </c>
      <c r="O94" s="16" t="s">
        <v>478</v>
      </c>
      <c r="P94" s="3" t="s">
        <v>716</v>
      </c>
      <c r="Q94" s="3" t="s">
        <v>716</v>
      </c>
      <c r="R94" s="3" t="s">
        <v>716</v>
      </c>
      <c r="S94" t="s">
        <v>712</v>
      </c>
      <c r="T94" s="130" t="s">
        <v>465</v>
      </c>
      <c r="U94" s="50">
        <v>5</v>
      </c>
      <c r="V94" s="54"/>
      <c r="W94" s="54"/>
      <c r="X94" s="59" t="s">
        <v>108</v>
      </c>
      <c r="Y94" s="93">
        <f>IF(AD94=0, 0, IF(OR(H94="", H94&lt;&gt;0), 1, 0))</f>
        <v>1</v>
      </c>
      <c r="Z94" s="3">
        <v>0</v>
      </c>
      <c r="AA94" s="3" t="s">
        <v>717</v>
      </c>
      <c r="AD94" s="6">
        <f>ROUND((AG94*(1+AJ94)),2)</f>
        <v>95.39</v>
      </c>
      <c r="AE94" s="69">
        <v>108.7096689</v>
      </c>
      <c r="AF94" s="17">
        <f>(AE94*1)</f>
        <v>108.7096689</v>
      </c>
      <c r="AG94" s="6">
        <f>ROUND((AE94*AI94),2)</f>
        <v>70.66</v>
      </c>
      <c r="AH94" s="30" t="s">
        <v>110</v>
      </c>
      <c r="AI94" s="3">
        <v>0.65</v>
      </c>
      <c r="AJ94" s="18">
        <v>0.35</v>
      </c>
      <c r="AK94" s="6">
        <f>ROUND((AD94-(AD94*BG94)),2)</f>
        <v>94.44</v>
      </c>
      <c r="AL94" s="6">
        <f>ROUND((AD94-(AD94*BH94)),2)</f>
        <v>93.48</v>
      </c>
      <c r="AM94" s="6">
        <f>ROUND((AD94-(AD94*BI94)),2)</f>
        <v>92.53</v>
      </c>
      <c r="AN94" s="6">
        <f>ROUND((AD94-(AD94*BJ94)),2)</f>
        <v>92.53</v>
      </c>
      <c r="AO94" s="6">
        <f>ROUND((AD94-(AD94*BK94)),2)</f>
        <v>95.39</v>
      </c>
      <c r="BG94" s="12">
        <v>0.01</v>
      </c>
      <c r="BH94" s="12">
        <v>0.02</v>
      </c>
      <c r="BI94" s="12">
        <v>0.03</v>
      </c>
      <c r="BJ94" s="12">
        <v>0.03</v>
      </c>
      <c r="CC94" s="3" t="str">
        <f>IF(B94&lt;&gt;"",CONCATENATE(SUBSTITUTE(B94," ","-"),".jpg"),"")</f>
        <v>Allied-Moulded-AMP1206CCL.jpg</v>
      </c>
      <c r="CD94" s="16" t="s">
        <v>111</v>
      </c>
      <c r="CE94" s="3"/>
      <c r="CF94" s="3"/>
      <c r="CG94" s="3" t="s">
        <v>112</v>
      </c>
      <c r="CI94" s="3" t="s">
        <v>97</v>
      </c>
      <c r="CJ94" s="3" t="s">
        <v>481</v>
      </c>
      <c r="CK94" s="3" t="s">
        <v>114</v>
      </c>
      <c r="CL94" s="3" t="s">
        <v>115</v>
      </c>
      <c r="CM94" s="3" t="s">
        <v>116</v>
      </c>
      <c r="CN94" t="s">
        <v>117</v>
      </c>
      <c r="CO94" s="3" t="s">
        <v>482</v>
      </c>
      <c r="CP94" s="3" t="s">
        <v>139</v>
      </c>
      <c r="CQ94" s="3" t="s">
        <v>120</v>
      </c>
      <c r="CR94" s="16" t="s">
        <v>121</v>
      </c>
      <c r="CS94" s="16" t="s">
        <v>122</v>
      </c>
      <c r="CT94" s="16" t="s">
        <v>125</v>
      </c>
      <c r="CU94" s="16" t="s">
        <v>167</v>
      </c>
      <c r="CV94" s="16" t="s">
        <v>351</v>
      </c>
    </row>
    <row r="95" spans="1:100" ht="15" customHeight="1">
      <c r="A95" t="s">
        <v>718</v>
      </c>
      <c r="B95" s="3" t="s">
        <v>719</v>
      </c>
      <c r="C95" s="16" t="s">
        <v>97</v>
      </c>
      <c r="D95" s="40" t="s">
        <v>720</v>
      </c>
      <c r="E95" s="16" t="s">
        <v>97</v>
      </c>
      <c r="F95" s="131" t="s">
        <v>721</v>
      </c>
      <c r="I95" s="100" t="s">
        <v>342</v>
      </c>
      <c r="J95" s="16" t="s">
        <v>101</v>
      </c>
      <c r="K95" s="16"/>
      <c r="L95" s="3" t="s">
        <v>102</v>
      </c>
      <c r="M95" s="3" t="s">
        <v>103</v>
      </c>
      <c r="N95" s="3" t="s">
        <v>104</v>
      </c>
      <c r="O95" s="16" t="s">
        <v>478</v>
      </c>
      <c r="P95" s="3" t="s">
        <v>722</v>
      </c>
      <c r="Q95" s="3" t="s">
        <v>722</v>
      </c>
      <c r="R95" s="3" t="s">
        <v>722</v>
      </c>
      <c r="S95" t="s">
        <v>718</v>
      </c>
      <c r="T95" s="130" t="s">
        <v>465</v>
      </c>
      <c r="U95" s="51">
        <v>5</v>
      </c>
      <c r="V95" s="58"/>
      <c r="W95" s="58"/>
      <c r="X95" s="59" t="s">
        <v>108</v>
      </c>
      <c r="Y95" s="93">
        <f>IF(AD95=0, 0, IF(OR(H95="", H95&lt;&gt;0), 1, 0))</f>
        <v>1</v>
      </c>
      <c r="Z95" s="3">
        <v>0</v>
      </c>
      <c r="AA95" s="3" t="s">
        <v>723</v>
      </c>
      <c r="AD95" s="6">
        <f>ROUND((AG95*(1+AJ95)),2)</f>
        <v>100.16</v>
      </c>
      <c r="AE95" s="69">
        <v>114.14038755</v>
      </c>
      <c r="AF95" s="17">
        <f>(AE95*1)</f>
        <v>114.14038755</v>
      </c>
      <c r="AG95" s="6">
        <f>ROUND((AE95*AI95),2)</f>
        <v>74.19</v>
      </c>
      <c r="AH95" s="30" t="s">
        <v>110</v>
      </c>
      <c r="AI95" s="3">
        <v>0.65</v>
      </c>
      <c r="AJ95" s="18">
        <v>0.35</v>
      </c>
      <c r="AK95" s="6">
        <f>ROUND((AD95-(AD95*BG95)),2)</f>
        <v>99.16</v>
      </c>
      <c r="AL95" s="6">
        <f>ROUND((AD95-(AD95*BH95)),2)</f>
        <v>98.16</v>
      </c>
      <c r="AM95" s="6">
        <f>ROUND((AD95-(AD95*BI95)),2)</f>
        <v>97.16</v>
      </c>
      <c r="AN95" s="6">
        <f>ROUND((AD95-(AD95*BJ95)),2)</f>
        <v>97.16</v>
      </c>
      <c r="AO95" s="6">
        <f>ROUND((AD95-(AD95*BK95)),2)</f>
        <v>100.16</v>
      </c>
      <c r="BG95" s="12">
        <v>0.01</v>
      </c>
      <c r="BH95" s="12">
        <v>0.02</v>
      </c>
      <c r="BI95" s="12">
        <v>0.03</v>
      </c>
      <c r="BJ95" s="12">
        <v>0.03</v>
      </c>
      <c r="CC95" s="3" t="str">
        <f>IF(B95&lt;&gt;"",CONCATENATE(SUBSTITUTE(B95," ","-"),".jpg"),"")</f>
        <v>Allied-Moulded-AMP1206CCLF.jpg</v>
      </c>
      <c r="CD95" s="16" t="s">
        <v>111</v>
      </c>
      <c r="CE95" s="3"/>
      <c r="CF95" s="3"/>
      <c r="CG95" s="3" t="s">
        <v>112</v>
      </c>
      <c r="CI95" s="3" t="s">
        <v>97</v>
      </c>
      <c r="CJ95" s="3" t="s">
        <v>481</v>
      </c>
      <c r="CK95" s="3" t="s">
        <v>114</v>
      </c>
      <c r="CL95" s="3" t="s">
        <v>115</v>
      </c>
      <c r="CM95" s="3" t="s">
        <v>116</v>
      </c>
      <c r="CN95" t="s">
        <v>117</v>
      </c>
      <c r="CO95" s="3" t="s">
        <v>482</v>
      </c>
      <c r="CP95" s="3" t="s">
        <v>139</v>
      </c>
      <c r="CQ95" s="3" t="s">
        <v>120</v>
      </c>
      <c r="CR95" s="16" t="s">
        <v>121</v>
      </c>
      <c r="CS95" s="16" t="s">
        <v>122</v>
      </c>
      <c r="CT95" s="16" t="s">
        <v>125</v>
      </c>
      <c r="CU95" s="16" t="s">
        <v>167</v>
      </c>
      <c r="CV95" s="16" t="s">
        <v>351</v>
      </c>
    </row>
    <row r="96" spans="1:100" ht="15" customHeight="1">
      <c r="A96" t="s">
        <v>724</v>
      </c>
      <c r="B96" s="3" t="s">
        <v>725</v>
      </c>
      <c r="C96" s="16" t="s">
        <v>97</v>
      </c>
      <c r="D96" s="39" t="s">
        <v>726</v>
      </c>
      <c r="E96" s="16" t="s">
        <v>97</v>
      </c>
      <c r="F96" s="131" t="s">
        <v>727</v>
      </c>
      <c r="I96" s="100" t="s">
        <v>342</v>
      </c>
      <c r="J96" s="16" t="s">
        <v>101</v>
      </c>
      <c r="K96" s="16"/>
      <c r="L96" s="3" t="s">
        <v>102</v>
      </c>
      <c r="M96" s="3" t="s">
        <v>103</v>
      </c>
      <c r="N96" s="3" t="s">
        <v>104</v>
      </c>
      <c r="O96" s="16" t="s">
        <v>478</v>
      </c>
      <c r="P96" s="3" t="s">
        <v>728</v>
      </c>
      <c r="Q96" s="3" t="s">
        <v>728</v>
      </c>
      <c r="R96" s="3" t="s">
        <v>728</v>
      </c>
      <c r="S96" t="s">
        <v>724</v>
      </c>
      <c r="T96" s="130" t="s">
        <v>465</v>
      </c>
      <c r="U96" s="50">
        <v>5</v>
      </c>
      <c r="V96" s="54"/>
      <c r="W96" s="54"/>
      <c r="X96" s="59" t="s">
        <v>108</v>
      </c>
      <c r="Y96" s="93">
        <f>IF(AD96=0, 0, IF(OR(H96="", H96&lt;&gt;0), 1, 0))</f>
        <v>1</v>
      </c>
      <c r="Z96" s="3">
        <v>0</v>
      </c>
      <c r="AA96" s="3" t="s">
        <v>729</v>
      </c>
      <c r="AD96" s="6">
        <f>ROUND((AG96*(1+AJ96)),2)</f>
        <v>87.56</v>
      </c>
      <c r="AE96" s="69">
        <v>99.785502600000001</v>
      </c>
      <c r="AF96" s="17">
        <f>(AE96*1)</f>
        <v>99.785502600000001</v>
      </c>
      <c r="AG96" s="6">
        <f>ROUND((AE96*AI96),2)</f>
        <v>64.86</v>
      </c>
      <c r="AH96" s="30" t="s">
        <v>110</v>
      </c>
      <c r="AI96" s="3">
        <v>0.65</v>
      </c>
      <c r="AJ96" s="18">
        <v>0.35</v>
      </c>
      <c r="AK96" s="6">
        <f>ROUND((AD96-(AD96*BG96)),2)</f>
        <v>86.68</v>
      </c>
      <c r="AL96" s="6">
        <f>ROUND((AD96-(AD96*BH96)),2)</f>
        <v>85.81</v>
      </c>
      <c r="AM96" s="6">
        <f>ROUND((AD96-(AD96*BI96)),2)</f>
        <v>84.93</v>
      </c>
      <c r="AN96" s="6">
        <f>ROUND((AD96-(AD96*BJ96)),2)</f>
        <v>84.93</v>
      </c>
      <c r="AO96" s="6">
        <f>ROUND((AD96-(AD96*BK96)),2)</f>
        <v>87.56</v>
      </c>
      <c r="BG96" s="12">
        <v>0.01</v>
      </c>
      <c r="BH96" s="12">
        <v>0.02</v>
      </c>
      <c r="BI96" s="12">
        <v>0.03</v>
      </c>
      <c r="BJ96" s="12">
        <v>0.03</v>
      </c>
      <c r="CC96" s="3" t="str">
        <f>IF(B96&lt;&gt;"",CONCATENATE(SUBSTITUTE(B96," ","-"),".jpg"),"")</f>
        <v>Allied-Moulded-AMP1204CCNLF.jpg</v>
      </c>
      <c r="CD96" s="16" t="s">
        <v>111</v>
      </c>
      <c r="CE96" s="3"/>
      <c r="CF96" s="3"/>
      <c r="CG96" s="3" t="s">
        <v>112</v>
      </c>
      <c r="CI96" s="3" t="s">
        <v>97</v>
      </c>
      <c r="CJ96" s="3" t="s">
        <v>481</v>
      </c>
      <c r="CK96" s="3" t="s">
        <v>114</v>
      </c>
      <c r="CL96" s="3" t="s">
        <v>115</v>
      </c>
      <c r="CM96" s="3" t="s">
        <v>116</v>
      </c>
      <c r="CN96" t="s">
        <v>117</v>
      </c>
      <c r="CO96" s="3" t="s">
        <v>482</v>
      </c>
      <c r="CP96" s="3" t="s">
        <v>139</v>
      </c>
      <c r="CQ96" s="3" t="s">
        <v>120</v>
      </c>
      <c r="CR96" s="16" t="s">
        <v>121</v>
      </c>
      <c r="CS96" s="16" t="s">
        <v>122</v>
      </c>
      <c r="CT96" s="16" t="s">
        <v>125</v>
      </c>
      <c r="CU96" s="16" t="s">
        <v>167</v>
      </c>
      <c r="CV96" s="16" t="s">
        <v>657</v>
      </c>
    </row>
    <row r="97" spans="1:100" ht="15" customHeight="1">
      <c r="A97" t="s">
        <v>730</v>
      </c>
      <c r="B97" s="3" t="s">
        <v>731</v>
      </c>
      <c r="C97" s="16" t="s">
        <v>97</v>
      </c>
      <c r="D97" s="40" t="s">
        <v>732</v>
      </c>
      <c r="E97" s="16" t="s">
        <v>97</v>
      </c>
      <c r="F97" s="131" t="s">
        <v>733</v>
      </c>
      <c r="I97" s="100" t="s">
        <v>342</v>
      </c>
      <c r="J97" s="16" t="s">
        <v>101</v>
      </c>
      <c r="K97" s="16"/>
      <c r="L97" s="3" t="s">
        <v>102</v>
      </c>
      <c r="M97" s="3" t="s">
        <v>103</v>
      </c>
      <c r="N97" s="3" t="s">
        <v>104</v>
      </c>
      <c r="O97" s="16" t="s">
        <v>478</v>
      </c>
      <c r="P97" s="3" t="s">
        <v>734</v>
      </c>
      <c r="Q97" s="3" t="s">
        <v>734</v>
      </c>
      <c r="R97" s="3" t="s">
        <v>734</v>
      </c>
      <c r="S97" t="s">
        <v>730</v>
      </c>
      <c r="T97" s="130" t="s">
        <v>465</v>
      </c>
      <c r="U97" s="51">
        <v>5</v>
      </c>
      <c r="V97" s="58"/>
      <c r="W97" s="58"/>
      <c r="X97" s="59" t="s">
        <v>108</v>
      </c>
      <c r="Y97" s="93">
        <f>IF(AD97=0, 0, IF(OR(H97="", H97&lt;&gt;0), 1, 0))</f>
        <v>1</v>
      </c>
      <c r="Z97" s="3">
        <v>0</v>
      </c>
      <c r="AA97" s="3" t="s">
        <v>735</v>
      </c>
      <c r="AD97" s="6">
        <f>ROUND((AG97*(1+AJ97)),2)</f>
        <v>90.63</v>
      </c>
      <c r="AE97" s="69">
        <v>103.27894814999999</v>
      </c>
      <c r="AF97" s="17">
        <f>(AE97*1)</f>
        <v>103.27894814999999</v>
      </c>
      <c r="AG97" s="6">
        <f>ROUND((AE97*AI97),2)</f>
        <v>67.13</v>
      </c>
      <c r="AH97" s="30" t="s">
        <v>110</v>
      </c>
      <c r="AI97" s="3">
        <v>0.65</v>
      </c>
      <c r="AJ97" s="18">
        <v>0.35</v>
      </c>
      <c r="AK97" s="6">
        <f>ROUND((AD97-(AD97*BG97)),2)</f>
        <v>89.72</v>
      </c>
      <c r="AL97" s="6">
        <f>ROUND((AD97-(AD97*BH97)),2)</f>
        <v>88.82</v>
      </c>
      <c r="AM97" s="6">
        <f>ROUND((AD97-(AD97*BI97)),2)</f>
        <v>87.91</v>
      </c>
      <c r="AN97" s="6">
        <f>ROUND((AD97-(AD97*BJ97)),2)</f>
        <v>87.91</v>
      </c>
      <c r="AO97" s="6">
        <f>ROUND((AD97-(AD97*BK97)),2)</f>
        <v>90.63</v>
      </c>
      <c r="BG97" s="12">
        <v>0.01</v>
      </c>
      <c r="BH97" s="12">
        <v>0.02</v>
      </c>
      <c r="BI97" s="12">
        <v>0.03</v>
      </c>
      <c r="BJ97" s="12">
        <v>0.03</v>
      </c>
      <c r="CC97" s="3" t="str">
        <f>IF(B97&lt;&gt;"",CONCATENATE(SUBSTITUTE(B97," ","-"),".jpg"),"")</f>
        <v>Allied-Moulded-AMP1206CCNL.jpg</v>
      </c>
      <c r="CD97" s="16" t="s">
        <v>111</v>
      </c>
      <c r="CE97" s="3"/>
      <c r="CF97" s="3"/>
      <c r="CG97" s="3" t="s">
        <v>112</v>
      </c>
      <c r="CI97" s="3" t="s">
        <v>97</v>
      </c>
      <c r="CJ97" s="3" t="s">
        <v>481</v>
      </c>
      <c r="CK97" s="3" t="s">
        <v>114</v>
      </c>
      <c r="CL97" s="3" t="s">
        <v>115</v>
      </c>
      <c r="CM97" s="3" t="s">
        <v>116</v>
      </c>
      <c r="CN97" t="s">
        <v>117</v>
      </c>
      <c r="CO97" s="3" t="s">
        <v>482</v>
      </c>
      <c r="CP97" s="3" t="s">
        <v>139</v>
      </c>
      <c r="CQ97" s="3" t="s">
        <v>120</v>
      </c>
      <c r="CR97" s="16" t="s">
        <v>121</v>
      </c>
      <c r="CS97" s="16" t="s">
        <v>122</v>
      </c>
      <c r="CT97" s="16" t="s">
        <v>125</v>
      </c>
      <c r="CU97" s="16" t="s">
        <v>167</v>
      </c>
      <c r="CV97" s="16" t="s">
        <v>657</v>
      </c>
    </row>
    <row r="98" spans="1:100" ht="15" customHeight="1">
      <c r="A98" t="s">
        <v>736</v>
      </c>
      <c r="B98" s="3" t="s">
        <v>737</v>
      </c>
      <c r="C98" s="16" t="s">
        <v>97</v>
      </c>
      <c r="D98" s="39" t="s">
        <v>738</v>
      </c>
      <c r="E98" s="16" t="s">
        <v>97</v>
      </c>
      <c r="F98" s="131" t="s">
        <v>739</v>
      </c>
      <c r="I98" s="100" t="s">
        <v>342</v>
      </c>
      <c r="J98" s="16" t="s">
        <v>101</v>
      </c>
      <c r="K98" s="16"/>
      <c r="L98" s="3" t="s">
        <v>102</v>
      </c>
      <c r="M98" s="3" t="s">
        <v>103</v>
      </c>
      <c r="N98" s="3" t="s">
        <v>104</v>
      </c>
      <c r="O98" s="16" t="s">
        <v>478</v>
      </c>
      <c r="P98" s="3" t="s">
        <v>740</v>
      </c>
      <c r="Q98" s="3" t="s">
        <v>740</v>
      </c>
      <c r="R98" s="3" t="s">
        <v>740</v>
      </c>
      <c r="S98" t="s">
        <v>736</v>
      </c>
      <c r="T98" s="130" t="s">
        <v>465</v>
      </c>
      <c r="U98" s="50">
        <v>5</v>
      </c>
      <c r="V98" s="54"/>
      <c r="W98" s="54"/>
      <c r="X98" s="59" t="s">
        <v>108</v>
      </c>
      <c r="Y98" s="93">
        <f>IF(AD98=0, 0, IF(OR(H98="", H98&lt;&gt;0), 1, 0))</f>
        <v>1</v>
      </c>
      <c r="Z98" s="3">
        <v>0</v>
      </c>
      <c r="AA98" s="3" t="s">
        <v>741</v>
      </c>
      <c r="AD98" s="6">
        <f>ROUND((AG98*(1+AJ98)),2)</f>
        <v>95.18</v>
      </c>
      <c r="AE98" s="69">
        <v>108.45560040000001</v>
      </c>
      <c r="AF98" s="17">
        <f>(AE98*1)</f>
        <v>108.45560040000001</v>
      </c>
      <c r="AG98" s="6">
        <f>ROUND((AE98*AI98),2)</f>
        <v>70.5</v>
      </c>
      <c r="AH98" s="30" t="s">
        <v>110</v>
      </c>
      <c r="AI98" s="3">
        <v>0.65</v>
      </c>
      <c r="AJ98" s="18">
        <v>0.35</v>
      </c>
      <c r="AK98" s="6">
        <f>ROUND((AD98-(AD98*BG98)),2)</f>
        <v>94.23</v>
      </c>
      <c r="AL98" s="6">
        <f>ROUND((AD98-(AD98*BH98)),2)</f>
        <v>93.28</v>
      </c>
      <c r="AM98" s="6">
        <f>ROUND((AD98-(AD98*BI98)),2)</f>
        <v>92.32</v>
      </c>
      <c r="AN98" s="6">
        <f>ROUND((AD98-(AD98*BJ98)),2)</f>
        <v>92.32</v>
      </c>
      <c r="AO98" s="6">
        <f>ROUND((AD98-(AD98*BK98)),2)</f>
        <v>95.18</v>
      </c>
      <c r="BG98" s="12">
        <v>0.01</v>
      </c>
      <c r="BH98" s="12">
        <v>0.02</v>
      </c>
      <c r="BI98" s="12">
        <v>0.03</v>
      </c>
      <c r="BJ98" s="12">
        <v>0.03</v>
      </c>
      <c r="CC98" s="3" t="str">
        <f>IF(B98&lt;&gt;"",CONCATENATE(SUBSTITUTE(B98," ","-"),".jpg"),"")</f>
        <v>Allied-Moulded-AMP1206CCNLF.jpg</v>
      </c>
      <c r="CD98" s="16" t="s">
        <v>111</v>
      </c>
      <c r="CE98" s="3"/>
      <c r="CF98" s="3"/>
      <c r="CG98" s="3" t="s">
        <v>112</v>
      </c>
      <c r="CI98" s="3" t="s">
        <v>97</v>
      </c>
      <c r="CJ98" s="3" t="s">
        <v>481</v>
      </c>
      <c r="CK98" s="3" t="s">
        <v>114</v>
      </c>
      <c r="CL98" s="3" t="s">
        <v>115</v>
      </c>
      <c r="CM98" s="3" t="s">
        <v>116</v>
      </c>
      <c r="CN98" t="s">
        <v>117</v>
      </c>
      <c r="CO98" s="3" t="s">
        <v>482</v>
      </c>
      <c r="CP98" s="3" t="s">
        <v>139</v>
      </c>
      <c r="CQ98" s="3" t="s">
        <v>120</v>
      </c>
      <c r="CR98" s="16" t="s">
        <v>121</v>
      </c>
      <c r="CS98" s="16" t="s">
        <v>122</v>
      </c>
      <c r="CT98" s="16" t="s">
        <v>125</v>
      </c>
      <c r="CU98" s="16" t="s">
        <v>167</v>
      </c>
      <c r="CV98" s="16" t="s">
        <v>351</v>
      </c>
    </row>
    <row r="99" spans="1:100" ht="15" customHeight="1">
      <c r="A99" t="s">
        <v>742</v>
      </c>
      <c r="B99" s="3" t="s">
        <v>743</v>
      </c>
      <c r="C99" s="16" t="s">
        <v>97</v>
      </c>
      <c r="D99" s="39" t="s">
        <v>744</v>
      </c>
      <c r="E99" s="16" t="s">
        <v>97</v>
      </c>
      <c r="F99" s="131" t="s">
        <v>745</v>
      </c>
      <c r="I99" s="100" t="s">
        <v>342</v>
      </c>
      <c r="J99" s="16" t="s">
        <v>101</v>
      </c>
      <c r="K99" s="16"/>
      <c r="L99" s="3" t="s">
        <v>102</v>
      </c>
      <c r="M99" s="3" t="s">
        <v>103</v>
      </c>
      <c r="N99" s="3" t="s">
        <v>104</v>
      </c>
      <c r="O99" s="16" t="s">
        <v>478</v>
      </c>
      <c r="P99" s="2" t="s">
        <v>746</v>
      </c>
      <c r="Q99" s="2" t="s">
        <v>746</v>
      </c>
      <c r="R99" s="2" t="s">
        <v>746</v>
      </c>
      <c r="S99" t="s">
        <v>742</v>
      </c>
      <c r="T99" s="130" t="s">
        <v>465</v>
      </c>
      <c r="U99" s="50">
        <v>5</v>
      </c>
      <c r="V99" s="54"/>
      <c r="W99" s="54"/>
      <c r="X99" s="59" t="s">
        <v>108</v>
      </c>
      <c r="Y99" s="93">
        <f>IF(AD99=0, 0, IF(OR(H99="", H99&lt;&gt;0), 1, 0))</f>
        <v>1</v>
      </c>
      <c r="Z99" s="3">
        <v>0</v>
      </c>
      <c r="AA99" s="3" t="s">
        <v>747</v>
      </c>
      <c r="AD99" s="6">
        <f>ROUND((AG99*(1+AJ99)),2)</f>
        <v>66.42</v>
      </c>
      <c r="AE99" s="69">
        <v>75.696609449999997</v>
      </c>
      <c r="AF99" s="17">
        <f>(AE99*1)</f>
        <v>75.696609449999997</v>
      </c>
      <c r="AG99" s="6">
        <f>ROUND((AE99*AI99),2)</f>
        <v>49.2</v>
      </c>
      <c r="AH99" s="30" t="s">
        <v>110</v>
      </c>
      <c r="AI99" s="3">
        <v>0.65</v>
      </c>
      <c r="AJ99" s="18">
        <v>0.35</v>
      </c>
      <c r="AK99" s="6">
        <f>ROUND((AD99-(AD99*BG99)),2)</f>
        <v>65.760000000000005</v>
      </c>
      <c r="AL99" s="6">
        <f>ROUND((AD99-(AD99*BH99)),2)</f>
        <v>65.09</v>
      </c>
      <c r="AM99" s="6">
        <f>ROUND((AD99-(AD99*BI99)),2)</f>
        <v>64.430000000000007</v>
      </c>
      <c r="AN99" s="6">
        <f>ROUND((AD99-(AD99*BJ99)),2)</f>
        <v>64.430000000000007</v>
      </c>
      <c r="AO99" s="6">
        <f>ROUND((AD99-(AD99*BK99)),2)</f>
        <v>66.42</v>
      </c>
      <c r="BG99" s="12">
        <v>0.01</v>
      </c>
      <c r="BH99" s="12">
        <v>0.02</v>
      </c>
      <c r="BI99" s="12">
        <v>0.03</v>
      </c>
      <c r="BJ99" s="12">
        <v>0.03</v>
      </c>
      <c r="CC99" s="3" t="str">
        <f>IF(B99&lt;&gt;"",CONCATENATE(SUBSTITUTE(B99," ","-"),".jpg"),"")</f>
        <v>Allied-Moulded-AMP1204.jpg</v>
      </c>
      <c r="CD99" s="16" t="s">
        <v>111</v>
      </c>
      <c r="CE99" s="3"/>
      <c r="CF99" s="3"/>
      <c r="CG99" s="3" t="s">
        <v>112</v>
      </c>
      <c r="CI99" s="3" t="s">
        <v>97</v>
      </c>
      <c r="CJ99" s="3" t="s">
        <v>481</v>
      </c>
      <c r="CK99" s="3" t="s">
        <v>114</v>
      </c>
      <c r="CL99" s="3" t="s">
        <v>115</v>
      </c>
      <c r="CM99" s="16"/>
      <c r="CN99" s="16" t="s">
        <v>349</v>
      </c>
      <c r="CO99" s="3" t="s">
        <v>482</v>
      </c>
      <c r="CP99" s="3" t="s">
        <v>139</v>
      </c>
      <c r="CQ99" s="3" t="s">
        <v>120</v>
      </c>
      <c r="CR99" s="3" t="s">
        <v>140</v>
      </c>
      <c r="CS99" s="3" t="s">
        <v>384</v>
      </c>
      <c r="CT99" s="16" t="s">
        <v>125</v>
      </c>
      <c r="CU99" s="16" t="s">
        <v>167</v>
      </c>
      <c r="CV99" s="16" t="s">
        <v>657</v>
      </c>
    </row>
    <row r="100" spans="1:100" ht="15" customHeight="1">
      <c r="A100" t="s">
        <v>748</v>
      </c>
      <c r="B100" s="3" t="s">
        <v>749</v>
      </c>
      <c r="C100" s="16" t="s">
        <v>97</v>
      </c>
      <c r="D100" s="40" t="s">
        <v>750</v>
      </c>
      <c r="E100" s="16" t="s">
        <v>97</v>
      </c>
      <c r="F100" s="131" t="s">
        <v>751</v>
      </c>
      <c r="I100" s="100" t="s">
        <v>342</v>
      </c>
      <c r="J100" s="16" t="s">
        <v>101</v>
      </c>
      <c r="K100" s="16"/>
      <c r="L100" s="3" t="s">
        <v>102</v>
      </c>
      <c r="M100" s="3" t="s">
        <v>103</v>
      </c>
      <c r="N100" s="3" t="s">
        <v>104</v>
      </c>
      <c r="O100" s="16" t="s">
        <v>478</v>
      </c>
      <c r="P100" s="2" t="s">
        <v>752</v>
      </c>
      <c r="Q100" s="2" t="s">
        <v>752</v>
      </c>
      <c r="R100" s="2" t="s">
        <v>752</v>
      </c>
      <c r="S100" t="s">
        <v>748</v>
      </c>
      <c r="T100" s="130" t="s">
        <v>465</v>
      </c>
      <c r="U100" s="51">
        <v>5</v>
      </c>
      <c r="V100" s="58"/>
      <c r="W100" s="58"/>
      <c r="X100" s="59" t="s">
        <v>108</v>
      </c>
      <c r="Y100" s="93">
        <f>IF(AD100=0, 0, IF(OR(H100="", H100&lt;&gt;0), 1, 0))</f>
        <v>1</v>
      </c>
      <c r="Z100" s="3">
        <v>0</v>
      </c>
      <c r="AA100" s="3" t="s">
        <v>753</v>
      </c>
      <c r="AD100" s="6">
        <f>ROUND((AG100*(1+AJ100)),2)</f>
        <v>69.75</v>
      </c>
      <c r="AE100" s="69">
        <v>79.491763050000003</v>
      </c>
      <c r="AF100" s="17">
        <f>(AE100*1)</f>
        <v>79.491763050000003</v>
      </c>
      <c r="AG100" s="6">
        <f>ROUND((AE100*AI100),2)</f>
        <v>51.67</v>
      </c>
      <c r="AH100" s="30" t="s">
        <v>110</v>
      </c>
      <c r="AI100" s="3">
        <v>0.65</v>
      </c>
      <c r="AJ100" s="18">
        <v>0.35</v>
      </c>
      <c r="AK100" s="6">
        <f>ROUND((AD100-(AD100*BG100)),2)</f>
        <v>69.05</v>
      </c>
      <c r="AL100" s="6">
        <f>ROUND((AD100-(AD100*BH100)),2)</f>
        <v>68.36</v>
      </c>
      <c r="AM100" s="6">
        <f>ROUND((AD100-(AD100*BI100)),2)</f>
        <v>67.66</v>
      </c>
      <c r="AN100" s="6">
        <f>ROUND((AD100-(AD100*BJ100)),2)</f>
        <v>67.66</v>
      </c>
      <c r="AO100" s="6">
        <f>ROUND((AD100-(AD100*BK100)),2)</f>
        <v>69.75</v>
      </c>
      <c r="BG100" s="12">
        <v>0.01</v>
      </c>
      <c r="BH100" s="12">
        <v>0.02</v>
      </c>
      <c r="BI100" s="12">
        <v>0.03</v>
      </c>
      <c r="BJ100" s="12">
        <v>0.03</v>
      </c>
      <c r="CC100" s="3" t="str">
        <f>IF(B100&lt;&gt;"",CONCATENATE(SUBSTITUTE(B100," ","-"),".jpg"),"")</f>
        <v>Allied-Moulded-AMP1204F.jpg</v>
      </c>
      <c r="CD100" s="16" t="s">
        <v>111</v>
      </c>
      <c r="CE100" s="3"/>
      <c r="CF100" s="3"/>
      <c r="CG100" s="3" t="s">
        <v>112</v>
      </c>
      <c r="CI100" s="3" t="s">
        <v>97</v>
      </c>
      <c r="CJ100" s="3" t="s">
        <v>481</v>
      </c>
      <c r="CK100" s="3" t="s">
        <v>114</v>
      </c>
      <c r="CL100" s="3" t="s">
        <v>115</v>
      </c>
      <c r="CM100" s="16"/>
      <c r="CN100" s="16" t="s">
        <v>349</v>
      </c>
      <c r="CO100" s="3" t="s">
        <v>482</v>
      </c>
      <c r="CP100" s="3" t="s">
        <v>139</v>
      </c>
      <c r="CQ100" s="3" t="s">
        <v>120</v>
      </c>
      <c r="CR100" s="3" t="s">
        <v>140</v>
      </c>
      <c r="CS100" s="3" t="s">
        <v>384</v>
      </c>
      <c r="CT100" s="16" t="s">
        <v>125</v>
      </c>
      <c r="CU100" s="16" t="s">
        <v>167</v>
      </c>
      <c r="CV100" s="16" t="s">
        <v>657</v>
      </c>
    </row>
    <row r="101" spans="1:100" ht="15" customHeight="1">
      <c r="A101" t="s">
        <v>754</v>
      </c>
      <c r="B101" s="3" t="s">
        <v>755</v>
      </c>
      <c r="C101" s="16" t="s">
        <v>97</v>
      </c>
      <c r="D101" s="39" t="s">
        <v>756</v>
      </c>
      <c r="E101" s="16" t="s">
        <v>97</v>
      </c>
      <c r="F101" s="131" t="s">
        <v>757</v>
      </c>
      <c r="I101" s="100" t="s">
        <v>342</v>
      </c>
      <c r="J101" s="16" t="s">
        <v>101</v>
      </c>
      <c r="K101" s="16"/>
      <c r="L101" s="3" t="s">
        <v>102</v>
      </c>
      <c r="M101" s="3" t="s">
        <v>103</v>
      </c>
      <c r="N101" s="3" t="s">
        <v>104</v>
      </c>
      <c r="O101" s="16" t="s">
        <v>478</v>
      </c>
      <c r="P101" s="2" t="s">
        <v>758</v>
      </c>
      <c r="Q101" s="2" t="s">
        <v>758</v>
      </c>
      <c r="R101" s="2" t="s">
        <v>758</v>
      </c>
      <c r="S101" t="s">
        <v>754</v>
      </c>
      <c r="T101" s="130" t="s">
        <v>465</v>
      </c>
      <c r="U101" s="50">
        <v>5</v>
      </c>
      <c r="V101" s="54"/>
      <c r="W101" s="54"/>
      <c r="X101" s="59" t="s">
        <v>108</v>
      </c>
      <c r="Y101" s="93">
        <f>IF(AD101=0, 0, IF(OR(H101="", H101&lt;&gt;0), 1, 0))</f>
        <v>1</v>
      </c>
      <c r="Z101" s="3">
        <v>0</v>
      </c>
      <c r="AA101" s="3" t="s">
        <v>759</v>
      </c>
      <c r="AD101" s="6">
        <f>ROUND((AG101*(1+AJ101)),2)</f>
        <v>72.209999999999994</v>
      </c>
      <c r="AE101" s="69">
        <v>82.286517599999996</v>
      </c>
      <c r="AF101" s="17">
        <f>(AE101*1)</f>
        <v>82.286517599999996</v>
      </c>
      <c r="AG101" s="6">
        <f>ROUND((AE101*AI101),2)</f>
        <v>53.49</v>
      </c>
      <c r="AH101" s="30" t="s">
        <v>110</v>
      </c>
      <c r="AI101" s="3">
        <v>0.65</v>
      </c>
      <c r="AJ101" s="18">
        <v>0.35</v>
      </c>
      <c r="AK101" s="6">
        <f>ROUND((AD101-(AD101*BG101)),2)</f>
        <v>71.489999999999995</v>
      </c>
      <c r="AL101" s="6">
        <f>ROUND((AD101-(AD101*BH101)),2)</f>
        <v>70.77</v>
      </c>
      <c r="AM101" s="6">
        <f>ROUND((AD101-(AD101*BI101)),2)</f>
        <v>70.040000000000006</v>
      </c>
      <c r="AN101" s="6">
        <f>ROUND((AD101-(AD101*BJ101)),2)</f>
        <v>70.040000000000006</v>
      </c>
      <c r="AO101" s="6">
        <f>ROUND((AD101-(AD101*BK101)),2)</f>
        <v>72.209999999999994</v>
      </c>
      <c r="BG101" s="12">
        <v>0.01</v>
      </c>
      <c r="BH101" s="12">
        <v>0.02</v>
      </c>
      <c r="BI101" s="12">
        <v>0.03</v>
      </c>
      <c r="BJ101" s="12">
        <v>0.03</v>
      </c>
      <c r="CC101" s="3" t="str">
        <f>IF(B101&lt;&gt;"",CONCATENATE(SUBSTITUTE(B101," ","-"),".jpg"),"")</f>
        <v>Allied-Moulded-AMP1206.jpg</v>
      </c>
      <c r="CD101" s="16" t="s">
        <v>111</v>
      </c>
      <c r="CE101" s="3"/>
      <c r="CF101" s="3"/>
      <c r="CG101" s="3" t="s">
        <v>112</v>
      </c>
      <c r="CI101" s="3" t="s">
        <v>97</v>
      </c>
      <c r="CJ101" s="3" t="s">
        <v>481</v>
      </c>
      <c r="CK101" s="3" t="s">
        <v>114</v>
      </c>
      <c r="CL101" s="3" t="s">
        <v>115</v>
      </c>
      <c r="CM101" s="16"/>
      <c r="CN101" s="16" t="s">
        <v>349</v>
      </c>
      <c r="CO101" s="3" t="s">
        <v>482</v>
      </c>
      <c r="CP101" s="3" t="s">
        <v>139</v>
      </c>
      <c r="CQ101" s="3" t="s">
        <v>120</v>
      </c>
      <c r="CR101" s="3" t="s">
        <v>140</v>
      </c>
      <c r="CS101" s="3" t="s">
        <v>384</v>
      </c>
      <c r="CT101" s="16" t="s">
        <v>125</v>
      </c>
      <c r="CU101" s="16" t="s">
        <v>167</v>
      </c>
      <c r="CV101" s="16" t="s">
        <v>351</v>
      </c>
    </row>
    <row r="102" spans="1:100" ht="15" customHeight="1">
      <c r="A102" t="s">
        <v>760</v>
      </c>
      <c r="B102" s="3" t="s">
        <v>761</v>
      </c>
      <c r="C102" s="16" t="s">
        <v>97</v>
      </c>
      <c r="D102" s="40" t="s">
        <v>762</v>
      </c>
      <c r="E102" s="16" t="s">
        <v>97</v>
      </c>
      <c r="F102" s="131" t="s">
        <v>763</v>
      </c>
      <c r="I102" s="100" t="s">
        <v>342</v>
      </c>
      <c r="J102" s="16" t="s">
        <v>101</v>
      </c>
      <c r="K102" s="16"/>
      <c r="L102" s="3" t="s">
        <v>102</v>
      </c>
      <c r="M102" s="3" t="s">
        <v>103</v>
      </c>
      <c r="N102" s="3" t="s">
        <v>104</v>
      </c>
      <c r="O102" s="16" t="s">
        <v>478</v>
      </c>
      <c r="P102" s="2" t="s">
        <v>764</v>
      </c>
      <c r="Q102" s="2" t="s">
        <v>764</v>
      </c>
      <c r="R102" s="2" t="s">
        <v>764</v>
      </c>
      <c r="S102" t="s">
        <v>760</v>
      </c>
      <c r="T102" s="130" t="s">
        <v>465</v>
      </c>
      <c r="U102" s="51">
        <v>5</v>
      </c>
      <c r="V102" s="58"/>
      <c r="W102" s="58"/>
      <c r="X102" s="59" t="s">
        <v>108</v>
      </c>
      <c r="Y102" s="93">
        <f>IF(AD102=0, 0, IF(OR(H102="", H102&lt;&gt;0), 1, 0))</f>
        <v>1</v>
      </c>
      <c r="Z102" s="3">
        <v>0</v>
      </c>
      <c r="AA102" s="3" t="s">
        <v>765</v>
      </c>
      <c r="AD102" s="6">
        <f>ROUND((AG102*(1+AJ102)),2)</f>
        <v>75.819999999999993</v>
      </c>
      <c r="AE102" s="69">
        <v>86.399254200000016</v>
      </c>
      <c r="AF102" s="17">
        <f>(AE102*1)</f>
        <v>86.399254200000016</v>
      </c>
      <c r="AG102" s="6">
        <f>ROUND((AE102*AI102),2)</f>
        <v>56.16</v>
      </c>
      <c r="AH102" s="30" t="s">
        <v>110</v>
      </c>
      <c r="AI102" s="3">
        <v>0.65</v>
      </c>
      <c r="AJ102" s="18">
        <v>0.35</v>
      </c>
      <c r="AK102" s="6">
        <f>ROUND((AD102-(AD102*BG102)),2)</f>
        <v>75.06</v>
      </c>
      <c r="AL102" s="6">
        <f>ROUND((AD102-(AD102*BH102)),2)</f>
        <v>74.3</v>
      </c>
      <c r="AM102" s="6">
        <f>ROUND((AD102-(AD102*BI102)),2)</f>
        <v>73.55</v>
      </c>
      <c r="AN102" s="6">
        <f>ROUND((AD102-(AD102*BJ102)),2)</f>
        <v>73.55</v>
      </c>
      <c r="AO102" s="6">
        <f>ROUND((AD102-(AD102*BK102)),2)</f>
        <v>75.819999999999993</v>
      </c>
      <c r="BG102" s="12">
        <v>0.01</v>
      </c>
      <c r="BH102" s="12">
        <v>0.02</v>
      </c>
      <c r="BI102" s="12">
        <v>0.03</v>
      </c>
      <c r="BJ102" s="12">
        <v>0.03</v>
      </c>
      <c r="CC102" s="3" t="str">
        <f>IF(B102&lt;&gt;"",CONCATENATE(SUBSTITUTE(B102," ","-"),".jpg"),"")</f>
        <v>Allied-Moulded-AMP1206F.jpg</v>
      </c>
      <c r="CD102" s="16" t="s">
        <v>111</v>
      </c>
      <c r="CE102" s="3"/>
      <c r="CF102" s="3"/>
      <c r="CG102" s="3" t="s">
        <v>112</v>
      </c>
      <c r="CI102" s="3" t="s">
        <v>97</v>
      </c>
      <c r="CJ102" s="3" t="s">
        <v>481</v>
      </c>
      <c r="CK102" s="3" t="s">
        <v>114</v>
      </c>
      <c r="CL102" s="3" t="s">
        <v>115</v>
      </c>
      <c r="CM102" s="16"/>
      <c r="CN102" s="16" t="s">
        <v>349</v>
      </c>
      <c r="CO102" s="3" t="s">
        <v>482</v>
      </c>
      <c r="CP102" s="3" t="s">
        <v>139</v>
      </c>
      <c r="CQ102" s="3" t="s">
        <v>120</v>
      </c>
      <c r="CR102" s="3" t="s">
        <v>140</v>
      </c>
      <c r="CS102" s="3" t="s">
        <v>384</v>
      </c>
      <c r="CT102" s="16" t="s">
        <v>125</v>
      </c>
      <c r="CU102" s="16" t="s">
        <v>167</v>
      </c>
      <c r="CV102" s="16" t="s">
        <v>351</v>
      </c>
    </row>
    <row r="103" spans="1:100" ht="15" customHeight="1">
      <c r="A103" t="s">
        <v>766</v>
      </c>
      <c r="B103" s="3" t="s">
        <v>767</v>
      </c>
      <c r="C103" s="16" t="s">
        <v>97</v>
      </c>
      <c r="D103" s="40" t="s">
        <v>768</v>
      </c>
      <c r="E103" s="16" t="s">
        <v>97</v>
      </c>
      <c r="F103" s="131" t="s">
        <v>769</v>
      </c>
      <c r="I103" s="100" t="s">
        <v>342</v>
      </c>
      <c r="J103" s="16" t="s">
        <v>101</v>
      </c>
      <c r="K103" s="16"/>
      <c r="L103" s="3" t="s">
        <v>102</v>
      </c>
      <c r="M103" s="3" t="s">
        <v>103</v>
      </c>
      <c r="N103" s="3" t="s">
        <v>104</v>
      </c>
      <c r="O103" s="16" t="s">
        <v>478</v>
      </c>
      <c r="P103" s="2" t="s">
        <v>770</v>
      </c>
      <c r="Q103" s="2" t="s">
        <v>770</v>
      </c>
      <c r="R103" s="2" t="s">
        <v>770</v>
      </c>
      <c r="S103" t="s">
        <v>766</v>
      </c>
      <c r="T103" s="130" t="s">
        <v>465</v>
      </c>
      <c r="U103" s="51">
        <v>5</v>
      </c>
      <c r="V103" s="58"/>
      <c r="W103" s="58"/>
      <c r="X103" s="59" t="s">
        <v>108</v>
      </c>
      <c r="Y103" s="93">
        <f>IF(AD103=0, 0, IF(OR(H103="", H103&lt;&gt;0), 1, 0))</f>
        <v>1</v>
      </c>
      <c r="Z103" s="3">
        <v>0</v>
      </c>
      <c r="AA103" s="3" t="s">
        <v>771</v>
      </c>
      <c r="AD103" s="6">
        <f>ROUND((AG103*(1+AJ103)),2)</f>
        <v>70.89</v>
      </c>
      <c r="AE103" s="69">
        <v>80.777983649999996</v>
      </c>
      <c r="AF103" s="17">
        <f>(AE103*1)</f>
        <v>80.777983649999996</v>
      </c>
      <c r="AG103" s="6">
        <f>ROUND((AE103*AI103),2)</f>
        <v>52.51</v>
      </c>
      <c r="AH103" s="30" t="s">
        <v>110</v>
      </c>
      <c r="AI103" s="3">
        <v>0.65</v>
      </c>
      <c r="AJ103" s="18">
        <v>0.35</v>
      </c>
      <c r="AK103" s="6">
        <f>ROUND((AD103-(AD103*BG103)),2)</f>
        <v>70.180000000000007</v>
      </c>
      <c r="AL103" s="6">
        <f>ROUND((AD103-(AD103*BH103)),2)</f>
        <v>69.47</v>
      </c>
      <c r="AM103" s="6">
        <f>ROUND((AD103-(AD103*BI103)),2)</f>
        <v>68.760000000000005</v>
      </c>
      <c r="AN103" s="6">
        <f>ROUND((AD103-(AD103*BJ103)),2)</f>
        <v>68.760000000000005</v>
      </c>
      <c r="AO103" s="6">
        <f>ROUND((AD103-(AD103*BK103)),2)</f>
        <v>70.89</v>
      </c>
      <c r="BG103" s="12">
        <v>0.01</v>
      </c>
      <c r="BH103" s="12">
        <v>0.02</v>
      </c>
      <c r="BI103" s="12">
        <v>0.03</v>
      </c>
      <c r="BJ103" s="12">
        <v>0.03</v>
      </c>
      <c r="CC103" s="3" t="str">
        <f>IF(B103&lt;&gt;"",CONCATENATE(SUBSTITUTE(B103," ","-"),".jpg"),"")</f>
        <v>Allied-Moulded-AMP1204H.jpg</v>
      </c>
      <c r="CD103" s="16" t="s">
        <v>111</v>
      </c>
      <c r="CE103" s="3"/>
      <c r="CF103" s="3"/>
      <c r="CG103" s="3" t="s">
        <v>112</v>
      </c>
      <c r="CI103" s="3" t="s">
        <v>97</v>
      </c>
      <c r="CJ103" s="3" t="s">
        <v>481</v>
      </c>
      <c r="CK103" s="3" t="s">
        <v>114</v>
      </c>
      <c r="CL103" s="3" t="s">
        <v>115</v>
      </c>
      <c r="CM103" s="3" t="s">
        <v>116</v>
      </c>
      <c r="CN103" s="16" t="s">
        <v>349</v>
      </c>
      <c r="CO103" s="3" t="s">
        <v>482</v>
      </c>
      <c r="CP103" s="3" t="s">
        <v>139</v>
      </c>
      <c r="CQ103" s="3" t="s">
        <v>120</v>
      </c>
      <c r="CR103" s="3" t="s">
        <v>140</v>
      </c>
      <c r="CS103" s="3" t="s">
        <v>384</v>
      </c>
      <c r="CT103" s="16" t="s">
        <v>125</v>
      </c>
      <c r="CU103" s="16" t="s">
        <v>167</v>
      </c>
      <c r="CV103" s="16" t="s">
        <v>657</v>
      </c>
    </row>
    <row r="104" spans="1:100" ht="15" customHeight="1">
      <c r="A104" t="s">
        <v>772</v>
      </c>
      <c r="B104" s="3" t="s">
        <v>773</v>
      </c>
      <c r="C104" s="16" t="s">
        <v>97</v>
      </c>
      <c r="D104" s="41" t="s">
        <v>774</v>
      </c>
      <c r="E104" s="16" t="s">
        <v>97</v>
      </c>
      <c r="F104" s="131" t="s">
        <v>775</v>
      </c>
      <c r="I104" s="100" t="s">
        <v>342</v>
      </c>
      <c r="J104" s="16" t="s">
        <v>101</v>
      </c>
      <c r="K104" s="16"/>
      <c r="L104" s="3" t="s">
        <v>102</v>
      </c>
      <c r="M104" s="3" t="s">
        <v>103</v>
      </c>
      <c r="N104" s="3" t="s">
        <v>104</v>
      </c>
      <c r="O104" s="16" t="s">
        <v>478</v>
      </c>
      <c r="P104" s="2" t="s">
        <v>776</v>
      </c>
      <c r="Q104" s="2" t="s">
        <v>776</v>
      </c>
      <c r="R104" s="2" t="s">
        <v>776</v>
      </c>
      <c r="S104" t="s">
        <v>772</v>
      </c>
      <c r="T104" s="130" t="s">
        <v>465</v>
      </c>
      <c r="U104" s="52">
        <v>5</v>
      </c>
      <c r="V104" s="54"/>
      <c r="W104" s="54"/>
      <c r="X104" s="59" t="s">
        <v>108</v>
      </c>
      <c r="Y104" s="93">
        <f>IF(AD104=0, 0, IF(OR(H104="", H104&lt;&gt;0), 1, 0))</f>
        <v>1</v>
      </c>
      <c r="Z104" s="3">
        <v>0</v>
      </c>
      <c r="AA104" s="3" t="s">
        <v>777</v>
      </c>
      <c r="AD104" s="6">
        <f>ROUND((AG104*(1+AJ104)),2)</f>
        <v>74.44</v>
      </c>
      <c r="AE104" s="68">
        <v>84.827205750000005</v>
      </c>
      <c r="AF104" s="17">
        <f>(AE104*1)</f>
        <v>84.827205750000005</v>
      </c>
      <c r="AG104" s="6">
        <f>ROUND((AE104*AI104),2)</f>
        <v>55.14</v>
      </c>
      <c r="AH104" s="30" t="s">
        <v>110</v>
      </c>
      <c r="AI104" s="3">
        <v>0.65</v>
      </c>
      <c r="AJ104" s="18">
        <v>0.35</v>
      </c>
      <c r="AK104" s="6">
        <f>ROUND((AD104-(AD104*BG104)),2)</f>
        <v>73.7</v>
      </c>
      <c r="AL104" s="6">
        <f>ROUND((AD104-(AD104*BH104)),2)</f>
        <v>72.95</v>
      </c>
      <c r="AM104" s="6">
        <f>ROUND((AD104-(AD104*BI104)),2)</f>
        <v>72.209999999999994</v>
      </c>
      <c r="AN104" s="6">
        <f>ROUND((AD104-(AD104*BJ104)),2)</f>
        <v>72.209999999999994</v>
      </c>
      <c r="AO104" s="6">
        <f>ROUND((AD104-(AD104*BK104)),2)</f>
        <v>74.44</v>
      </c>
      <c r="BG104" s="12">
        <v>0.01</v>
      </c>
      <c r="BH104" s="12">
        <v>0.02</v>
      </c>
      <c r="BI104" s="12">
        <v>0.03</v>
      </c>
      <c r="BJ104" s="12">
        <v>0.03</v>
      </c>
      <c r="CC104" s="3" t="str">
        <f>IF(B104&lt;&gt;"",CONCATENATE(SUBSTITUTE(B104," ","-"),".jpg"),"")</f>
        <v>Allied-Moulded-AMP1204HF.jpg</v>
      </c>
      <c r="CD104" s="16" t="s">
        <v>111</v>
      </c>
      <c r="CE104" s="3"/>
      <c r="CF104" s="3"/>
      <c r="CG104" s="3" t="s">
        <v>112</v>
      </c>
      <c r="CI104" s="3" t="s">
        <v>97</v>
      </c>
      <c r="CJ104" s="3" t="s">
        <v>481</v>
      </c>
      <c r="CK104" s="3" t="s">
        <v>114</v>
      </c>
      <c r="CL104" s="3" t="s">
        <v>115</v>
      </c>
      <c r="CM104" s="3" t="s">
        <v>116</v>
      </c>
      <c r="CN104" s="16" t="s">
        <v>349</v>
      </c>
      <c r="CO104" s="3" t="s">
        <v>482</v>
      </c>
      <c r="CP104" s="3" t="s">
        <v>139</v>
      </c>
      <c r="CQ104" s="3" t="s">
        <v>120</v>
      </c>
      <c r="CR104" s="3" t="s">
        <v>140</v>
      </c>
      <c r="CS104" s="3" t="s">
        <v>384</v>
      </c>
      <c r="CT104" s="16" t="s">
        <v>125</v>
      </c>
      <c r="CU104" s="16" t="s">
        <v>167</v>
      </c>
      <c r="CV104" s="16" t="s">
        <v>657</v>
      </c>
    </row>
    <row r="105" spans="1:100" ht="15" customHeight="1">
      <c r="A105" t="s">
        <v>778</v>
      </c>
      <c r="B105" s="3" t="s">
        <v>779</v>
      </c>
      <c r="C105" s="16" t="s">
        <v>97</v>
      </c>
      <c r="D105" s="40" t="s">
        <v>780</v>
      </c>
      <c r="E105" s="16" t="s">
        <v>97</v>
      </c>
      <c r="F105" s="131" t="s">
        <v>781</v>
      </c>
      <c r="I105" s="100" t="s">
        <v>342</v>
      </c>
      <c r="J105" s="16" t="s">
        <v>101</v>
      </c>
      <c r="K105" s="16"/>
      <c r="L105" s="3" t="s">
        <v>102</v>
      </c>
      <c r="M105" s="3" t="s">
        <v>103</v>
      </c>
      <c r="N105" s="3" t="s">
        <v>104</v>
      </c>
      <c r="O105" s="16" t="s">
        <v>478</v>
      </c>
      <c r="P105" s="2" t="s">
        <v>782</v>
      </c>
      <c r="Q105" s="2" t="s">
        <v>782</v>
      </c>
      <c r="R105" s="2" t="s">
        <v>782</v>
      </c>
      <c r="S105" t="s">
        <v>778</v>
      </c>
      <c r="T105" s="130" t="s">
        <v>465</v>
      </c>
      <c r="U105" s="51">
        <v>5</v>
      </c>
      <c r="V105" s="58"/>
      <c r="W105" s="58"/>
      <c r="X105" s="59" t="s">
        <v>108</v>
      </c>
      <c r="Y105" s="93">
        <f>IF(AD105=0, 0, IF(OR(H105="", H105&lt;&gt;0), 1, 0))</f>
        <v>1</v>
      </c>
      <c r="Z105" s="3">
        <v>0</v>
      </c>
      <c r="AA105" s="3" t="s">
        <v>783</v>
      </c>
      <c r="AD105" s="6">
        <f>ROUND((AG105*(1+AJ105)),2)</f>
        <v>77.040000000000006</v>
      </c>
      <c r="AE105" s="69">
        <v>87.796633050000011</v>
      </c>
      <c r="AF105" s="17">
        <f>(AE105*1)</f>
        <v>87.796633050000011</v>
      </c>
      <c r="AG105" s="6">
        <f>ROUND((AE105*AI105),2)</f>
        <v>57.07</v>
      </c>
      <c r="AH105" s="30" t="s">
        <v>110</v>
      </c>
      <c r="AI105" s="3">
        <v>0.65</v>
      </c>
      <c r="AJ105" s="18">
        <v>0.35</v>
      </c>
      <c r="AK105" s="6">
        <f>ROUND((AD105-(AD105*BG105)),2)</f>
        <v>76.27</v>
      </c>
      <c r="AL105" s="6">
        <f>ROUND((AD105-(AD105*BH105)),2)</f>
        <v>75.5</v>
      </c>
      <c r="AM105" s="6">
        <f>ROUND((AD105-(AD105*BI105)),2)</f>
        <v>74.73</v>
      </c>
      <c r="AN105" s="6">
        <f>ROUND((AD105-(AD105*BJ105)),2)</f>
        <v>74.73</v>
      </c>
      <c r="AO105" s="6">
        <f>ROUND((AD105-(AD105*BK105)),2)</f>
        <v>77.040000000000006</v>
      </c>
      <c r="BG105" s="12">
        <v>0.01</v>
      </c>
      <c r="BH105" s="12">
        <v>0.02</v>
      </c>
      <c r="BI105" s="12">
        <v>0.03</v>
      </c>
      <c r="BJ105" s="12">
        <v>0.03</v>
      </c>
      <c r="CC105" s="3" t="str">
        <f>IF(B105&lt;&gt;"",CONCATENATE(SUBSTITUTE(B105," ","-"),".jpg"),"")</f>
        <v>Allied-Moulded-AMP1206H.jpg</v>
      </c>
      <c r="CD105" s="16" t="s">
        <v>111</v>
      </c>
      <c r="CE105" s="3"/>
      <c r="CF105" s="3"/>
      <c r="CG105" s="3" t="s">
        <v>112</v>
      </c>
      <c r="CI105" s="3" t="s">
        <v>97</v>
      </c>
      <c r="CJ105" s="3" t="s">
        <v>481</v>
      </c>
      <c r="CK105" s="3" t="s">
        <v>114</v>
      </c>
      <c r="CL105" s="3" t="s">
        <v>115</v>
      </c>
      <c r="CM105" s="3" t="s">
        <v>116</v>
      </c>
      <c r="CN105" s="16" t="s">
        <v>349</v>
      </c>
      <c r="CO105" s="3" t="s">
        <v>482</v>
      </c>
      <c r="CP105" s="3" t="s">
        <v>139</v>
      </c>
      <c r="CQ105" s="3" t="s">
        <v>120</v>
      </c>
      <c r="CR105" s="3" t="s">
        <v>140</v>
      </c>
      <c r="CS105" s="3" t="s">
        <v>384</v>
      </c>
      <c r="CT105" s="16" t="s">
        <v>125</v>
      </c>
      <c r="CU105" s="16" t="s">
        <v>167</v>
      </c>
      <c r="CV105" s="16" t="s">
        <v>351</v>
      </c>
    </row>
    <row r="106" spans="1:100" ht="15" customHeight="1">
      <c r="A106" t="s">
        <v>784</v>
      </c>
      <c r="B106" s="3" t="s">
        <v>785</v>
      </c>
      <c r="C106" s="16" t="s">
        <v>97</v>
      </c>
      <c r="D106" s="39" t="s">
        <v>786</v>
      </c>
      <c r="E106" s="16" t="s">
        <v>97</v>
      </c>
      <c r="F106" s="131" t="s">
        <v>787</v>
      </c>
      <c r="I106" s="100" t="s">
        <v>342</v>
      </c>
      <c r="J106" s="16" t="s">
        <v>101</v>
      </c>
      <c r="K106" s="16"/>
      <c r="L106" s="3" t="s">
        <v>102</v>
      </c>
      <c r="M106" s="3" t="s">
        <v>103</v>
      </c>
      <c r="N106" s="3" t="s">
        <v>104</v>
      </c>
      <c r="O106" s="16" t="s">
        <v>478</v>
      </c>
      <c r="P106" s="2" t="s">
        <v>788</v>
      </c>
      <c r="Q106" s="2" t="s">
        <v>788</v>
      </c>
      <c r="R106" s="2" t="s">
        <v>788</v>
      </c>
      <c r="S106" t="s">
        <v>784</v>
      </c>
      <c r="T106" s="130" t="s">
        <v>465</v>
      </c>
      <c r="U106" s="50">
        <v>5</v>
      </c>
      <c r="V106" s="54"/>
      <c r="W106" s="54"/>
      <c r="X106" s="59" t="s">
        <v>108</v>
      </c>
      <c r="Y106" s="93">
        <f>IF(AD106=0, 0, IF(OR(H106="", H106&lt;&gt;0), 1, 0))</f>
        <v>1</v>
      </c>
      <c r="Z106" s="3">
        <v>0</v>
      </c>
      <c r="AA106" s="3" t="s">
        <v>789</v>
      </c>
      <c r="AD106" s="6">
        <f>ROUND((AG106*(1+AJ106)),2)</f>
        <v>80.91</v>
      </c>
      <c r="AE106" s="69">
        <v>92.195199600000009</v>
      </c>
      <c r="AF106" s="17">
        <f>(AE106*1)</f>
        <v>92.195199600000009</v>
      </c>
      <c r="AG106" s="6">
        <f>ROUND((AE106*AI106),2)</f>
        <v>59.93</v>
      </c>
      <c r="AH106" s="30" t="s">
        <v>110</v>
      </c>
      <c r="AI106" s="3">
        <v>0.65</v>
      </c>
      <c r="AJ106" s="18">
        <v>0.35</v>
      </c>
      <c r="AK106" s="6">
        <f>ROUND((AD106-(AD106*BG106)),2)</f>
        <v>80.099999999999994</v>
      </c>
      <c r="AL106" s="6">
        <f>ROUND((AD106-(AD106*BH106)),2)</f>
        <v>79.290000000000006</v>
      </c>
      <c r="AM106" s="6">
        <f>ROUND((AD106-(AD106*BI106)),2)</f>
        <v>78.48</v>
      </c>
      <c r="AN106" s="6">
        <f>ROUND((AD106-(AD106*BJ106)),2)</f>
        <v>78.48</v>
      </c>
      <c r="AO106" s="6">
        <f>ROUND((AD106-(AD106*BK106)),2)</f>
        <v>80.91</v>
      </c>
      <c r="BG106" s="12">
        <v>0.01</v>
      </c>
      <c r="BH106" s="12">
        <v>0.02</v>
      </c>
      <c r="BI106" s="12">
        <v>0.03</v>
      </c>
      <c r="BJ106" s="12">
        <v>0.03</v>
      </c>
      <c r="CC106" s="3" t="str">
        <f>IF(B106&lt;&gt;"",CONCATENATE(SUBSTITUTE(B106," ","-"),".jpg"),"")</f>
        <v>Allied-Moulded-AMP1206HF.jpg</v>
      </c>
      <c r="CD106" s="16" t="s">
        <v>111</v>
      </c>
      <c r="CE106" s="3"/>
      <c r="CF106" s="3"/>
      <c r="CG106" s="3" t="s">
        <v>112</v>
      </c>
      <c r="CI106" s="3" t="s">
        <v>97</v>
      </c>
      <c r="CJ106" s="3" t="s">
        <v>481</v>
      </c>
      <c r="CK106" s="3" t="s">
        <v>114</v>
      </c>
      <c r="CL106" s="3" t="s">
        <v>115</v>
      </c>
      <c r="CM106" s="3" t="s">
        <v>116</v>
      </c>
      <c r="CN106" s="16" t="s">
        <v>349</v>
      </c>
      <c r="CO106" s="3" t="s">
        <v>482</v>
      </c>
      <c r="CP106" s="3" t="s">
        <v>139</v>
      </c>
      <c r="CQ106" s="3" t="s">
        <v>120</v>
      </c>
      <c r="CR106" s="3" t="s">
        <v>140</v>
      </c>
      <c r="CS106" s="3" t="s">
        <v>384</v>
      </c>
      <c r="CT106" s="16" t="s">
        <v>125</v>
      </c>
      <c r="CU106" s="16" t="s">
        <v>167</v>
      </c>
      <c r="CV106" s="16" t="s">
        <v>351</v>
      </c>
    </row>
    <row r="107" spans="1:100" ht="15" customHeight="1">
      <c r="A107" t="s">
        <v>790</v>
      </c>
      <c r="B107" s="3" t="s">
        <v>791</v>
      </c>
      <c r="C107" s="16" t="s">
        <v>97</v>
      </c>
      <c r="D107" s="39" t="s">
        <v>792</v>
      </c>
      <c r="E107" s="16" t="s">
        <v>97</v>
      </c>
      <c r="F107" s="131" t="s">
        <v>793</v>
      </c>
      <c r="I107" s="100" t="s">
        <v>342</v>
      </c>
      <c r="J107" s="16" t="s">
        <v>101</v>
      </c>
      <c r="K107" s="16"/>
      <c r="L107" s="3" t="s">
        <v>102</v>
      </c>
      <c r="M107" s="3" t="s">
        <v>103</v>
      </c>
      <c r="N107" s="3" t="s">
        <v>104</v>
      </c>
      <c r="O107" s="16" t="s">
        <v>478</v>
      </c>
      <c r="P107" s="2" t="s">
        <v>794</v>
      </c>
      <c r="Q107" s="2" t="s">
        <v>794</v>
      </c>
      <c r="R107" s="2" t="s">
        <v>794</v>
      </c>
      <c r="S107" t="s">
        <v>790</v>
      </c>
      <c r="T107" s="130" t="s">
        <v>465</v>
      </c>
      <c r="U107" s="50">
        <v>5</v>
      </c>
      <c r="V107" s="54"/>
      <c r="W107" s="54"/>
      <c r="X107" s="59" t="s">
        <v>108</v>
      </c>
      <c r="Y107" s="93">
        <f>IF(AD107=0, 0, IF(OR(H107="", H107&lt;&gt;0), 1, 0))</f>
        <v>1</v>
      </c>
      <c r="Z107" s="3">
        <v>0</v>
      </c>
      <c r="AA107" s="3" t="s">
        <v>795</v>
      </c>
      <c r="AD107" s="6">
        <f>ROUND((AG107*(1+AJ107)),2)</f>
        <v>79.77</v>
      </c>
      <c r="AE107" s="69">
        <v>90.908976899999999</v>
      </c>
      <c r="AF107" s="17">
        <f>(AE107*1)</f>
        <v>90.908976899999999</v>
      </c>
      <c r="AG107" s="6">
        <f>ROUND((AE107*AI107),2)</f>
        <v>59.09</v>
      </c>
      <c r="AH107" s="30" t="s">
        <v>110</v>
      </c>
      <c r="AI107" s="3">
        <v>0.65</v>
      </c>
      <c r="AJ107" s="18">
        <v>0.35</v>
      </c>
      <c r="AK107" s="6">
        <f>ROUND((AD107-(AD107*BG107)),2)</f>
        <v>78.97</v>
      </c>
      <c r="AL107" s="6">
        <f>ROUND((AD107-(AD107*BH107)),2)</f>
        <v>78.17</v>
      </c>
      <c r="AM107" s="6">
        <f>ROUND((AD107-(AD107*BI107)),2)</f>
        <v>77.38</v>
      </c>
      <c r="AN107" s="6">
        <f>ROUND((AD107-(AD107*BJ107)),2)</f>
        <v>77.38</v>
      </c>
      <c r="AO107" s="6">
        <f>ROUND((AD107-(AD107*BK107)),2)</f>
        <v>79.77</v>
      </c>
      <c r="BG107" s="12">
        <v>0.01</v>
      </c>
      <c r="BH107" s="12">
        <v>0.02</v>
      </c>
      <c r="BI107" s="12">
        <v>0.03</v>
      </c>
      <c r="BJ107" s="12">
        <v>0.03</v>
      </c>
      <c r="CC107" s="3" t="str">
        <f>IF(B107&lt;&gt;"",CONCATENATE(SUBSTITUTE(B107," ","-"),".jpg"),"")</f>
        <v>Allied-Moulded-AMP1204L.jpg</v>
      </c>
      <c r="CD107" s="16" t="s">
        <v>111</v>
      </c>
      <c r="CE107" s="3"/>
      <c r="CF107" s="3"/>
      <c r="CG107" s="3" t="s">
        <v>112</v>
      </c>
      <c r="CI107" s="3" t="s">
        <v>97</v>
      </c>
      <c r="CJ107" s="3" t="s">
        <v>481</v>
      </c>
      <c r="CK107" s="3" t="s">
        <v>114</v>
      </c>
      <c r="CL107" s="3" t="s">
        <v>115</v>
      </c>
      <c r="CM107" s="3" t="s">
        <v>116</v>
      </c>
      <c r="CN107" t="s">
        <v>117</v>
      </c>
      <c r="CO107" s="3" t="s">
        <v>482</v>
      </c>
      <c r="CP107" s="3" t="s">
        <v>139</v>
      </c>
      <c r="CQ107" s="3" t="s">
        <v>120</v>
      </c>
      <c r="CR107" s="3" t="s">
        <v>140</v>
      </c>
      <c r="CS107" s="16" t="s">
        <v>122</v>
      </c>
      <c r="CT107" s="16" t="s">
        <v>125</v>
      </c>
      <c r="CU107" s="16" t="s">
        <v>167</v>
      </c>
      <c r="CV107" s="16" t="s">
        <v>657</v>
      </c>
    </row>
    <row r="108" spans="1:100" ht="15" customHeight="1">
      <c r="A108" t="s">
        <v>796</v>
      </c>
      <c r="B108" s="3" t="s">
        <v>797</v>
      </c>
      <c r="C108" s="16" t="s">
        <v>97</v>
      </c>
      <c r="D108" s="40" t="s">
        <v>798</v>
      </c>
      <c r="E108" s="16" t="s">
        <v>97</v>
      </c>
      <c r="F108" s="131" t="s">
        <v>799</v>
      </c>
      <c r="I108" s="100" t="s">
        <v>342</v>
      </c>
      <c r="J108" s="16" t="s">
        <v>101</v>
      </c>
      <c r="K108" s="16"/>
      <c r="L108" s="3" t="s">
        <v>102</v>
      </c>
      <c r="M108" s="3" t="s">
        <v>103</v>
      </c>
      <c r="N108" s="3" t="s">
        <v>104</v>
      </c>
      <c r="O108" s="16" t="s">
        <v>478</v>
      </c>
      <c r="P108" s="2" t="s">
        <v>800</v>
      </c>
      <c r="Q108" s="2" t="s">
        <v>800</v>
      </c>
      <c r="R108" s="2" t="s">
        <v>800</v>
      </c>
      <c r="S108" t="s">
        <v>796</v>
      </c>
      <c r="T108" s="130" t="s">
        <v>465</v>
      </c>
      <c r="U108" s="51">
        <v>5</v>
      </c>
      <c r="V108" s="58"/>
      <c r="W108" s="58"/>
      <c r="X108" s="59" t="s">
        <v>108</v>
      </c>
      <c r="Y108" s="93">
        <f>IF(AD108=0, 0, IF(OR(H108="", H108&lt;&gt;0), 1, 0))</f>
        <v>1</v>
      </c>
      <c r="Z108" s="3">
        <v>0</v>
      </c>
      <c r="AA108" s="3" t="s">
        <v>801</v>
      </c>
      <c r="AD108" s="6">
        <f>ROUND((AG108*(1+AJ108)),2)</f>
        <v>83.77</v>
      </c>
      <c r="AE108" s="69">
        <v>95.466332850000001</v>
      </c>
      <c r="AF108" s="17">
        <f>(AE108*1)</f>
        <v>95.466332850000001</v>
      </c>
      <c r="AG108" s="6">
        <f>ROUND((AE108*AI108),2)</f>
        <v>62.05</v>
      </c>
      <c r="AH108" s="30" t="s">
        <v>110</v>
      </c>
      <c r="AI108" s="3">
        <v>0.65</v>
      </c>
      <c r="AJ108" s="18">
        <v>0.35</v>
      </c>
      <c r="AK108" s="6">
        <f>ROUND((AD108-(AD108*BG108)),2)</f>
        <v>82.93</v>
      </c>
      <c r="AL108" s="6">
        <f>ROUND((AD108-(AD108*BH108)),2)</f>
        <v>82.09</v>
      </c>
      <c r="AM108" s="6">
        <f>ROUND((AD108-(AD108*BI108)),2)</f>
        <v>81.260000000000005</v>
      </c>
      <c r="AN108" s="6">
        <f>ROUND((AD108-(AD108*BJ108)),2)</f>
        <v>81.260000000000005</v>
      </c>
      <c r="AO108" s="6">
        <f>ROUND((AD108-(AD108*BK108)),2)</f>
        <v>83.77</v>
      </c>
      <c r="BG108" s="12">
        <v>0.01</v>
      </c>
      <c r="BH108" s="12">
        <v>0.02</v>
      </c>
      <c r="BI108" s="12">
        <v>0.03</v>
      </c>
      <c r="BJ108" s="12">
        <v>0.03</v>
      </c>
      <c r="CC108" s="3" t="str">
        <f>IF(B108&lt;&gt;"",CONCATENATE(SUBSTITUTE(B108," ","-"),".jpg"),"")</f>
        <v>Allied-Moulded-AMP1204LF.jpg</v>
      </c>
      <c r="CD108" s="16" t="s">
        <v>111</v>
      </c>
      <c r="CE108" s="3"/>
      <c r="CF108" s="3"/>
      <c r="CG108" s="3" t="s">
        <v>112</v>
      </c>
      <c r="CI108" s="3" t="s">
        <v>97</v>
      </c>
      <c r="CJ108" s="3" t="s">
        <v>481</v>
      </c>
      <c r="CK108" s="3" t="s">
        <v>114</v>
      </c>
      <c r="CL108" s="3" t="s">
        <v>115</v>
      </c>
      <c r="CM108" s="3" t="s">
        <v>116</v>
      </c>
      <c r="CN108" t="s">
        <v>117</v>
      </c>
      <c r="CO108" s="3" t="s">
        <v>482</v>
      </c>
      <c r="CP108" s="3" t="s">
        <v>139</v>
      </c>
      <c r="CQ108" s="3" t="s">
        <v>120</v>
      </c>
      <c r="CR108" s="3" t="s">
        <v>140</v>
      </c>
      <c r="CS108" s="16" t="s">
        <v>122</v>
      </c>
      <c r="CT108" s="16" t="s">
        <v>125</v>
      </c>
      <c r="CU108" s="16" t="s">
        <v>167</v>
      </c>
      <c r="CV108" s="16" t="s">
        <v>657</v>
      </c>
    </row>
    <row r="109" spans="1:100" ht="15" customHeight="1">
      <c r="A109" t="s">
        <v>802</v>
      </c>
      <c r="B109" s="3" t="s">
        <v>803</v>
      </c>
      <c r="C109" s="16" t="s">
        <v>97</v>
      </c>
      <c r="D109" s="39" t="s">
        <v>804</v>
      </c>
      <c r="E109" s="16" t="s">
        <v>97</v>
      </c>
      <c r="F109" s="131" t="s">
        <v>805</v>
      </c>
      <c r="I109" s="100" t="s">
        <v>342</v>
      </c>
      <c r="J109" s="16" t="s">
        <v>101</v>
      </c>
      <c r="K109" s="16"/>
      <c r="L109" s="3" t="s">
        <v>102</v>
      </c>
      <c r="M109" s="3" t="s">
        <v>103</v>
      </c>
      <c r="N109" s="3" t="s">
        <v>104</v>
      </c>
      <c r="O109" s="16" t="s">
        <v>478</v>
      </c>
      <c r="P109" s="2" t="s">
        <v>806</v>
      </c>
      <c r="Q109" s="2" t="s">
        <v>806</v>
      </c>
      <c r="R109" s="2" t="s">
        <v>806</v>
      </c>
      <c r="S109" t="s">
        <v>802</v>
      </c>
      <c r="T109" s="130" t="s">
        <v>465</v>
      </c>
      <c r="U109" s="50">
        <v>5</v>
      </c>
      <c r="V109" s="54"/>
      <c r="W109" s="54"/>
      <c r="X109" s="59" t="s">
        <v>108</v>
      </c>
      <c r="Y109" s="93">
        <f>IF(AD109=0, 0, IF(OR(H109="", H109&lt;&gt;0), 1, 0))</f>
        <v>1</v>
      </c>
      <c r="Z109" s="3">
        <v>0</v>
      </c>
      <c r="AA109" s="3" t="s">
        <v>807</v>
      </c>
      <c r="AD109" s="6">
        <f>ROUND((AG109*(1+AJ109)),2)</f>
        <v>86.71</v>
      </c>
      <c r="AE109" s="69">
        <v>98.816867099999996</v>
      </c>
      <c r="AF109" s="17">
        <f>(AE109*1)</f>
        <v>98.816867099999996</v>
      </c>
      <c r="AG109" s="6">
        <f>ROUND((AE109*AI109),2)</f>
        <v>64.23</v>
      </c>
      <c r="AH109" s="30" t="s">
        <v>110</v>
      </c>
      <c r="AI109" s="3">
        <v>0.65</v>
      </c>
      <c r="AJ109" s="18">
        <v>0.35</v>
      </c>
      <c r="AK109" s="6">
        <f>ROUND((AD109-(AD109*BG109)),2)</f>
        <v>85.84</v>
      </c>
      <c r="AL109" s="6">
        <f>ROUND((AD109-(AD109*BH109)),2)</f>
        <v>84.98</v>
      </c>
      <c r="AM109" s="6">
        <f>ROUND((AD109-(AD109*BI109)),2)</f>
        <v>84.11</v>
      </c>
      <c r="AN109" s="6">
        <f>ROUND((AD109-(AD109*BJ109)),2)</f>
        <v>84.11</v>
      </c>
      <c r="AO109" s="6">
        <f>ROUND((AD109-(AD109*BK109)),2)</f>
        <v>86.71</v>
      </c>
      <c r="BG109" s="12">
        <v>0.01</v>
      </c>
      <c r="BH109" s="12">
        <v>0.02</v>
      </c>
      <c r="BI109" s="12">
        <v>0.03</v>
      </c>
      <c r="BJ109" s="12">
        <v>0.03</v>
      </c>
      <c r="CC109" s="3" t="str">
        <f>IF(B109&lt;&gt;"",CONCATENATE(SUBSTITUTE(B109," ","-"),".jpg"),"")</f>
        <v>Allied-Moulded-AMP1206L.jpg</v>
      </c>
      <c r="CD109" s="16" t="s">
        <v>111</v>
      </c>
      <c r="CE109" s="3"/>
      <c r="CF109" s="3"/>
      <c r="CG109" s="3" t="s">
        <v>112</v>
      </c>
      <c r="CI109" s="3" t="s">
        <v>97</v>
      </c>
      <c r="CJ109" s="3" t="s">
        <v>481</v>
      </c>
      <c r="CK109" s="3" t="s">
        <v>114</v>
      </c>
      <c r="CL109" s="3" t="s">
        <v>115</v>
      </c>
      <c r="CM109" s="3" t="s">
        <v>116</v>
      </c>
      <c r="CN109" t="s">
        <v>117</v>
      </c>
      <c r="CO109" s="3" t="s">
        <v>482</v>
      </c>
      <c r="CP109" s="3" t="s">
        <v>139</v>
      </c>
      <c r="CQ109" s="3" t="s">
        <v>120</v>
      </c>
      <c r="CR109" s="3" t="s">
        <v>140</v>
      </c>
      <c r="CS109" s="16" t="s">
        <v>122</v>
      </c>
      <c r="CT109" s="16" t="s">
        <v>125</v>
      </c>
      <c r="CU109" s="16" t="s">
        <v>167</v>
      </c>
      <c r="CV109" s="16" t="s">
        <v>351</v>
      </c>
    </row>
    <row r="110" spans="1:100" ht="15" customHeight="1">
      <c r="A110" t="s">
        <v>808</v>
      </c>
      <c r="B110" s="3" t="s">
        <v>809</v>
      </c>
      <c r="C110" s="16" t="s">
        <v>97</v>
      </c>
      <c r="D110" s="40" t="s">
        <v>810</v>
      </c>
      <c r="E110" s="16" t="s">
        <v>97</v>
      </c>
      <c r="F110" s="131" t="s">
        <v>811</v>
      </c>
      <c r="I110" s="100" t="s">
        <v>342</v>
      </c>
      <c r="J110" s="16" t="s">
        <v>101</v>
      </c>
      <c r="K110" s="16"/>
      <c r="L110" s="3" t="s">
        <v>102</v>
      </c>
      <c r="M110" s="3" t="s">
        <v>103</v>
      </c>
      <c r="N110" s="3" t="s">
        <v>104</v>
      </c>
      <c r="O110" s="16" t="s">
        <v>478</v>
      </c>
      <c r="P110" s="2" t="s">
        <v>812</v>
      </c>
      <c r="Q110" s="2" t="s">
        <v>812</v>
      </c>
      <c r="R110" s="2" t="s">
        <v>812</v>
      </c>
      <c r="S110" t="s">
        <v>808</v>
      </c>
      <c r="T110" s="130" t="s">
        <v>465</v>
      </c>
      <c r="U110" s="51">
        <v>5</v>
      </c>
      <c r="V110" s="58"/>
      <c r="W110" s="58"/>
      <c r="X110" s="59" t="s">
        <v>108</v>
      </c>
      <c r="Y110" s="93">
        <f>IF(AD110=0, 0, IF(OR(H110="", H110&lt;&gt;0), 1, 0))</f>
        <v>1</v>
      </c>
      <c r="Z110" s="3">
        <v>0</v>
      </c>
      <c r="AA110" s="3" t="s">
        <v>813</v>
      </c>
      <c r="AD110" s="6">
        <f>ROUND((AG110*(1+AJ110)),2)</f>
        <v>91.06</v>
      </c>
      <c r="AE110" s="69">
        <v>103.7712081</v>
      </c>
      <c r="AF110" s="17">
        <f>(AE110*1)</f>
        <v>103.7712081</v>
      </c>
      <c r="AG110" s="6">
        <f>ROUND((AE110*AI110),2)</f>
        <v>67.45</v>
      </c>
      <c r="AH110" s="30" t="s">
        <v>110</v>
      </c>
      <c r="AI110" s="3">
        <v>0.65</v>
      </c>
      <c r="AJ110" s="18">
        <v>0.35</v>
      </c>
      <c r="AK110" s="6">
        <f>ROUND((AD110-(AD110*BG110)),2)</f>
        <v>90.15</v>
      </c>
      <c r="AL110" s="6">
        <f>ROUND((AD110-(AD110*BH110)),2)</f>
        <v>89.24</v>
      </c>
      <c r="AM110" s="6">
        <f>ROUND((AD110-(AD110*BI110)),2)</f>
        <v>88.33</v>
      </c>
      <c r="AN110" s="6">
        <f>ROUND((AD110-(AD110*BJ110)),2)</f>
        <v>88.33</v>
      </c>
      <c r="AO110" s="6">
        <f>ROUND((AD110-(AD110*BK110)),2)</f>
        <v>91.06</v>
      </c>
      <c r="BG110" s="12">
        <v>0.01</v>
      </c>
      <c r="BH110" s="12">
        <v>0.02</v>
      </c>
      <c r="BI110" s="12">
        <v>0.03</v>
      </c>
      <c r="BJ110" s="12">
        <v>0.03</v>
      </c>
      <c r="CC110" s="3" t="str">
        <f>IF(B110&lt;&gt;"",CONCATENATE(SUBSTITUTE(B110," ","-"),".jpg"),"")</f>
        <v>Allied-Moulded-AMP1206LF.jpg</v>
      </c>
      <c r="CD110" s="16" t="s">
        <v>111</v>
      </c>
      <c r="CE110" s="3"/>
      <c r="CF110" s="3"/>
      <c r="CG110" s="3" t="s">
        <v>112</v>
      </c>
      <c r="CI110" s="3" t="s">
        <v>97</v>
      </c>
      <c r="CJ110" s="3" t="s">
        <v>481</v>
      </c>
      <c r="CK110" s="3" t="s">
        <v>114</v>
      </c>
      <c r="CL110" s="3" t="s">
        <v>115</v>
      </c>
      <c r="CM110" s="3" t="s">
        <v>116</v>
      </c>
      <c r="CN110" t="s">
        <v>117</v>
      </c>
      <c r="CO110" s="3" t="s">
        <v>482</v>
      </c>
      <c r="CP110" s="3" t="s">
        <v>139</v>
      </c>
      <c r="CQ110" s="3" t="s">
        <v>120</v>
      </c>
      <c r="CR110" s="3" t="s">
        <v>140</v>
      </c>
      <c r="CS110" s="16" t="s">
        <v>122</v>
      </c>
      <c r="CT110" s="16" t="s">
        <v>125</v>
      </c>
      <c r="CU110" s="16" t="s">
        <v>167</v>
      </c>
      <c r="CV110" s="16" t="s">
        <v>351</v>
      </c>
    </row>
    <row r="111" spans="1:100" ht="15" customHeight="1">
      <c r="A111" t="s">
        <v>814</v>
      </c>
      <c r="B111" s="3" t="s">
        <v>815</v>
      </c>
      <c r="C111" s="16" t="s">
        <v>97</v>
      </c>
      <c r="D111" s="40" t="s">
        <v>816</v>
      </c>
      <c r="E111" s="16" t="s">
        <v>97</v>
      </c>
      <c r="F111" s="131" t="s">
        <v>817</v>
      </c>
      <c r="I111" s="100" t="s">
        <v>342</v>
      </c>
      <c r="J111" s="16" t="s">
        <v>101</v>
      </c>
      <c r="K111" s="16"/>
      <c r="L111" s="3" t="s">
        <v>102</v>
      </c>
      <c r="M111" s="3" t="s">
        <v>103</v>
      </c>
      <c r="N111" s="3" t="s">
        <v>104</v>
      </c>
      <c r="O111" s="16" t="s">
        <v>478</v>
      </c>
      <c r="P111" s="2" t="s">
        <v>818</v>
      </c>
      <c r="Q111" s="2" t="s">
        <v>818</v>
      </c>
      <c r="R111" s="2" t="s">
        <v>818</v>
      </c>
      <c r="S111" t="s">
        <v>814</v>
      </c>
      <c r="T111" s="130" t="s">
        <v>465</v>
      </c>
      <c r="U111" s="51">
        <v>5</v>
      </c>
      <c r="V111" s="58"/>
      <c r="W111" s="58"/>
      <c r="X111" s="59" t="s">
        <v>108</v>
      </c>
      <c r="Y111" s="93">
        <f>IF(AD111=0, 0, IF(OR(H111="", H111&lt;&gt;0), 1, 0))</f>
        <v>1</v>
      </c>
      <c r="Z111" s="3">
        <v>0</v>
      </c>
      <c r="AA111" s="3" t="s">
        <v>819</v>
      </c>
      <c r="AD111" s="6">
        <f>ROUND((AG111*(1+AJ111)),2)</f>
        <v>75.8</v>
      </c>
      <c r="AE111" s="69">
        <v>86.383377150000001</v>
      </c>
      <c r="AF111" s="17">
        <f>(AE111*1)</f>
        <v>86.383377150000001</v>
      </c>
      <c r="AG111" s="6">
        <f>ROUND((AE111*AI111),2)</f>
        <v>56.15</v>
      </c>
      <c r="AH111" s="30" t="s">
        <v>110</v>
      </c>
      <c r="AI111" s="3">
        <v>0.65</v>
      </c>
      <c r="AJ111" s="18">
        <v>0.35</v>
      </c>
      <c r="AK111" s="6">
        <f>ROUND((AD111-(AD111*BG111)),2)</f>
        <v>75.040000000000006</v>
      </c>
      <c r="AL111" s="6">
        <f>ROUND((AD111-(AD111*BH111)),2)</f>
        <v>74.28</v>
      </c>
      <c r="AM111" s="6">
        <f>ROUND((AD111-(AD111*BI111)),2)</f>
        <v>73.53</v>
      </c>
      <c r="AN111" s="6">
        <f>ROUND((AD111-(AD111*BJ111)),2)</f>
        <v>73.53</v>
      </c>
      <c r="AO111" s="6">
        <f>ROUND((AD111-(AD111*BK111)),2)</f>
        <v>75.8</v>
      </c>
      <c r="BG111" s="12">
        <v>0.01</v>
      </c>
      <c r="BH111" s="12">
        <v>0.02</v>
      </c>
      <c r="BI111" s="12">
        <v>0.03</v>
      </c>
      <c r="BJ111" s="12">
        <v>0.03</v>
      </c>
      <c r="CC111" s="3" t="str">
        <f>IF(B111&lt;&gt;"",CONCATENATE(SUBSTITUTE(B111," ","-"),".jpg"),"")</f>
        <v>Allied-Moulded-AMP1204NL.jpg</v>
      </c>
      <c r="CD111" s="16" t="s">
        <v>111</v>
      </c>
      <c r="CE111" s="3"/>
      <c r="CF111" s="3"/>
      <c r="CG111" s="3" t="s">
        <v>112</v>
      </c>
      <c r="CI111" s="3" t="s">
        <v>97</v>
      </c>
      <c r="CJ111" s="3" t="s">
        <v>481</v>
      </c>
      <c r="CK111" s="3" t="s">
        <v>114</v>
      </c>
      <c r="CL111" s="3" t="s">
        <v>115</v>
      </c>
      <c r="CM111" s="3" t="s">
        <v>116</v>
      </c>
      <c r="CN111" t="s">
        <v>117</v>
      </c>
      <c r="CO111" s="3" t="s">
        <v>482</v>
      </c>
      <c r="CP111" s="3" t="s">
        <v>139</v>
      </c>
      <c r="CQ111" s="3" t="s">
        <v>120</v>
      </c>
      <c r="CR111" s="3" t="s">
        <v>140</v>
      </c>
      <c r="CS111" s="16" t="s">
        <v>122</v>
      </c>
      <c r="CT111" s="16" t="s">
        <v>125</v>
      </c>
      <c r="CU111" s="16" t="s">
        <v>167</v>
      </c>
      <c r="CV111" s="16" t="s">
        <v>657</v>
      </c>
    </row>
    <row r="112" spans="1:100" ht="15" customHeight="1">
      <c r="A112" t="s">
        <v>820</v>
      </c>
      <c r="B112" s="3" t="s">
        <v>821</v>
      </c>
      <c r="C112" s="16" t="s">
        <v>97</v>
      </c>
      <c r="D112" s="39" t="s">
        <v>822</v>
      </c>
      <c r="E112" s="16" t="s">
        <v>97</v>
      </c>
      <c r="F112" s="131" t="s">
        <v>823</v>
      </c>
      <c r="I112" s="100" t="s">
        <v>342</v>
      </c>
      <c r="J112" s="16" t="s">
        <v>101</v>
      </c>
      <c r="K112" s="16"/>
      <c r="L112" s="3" t="s">
        <v>102</v>
      </c>
      <c r="M112" s="3" t="s">
        <v>103</v>
      </c>
      <c r="N112" s="3" t="s">
        <v>104</v>
      </c>
      <c r="O112" s="16" t="s">
        <v>478</v>
      </c>
      <c r="P112" s="2" t="s">
        <v>824</v>
      </c>
      <c r="Q112" s="2" t="s">
        <v>824</v>
      </c>
      <c r="R112" s="2" t="s">
        <v>824</v>
      </c>
      <c r="S112" t="s">
        <v>820</v>
      </c>
      <c r="T112" s="130" t="s">
        <v>465</v>
      </c>
      <c r="U112" s="50">
        <v>5</v>
      </c>
      <c r="V112" s="54"/>
      <c r="W112" s="54"/>
      <c r="X112" s="59" t="s">
        <v>108</v>
      </c>
      <c r="Y112" s="93">
        <f>IF(AD112=0, 0, IF(OR(H112="", H112&lt;&gt;0), 1, 0))</f>
        <v>1</v>
      </c>
      <c r="Z112" s="3">
        <v>0</v>
      </c>
      <c r="AA112" s="3" t="s">
        <v>825</v>
      </c>
      <c r="AD112" s="6">
        <f>ROUND((AG112*(1+AJ112)),2)</f>
        <v>79.599999999999994</v>
      </c>
      <c r="AE112" s="69">
        <v>90.702544799999984</v>
      </c>
      <c r="AF112" s="17">
        <f>(AE112*1)</f>
        <v>90.702544799999984</v>
      </c>
      <c r="AG112" s="6">
        <f>ROUND((AE112*AI112),2)</f>
        <v>58.96</v>
      </c>
      <c r="AH112" s="30" t="s">
        <v>110</v>
      </c>
      <c r="AI112" s="3">
        <v>0.65</v>
      </c>
      <c r="AJ112" s="18">
        <v>0.35</v>
      </c>
      <c r="AK112" s="6">
        <f>ROUND((AD112-(AD112*BG112)),2)</f>
        <v>78.8</v>
      </c>
      <c r="AL112" s="6">
        <f>ROUND((AD112-(AD112*BH112)),2)</f>
        <v>78.010000000000005</v>
      </c>
      <c r="AM112" s="6">
        <f>ROUND((AD112-(AD112*BI112)),2)</f>
        <v>77.209999999999994</v>
      </c>
      <c r="AN112" s="6">
        <f>ROUND((AD112-(AD112*BJ112)),2)</f>
        <v>77.209999999999994</v>
      </c>
      <c r="AO112" s="6">
        <f>ROUND((AD112-(AD112*BK112)),2)</f>
        <v>79.599999999999994</v>
      </c>
      <c r="BG112" s="12">
        <v>0.01</v>
      </c>
      <c r="BH112" s="12">
        <v>0.02</v>
      </c>
      <c r="BI112" s="12">
        <v>0.03</v>
      </c>
      <c r="BJ112" s="12">
        <v>0.03</v>
      </c>
      <c r="CC112" s="3" t="str">
        <f>IF(B112&lt;&gt;"",CONCATENATE(SUBSTITUTE(B112," ","-"),".jpg"),"")</f>
        <v>Allied-Moulded-AMP1204NLF.jpg</v>
      </c>
      <c r="CD112" s="16" t="s">
        <v>111</v>
      </c>
      <c r="CE112" s="3"/>
      <c r="CF112" s="3"/>
      <c r="CG112" s="3" t="s">
        <v>112</v>
      </c>
      <c r="CI112" s="3" t="s">
        <v>97</v>
      </c>
      <c r="CJ112" s="3" t="s">
        <v>481</v>
      </c>
      <c r="CK112" s="3" t="s">
        <v>114</v>
      </c>
      <c r="CL112" s="3" t="s">
        <v>115</v>
      </c>
      <c r="CM112" s="3" t="s">
        <v>116</v>
      </c>
      <c r="CN112" t="s">
        <v>117</v>
      </c>
      <c r="CO112" s="3" t="s">
        <v>482</v>
      </c>
      <c r="CP112" s="3" t="s">
        <v>139</v>
      </c>
      <c r="CQ112" s="3" t="s">
        <v>120</v>
      </c>
      <c r="CR112" s="3" t="s">
        <v>140</v>
      </c>
      <c r="CS112" s="16" t="s">
        <v>122</v>
      </c>
      <c r="CT112" s="16" t="s">
        <v>125</v>
      </c>
      <c r="CU112" s="16" t="s">
        <v>167</v>
      </c>
      <c r="CV112" s="16" t="s">
        <v>657</v>
      </c>
    </row>
    <row r="113" spans="1:100" ht="15" customHeight="1">
      <c r="A113" t="s">
        <v>826</v>
      </c>
      <c r="B113" s="3" t="s">
        <v>827</v>
      </c>
      <c r="C113" s="16" t="s">
        <v>97</v>
      </c>
      <c r="D113" s="40" t="s">
        <v>828</v>
      </c>
      <c r="E113" s="16" t="s">
        <v>97</v>
      </c>
      <c r="F113" s="131" t="s">
        <v>829</v>
      </c>
      <c r="I113" s="100" t="s">
        <v>342</v>
      </c>
      <c r="J113" s="16" t="s">
        <v>101</v>
      </c>
      <c r="K113" s="16"/>
      <c r="L113" s="3" t="s">
        <v>102</v>
      </c>
      <c r="M113" s="3" t="s">
        <v>103</v>
      </c>
      <c r="N113" s="3" t="s">
        <v>104</v>
      </c>
      <c r="O113" s="16" t="s">
        <v>478</v>
      </c>
      <c r="P113" s="2" t="s">
        <v>830</v>
      </c>
      <c r="Q113" s="2" t="s">
        <v>830</v>
      </c>
      <c r="R113" s="2" t="s">
        <v>830</v>
      </c>
      <c r="S113" t="s">
        <v>826</v>
      </c>
      <c r="T113" s="130" t="s">
        <v>465</v>
      </c>
      <c r="U113" s="51">
        <v>5</v>
      </c>
      <c r="V113" s="58"/>
      <c r="W113" s="58"/>
      <c r="X113" s="59" t="s">
        <v>108</v>
      </c>
      <c r="Y113" s="93">
        <f>IF(AD113=0, 0, IF(OR(H113="", H113&lt;&gt;0), 1, 0))</f>
        <v>1</v>
      </c>
      <c r="Z113" s="3">
        <v>0</v>
      </c>
      <c r="AA113" s="3" t="s">
        <v>831</v>
      </c>
      <c r="AD113" s="6">
        <f>ROUND((AG113*(1+AJ113)),2)</f>
        <v>82.39</v>
      </c>
      <c r="AE113" s="69">
        <v>93.894285450000012</v>
      </c>
      <c r="AF113" s="17">
        <f>(AE113*1)</f>
        <v>93.894285450000012</v>
      </c>
      <c r="AG113" s="6">
        <f>ROUND((AE113*AI113),2)</f>
        <v>61.03</v>
      </c>
      <c r="AH113" s="30" t="s">
        <v>110</v>
      </c>
      <c r="AI113" s="3">
        <v>0.65</v>
      </c>
      <c r="AJ113" s="18">
        <v>0.35</v>
      </c>
      <c r="AK113" s="6">
        <f>ROUND((AD113-(AD113*BG113)),2)</f>
        <v>81.569999999999993</v>
      </c>
      <c r="AL113" s="6">
        <f>ROUND((AD113-(AD113*BH113)),2)</f>
        <v>80.739999999999995</v>
      </c>
      <c r="AM113" s="6">
        <f>ROUND((AD113-(AD113*BI113)),2)</f>
        <v>79.92</v>
      </c>
      <c r="AN113" s="6">
        <f>ROUND((AD113-(AD113*BJ113)),2)</f>
        <v>79.92</v>
      </c>
      <c r="AO113" s="6">
        <f>ROUND((AD113-(AD113*BK113)),2)</f>
        <v>82.39</v>
      </c>
      <c r="BG113" s="12">
        <v>0.01</v>
      </c>
      <c r="BH113" s="12">
        <v>0.02</v>
      </c>
      <c r="BI113" s="12">
        <v>0.03</v>
      </c>
      <c r="BJ113" s="12">
        <v>0.03</v>
      </c>
      <c r="CC113" s="3" t="str">
        <f>IF(B113&lt;&gt;"",CONCATENATE(SUBSTITUTE(B113," ","-"),".jpg"),"")</f>
        <v>Allied-Moulded-AMP1206NL.jpg</v>
      </c>
      <c r="CD113" s="16" t="s">
        <v>111</v>
      </c>
      <c r="CE113" s="3"/>
      <c r="CF113" s="3"/>
      <c r="CG113" s="3" t="s">
        <v>112</v>
      </c>
      <c r="CI113" s="3" t="s">
        <v>97</v>
      </c>
      <c r="CJ113" s="3" t="s">
        <v>481</v>
      </c>
      <c r="CK113" s="3" t="s">
        <v>114</v>
      </c>
      <c r="CL113" s="3" t="s">
        <v>115</v>
      </c>
      <c r="CM113" s="3" t="s">
        <v>116</v>
      </c>
      <c r="CN113" t="s">
        <v>117</v>
      </c>
      <c r="CO113" s="3" t="s">
        <v>482</v>
      </c>
      <c r="CP113" s="3" t="s">
        <v>139</v>
      </c>
      <c r="CQ113" s="3" t="s">
        <v>120</v>
      </c>
      <c r="CR113" s="3" t="s">
        <v>140</v>
      </c>
      <c r="CS113" s="16" t="s">
        <v>122</v>
      </c>
      <c r="CT113" s="16" t="s">
        <v>125</v>
      </c>
      <c r="CU113" s="16" t="s">
        <v>167</v>
      </c>
      <c r="CV113" s="16" t="s">
        <v>351</v>
      </c>
    </row>
    <row r="114" spans="1:100" ht="15" customHeight="1">
      <c r="A114" t="s">
        <v>832</v>
      </c>
      <c r="B114" s="3" t="s">
        <v>833</v>
      </c>
      <c r="C114" s="16" t="s">
        <v>97</v>
      </c>
      <c r="D114" s="39" t="s">
        <v>834</v>
      </c>
      <c r="E114" s="16" t="s">
        <v>97</v>
      </c>
      <c r="F114" s="131" t="s">
        <v>835</v>
      </c>
      <c r="I114" s="100" t="s">
        <v>342</v>
      </c>
      <c r="J114" s="16" t="s">
        <v>101</v>
      </c>
      <c r="K114" s="16"/>
      <c r="L114" s="3" t="s">
        <v>102</v>
      </c>
      <c r="M114" s="3" t="s">
        <v>103</v>
      </c>
      <c r="N114" s="3" t="s">
        <v>104</v>
      </c>
      <c r="O114" s="16" t="s">
        <v>478</v>
      </c>
      <c r="P114" s="2" t="s">
        <v>836</v>
      </c>
      <c r="Q114" s="2" t="s">
        <v>836</v>
      </c>
      <c r="R114" s="2" t="s">
        <v>836</v>
      </c>
      <c r="S114" t="s">
        <v>832</v>
      </c>
      <c r="T114" s="130" t="s">
        <v>465</v>
      </c>
      <c r="U114" s="50">
        <v>5</v>
      </c>
      <c r="V114" s="54"/>
      <c r="W114" s="54"/>
      <c r="X114" s="59" t="s">
        <v>108</v>
      </c>
      <c r="Y114" s="93">
        <f>IF(AD114=0, 0, IF(OR(H114="", H114&lt;&gt;0), 1, 0))</f>
        <v>1</v>
      </c>
      <c r="Z114" s="3">
        <v>0</v>
      </c>
      <c r="AA114" s="3" t="s">
        <v>837</v>
      </c>
      <c r="AD114" s="6">
        <f>ROUND((AG114*(1+AJ114)),2)</f>
        <v>86.52</v>
      </c>
      <c r="AE114" s="69">
        <v>98.594555849999992</v>
      </c>
      <c r="AF114" s="17">
        <f>(AE114*1)</f>
        <v>98.594555849999992</v>
      </c>
      <c r="AG114" s="6">
        <f>ROUND((AE114*AI114),2)</f>
        <v>64.09</v>
      </c>
      <c r="AH114" s="30" t="s">
        <v>110</v>
      </c>
      <c r="AI114" s="3">
        <v>0.65</v>
      </c>
      <c r="AJ114" s="18">
        <v>0.35</v>
      </c>
      <c r="AK114" s="6">
        <f>ROUND((AD114-(AD114*BG114)),2)</f>
        <v>85.65</v>
      </c>
      <c r="AL114" s="6">
        <f>ROUND((AD114-(AD114*BH114)),2)</f>
        <v>84.79</v>
      </c>
      <c r="AM114" s="6">
        <f>ROUND((AD114-(AD114*BI114)),2)</f>
        <v>83.92</v>
      </c>
      <c r="AN114" s="6">
        <f>ROUND((AD114-(AD114*BJ114)),2)</f>
        <v>83.92</v>
      </c>
      <c r="AO114" s="6">
        <f>ROUND((AD114-(AD114*BK114)),2)</f>
        <v>86.52</v>
      </c>
      <c r="BG114" s="12">
        <v>0.01</v>
      </c>
      <c r="BH114" s="12">
        <v>0.02</v>
      </c>
      <c r="BI114" s="12">
        <v>0.03</v>
      </c>
      <c r="BJ114" s="12">
        <v>0.03</v>
      </c>
      <c r="CC114" s="3" t="str">
        <f>IF(B114&lt;&gt;"",CONCATENATE(SUBSTITUTE(B114," ","-"),".jpg"),"")</f>
        <v>Allied-Moulded-AMP1206NLF.jpg</v>
      </c>
      <c r="CD114" s="16" t="s">
        <v>111</v>
      </c>
      <c r="CE114" s="3"/>
      <c r="CF114" s="3"/>
      <c r="CG114" s="3" t="s">
        <v>112</v>
      </c>
      <c r="CI114" s="3" t="s">
        <v>97</v>
      </c>
      <c r="CJ114" s="3" t="s">
        <v>481</v>
      </c>
      <c r="CK114" s="3" t="s">
        <v>114</v>
      </c>
      <c r="CL114" s="3" t="s">
        <v>115</v>
      </c>
      <c r="CM114" s="3" t="s">
        <v>116</v>
      </c>
      <c r="CN114" t="s">
        <v>117</v>
      </c>
      <c r="CO114" s="3" t="s">
        <v>482</v>
      </c>
      <c r="CP114" s="3" t="s">
        <v>139</v>
      </c>
      <c r="CQ114" s="3" t="s">
        <v>120</v>
      </c>
      <c r="CR114" s="3" t="s">
        <v>140</v>
      </c>
      <c r="CS114" s="16" t="s">
        <v>122</v>
      </c>
      <c r="CT114" s="16" t="s">
        <v>125</v>
      </c>
      <c r="CU114" s="16" t="s">
        <v>167</v>
      </c>
      <c r="CV114" s="16" t="s">
        <v>351</v>
      </c>
    </row>
    <row r="115" spans="1:100" ht="15" customHeight="1">
      <c r="A115" t="s">
        <v>838</v>
      </c>
      <c r="B115" s="3" t="s">
        <v>839</v>
      </c>
      <c r="C115" s="16" t="s">
        <v>97</v>
      </c>
      <c r="D115" s="42" t="s">
        <v>840</v>
      </c>
      <c r="E115" s="16" t="s">
        <v>97</v>
      </c>
      <c r="F115" s="131" t="s">
        <v>841</v>
      </c>
      <c r="I115" s="100" t="s">
        <v>342</v>
      </c>
      <c r="J115" s="16" t="s">
        <v>101</v>
      </c>
      <c r="K115" s="16"/>
      <c r="L115" s="3" t="s">
        <v>102</v>
      </c>
      <c r="M115" s="3" t="s">
        <v>103</v>
      </c>
      <c r="N115" s="3" t="s">
        <v>104</v>
      </c>
      <c r="O115" s="16" t="s">
        <v>105</v>
      </c>
      <c r="P115" s="3" t="s">
        <v>842</v>
      </c>
      <c r="Q115" s="3" t="s">
        <v>842</v>
      </c>
      <c r="R115" s="3" t="s">
        <v>842</v>
      </c>
      <c r="S115" t="s">
        <v>838</v>
      </c>
      <c r="T115" s="130" t="s">
        <v>107</v>
      </c>
      <c r="U115" s="52">
        <v>9</v>
      </c>
      <c r="V115" s="54"/>
      <c r="W115" s="54"/>
      <c r="X115" s="59" t="s">
        <v>108</v>
      </c>
      <c r="Y115" s="93">
        <f>IF(AD115=0, 0, IF(OR(H115="", H115&lt;&gt;0), 1, 0))</f>
        <v>1</v>
      </c>
      <c r="Z115" s="3">
        <v>0</v>
      </c>
      <c r="AA115" s="3" t="s">
        <v>843</v>
      </c>
      <c r="AD115" s="6">
        <f>ROUND((AG115*(1+AJ115)),2)</f>
        <v>130.33000000000001</v>
      </c>
      <c r="AE115" s="68">
        <v>148.51715642000002</v>
      </c>
      <c r="AF115" s="17">
        <f>(AE115*1)</f>
        <v>148.51715642000002</v>
      </c>
      <c r="AG115" s="6">
        <f>ROUND((AE115*AI115),2)</f>
        <v>96.54</v>
      </c>
      <c r="AH115" s="30" t="s">
        <v>110</v>
      </c>
      <c r="AI115" s="3">
        <v>0.65</v>
      </c>
      <c r="AJ115" s="18">
        <v>0.35</v>
      </c>
      <c r="AK115" s="6">
        <f>ROUND((AD115-(AD115*BG115)),2)</f>
        <v>129.03</v>
      </c>
      <c r="AL115" s="6">
        <f>ROUND((AD115-(AD115*BH115)),2)</f>
        <v>127.72</v>
      </c>
      <c r="AM115" s="6">
        <f>ROUND((AD115-(AD115*BI115)),2)</f>
        <v>126.42</v>
      </c>
      <c r="AN115" s="6">
        <f>ROUND((AD115-(AD115*BJ115)),2)</f>
        <v>126.42</v>
      </c>
      <c r="AO115" s="6">
        <f>ROUND((AD115-(AD115*BK115)),2)</f>
        <v>130.33000000000001</v>
      </c>
      <c r="BG115" s="12">
        <v>0.01</v>
      </c>
      <c r="BH115" s="12">
        <v>0.02</v>
      </c>
      <c r="BI115" s="12">
        <v>0.03</v>
      </c>
      <c r="BJ115" s="12">
        <v>0.03</v>
      </c>
      <c r="CC115" s="3" t="str">
        <f>IF(B115&lt;&gt;"",CONCATENATE(SUBSTITUTE(B115," ","-"),".jpg"),"")</f>
        <v>Allied-Moulded-AM1226H.jpg</v>
      </c>
      <c r="CD115" s="16" t="s">
        <v>111</v>
      </c>
      <c r="CE115" s="3"/>
      <c r="CF115" s="3"/>
      <c r="CG115" s="3" t="s">
        <v>112</v>
      </c>
      <c r="CI115" s="3" t="s">
        <v>97</v>
      </c>
      <c r="CJ115" s="3" t="s">
        <v>844</v>
      </c>
      <c r="CK115" s="3" t="s">
        <v>114</v>
      </c>
      <c r="CL115" s="3" t="s">
        <v>115</v>
      </c>
      <c r="CO115" s="3" t="s">
        <v>118</v>
      </c>
      <c r="CP115" s="3" t="s">
        <v>139</v>
      </c>
      <c r="CQ115" s="3" t="s">
        <v>120</v>
      </c>
      <c r="CR115" s="3" t="s">
        <v>140</v>
      </c>
      <c r="CS115" s="3" t="s">
        <v>384</v>
      </c>
      <c r="CT115" s="16" t="s">
        <v>125</v>
      </c>
      <c r="CU115" s="16" t="s">
        <v>125</v>
      </c>
      <c r="CV115" s="16" t="s">
        <v>351</v>
      </c>
    </row>
    <row r="116" spans="1:100" ht="15" customHeight="1">
      <c r="A116" t="s">
        <v>845</v>
      </c>
      <c r="B116" s="3" t="s">
        <v>846</v>
      </c>
      <c r="C116" s="16" t="s">
        <v>97</v>
      </c>
      <c r="D116" s="44" t="s">
        <v>847</v>
      </c>
      <c r="E116" s="16" t="s">
        <v>97</v>
      </c>
      <c r="F116" s="131" t="s">
        <v>848</v>
      </c>
      <c r="I116" s="100" t="s">
        <v>342</v>
      </c>
      <c r="J116" s="16" t="s">
        <v>101</v>
      </c>
      <c r="K116" s="16"/>
      <c r="L116" s="3" t="s">
        <v>102</v>
      </c>
      <c r="M116" s="3" t="s">
        <v>103</v>
      </c>
      <c r="N116" s="3" t="s">
        <v>104</v>
      </c>
      <c r="O116" s="16" t="s">
        <v>105</v>
      </c>
      <c r="P116" s="3" t="s">
        <v>849</v>
      </c>
      <c r="Q116" s="3" t="s">
        <v>849</v>
      </c>
      <c r="R116" s="3" t="s">
        <v>849</v>
      </c>
      <c r="S116" t="s">
        <v>845</v>
      </c>
      <c r="T116" s="130" t="s">
        <v>107</v>
      </c>
      <c r="U116" s="50">
        <v>9</v>
      </c>
      <c r="V116" s="54"/>
      <c r="W116" s="54"/>
      <c r="X116" s="59" t="s">
        <v>108</v>
      </c>
      <c r="Y116" s="93">
        <f>IF(AD116=0, 0, IF(OR(H116="", H116&lt;&gt;0), 1, 0))</f>
        <v>1</v>
      </c>
      <c r="Z116" s="3">
        <v>0</v>
      </c>
      <c r="AA116" s="3" t="s">
        <v>850</v>
      </c>
      <c r="AD116" s="6">
        <f>ROUND((AG116*(1+AJ116)),2)</f>
        <v>146.69</v>
      </c>
      <c r="AE116" s="69">
        <v>167.16978485999999</v>
      </c>
      <c r="AF116" s="17">
        <f>(AE116*1)</f>
        <v>167.16978485999999</v>
      </c>
      <c r="AG116" s="6">
        <f>ROUND((AE116*AI116),2)</f>
        <v>108.66</v>
      </c>
      <c r="AH116" s="30" t="s">
        <v>110</v>
      </c>
      <c r="AI116" s="3">
        <v>0.65</v>
      </c>
      <c r="AJ116" s="18">
        <v>0.35</v>
      </c>
      <c r="AK116" s="6">
        <f>ROUND((AD116-(AD116*BG116)),2)</f>
        <v>145.22</v>
      </c>
      <c r="AL116" s="6">
        <f>ROUND((AD116-(AD116*BH116)),2)</f>
        <v>143.76</v>
      </c>
      <c r="AM116" s="6">
        <f>ROUND((AD116-(AD116*BI116)),2)</f>
        <v>142.29</v>
      </c>
      <c r="AN116" s="6">
        <f>ROUND((AD116-(AD116*BJ116)),2)</f>
        <v>142.29</v>
      </c>
      <c r="AO116" s="6">
        <f>ROUND((AD116-(AD116*BK116)),2)</f>
        <v>146.69</v>
      </c>
      <c r="BG116" s="12">
        <v>0.01</v>
      </c>
      <c r="BH116" s="12">
        <v>0.02</v>
      </c>
      <c r="BI116" s="12">
        <v>0.03</v>
      </c>
      <c r="BJ116" s="12">
        <v>0.03</v>
      </c>
      <c r="CC116" s="3" t="str">
        <f>IF(B116&lt;&gt;"",CONCATENATE(SUBSTITUTE(B116," ","-"),".jpg"),"")</f>
        <v>Allied-Moulded-AM1226L.jpg</v>
      </c>
      <c r="CD116" s="16" t="s">
        <v>111</v>
      </c>
      <c r="CE116" s="3"/>
      <c r="CF116" s="3"/>
      <c r="CG116" s="3" t="s">
        <v>112</v>
      </c>
      <c r="CI116" s="3" t="s">
        <v>97</v>
      </c>
      <c r="CJ116" s="3" t="s">
        <v>844</v>
      </c>
      <c r="CK116" s="3" t="s">
        <v>114</v>
      </c>
      <c r="CL116" s="3" t="s">
        <v>115</v>
      </c>
      <c r="CM116" s="3" t="s">
        <v>116</v>
      </c>
      <c r="CN116" t="s">
        <v>117</v>
      </c>
      <c r="CO116" s="3" t="s">
        <v>118</v>
      </c>
      <c r="CP116" s="3" t="s">
        <v>139</v>
      </c>
      <c r="CQ116" s="3" t="s">
        <v>120</v>
      </c>
      <c r="CR116" s="3" t="s">
        <v>140</v>
      </c>
      <c r="CS116" s="16" t="s">
        <v>122</v>
      </c>
      <c r="CT116" s="16" t="s">
        <v>125</v>
      </c>
      <c r="CU116" s="16" t="s">
        <v>125</v>
      </c>
      <c r="CV116" s="16" t="s">
        <v>351</v>
      </c>
    </row>
    <row r="117" spans="1:100" ht="15" customHeight="1">
      <c r="A117" t="s">
        <v>851</v>
      </c>
      <c r="B117" s="3" t="s">
        <v>852</v>
      </c>
      <c r="C117" s="16" t="s">
        <v>97</v>
      </c>
      <c r="D117" s="43" t="s">
        <v>853</v>
      </c>
      <c r="E117" s="16" t="s">
        <v>97</v>
      </c>
      <c r="F117" s="131" t="s">
        <v>854</v>
      </c>
      <c r="I117" s="100" t="s">
        <v>342</v>
      </c>
      <c r="J117" s="16" t="s">
        <v>101</v>
      </c>
      <c r="K117" s="16"/>
      <c r="L117" s="3" t="s">
        <v>102</v>
      </c>
      <c r="M117" s="3" t="s">
        <v>103</v>
      </c>
      <c r="N117" s="3" t="s">
        <v>104</v>
      </c>
      <c r="O117" s="16" t="s">
        <v>105</v>
      </c>
      <c r="P117" s="3" t="s">
        <v>855</v>
      </c>
      <c r="Q117" s="3" t="s">
        <v>855</v>
      </c>
      <c r="R117" s="3" t="s">
        <v>855</v>
      </c>
      <c r="S117" t="s">
        <v>851</v>
      </c>
      <c r="T117" s="130" t="s">
        <v>107</v>
      </c>
      <c r="U117" s="51">
        <v>9</v>
      </c>
      <c r="V117" s="58"/>
      <c r="W117" s="58"/>
      <c r="X117" s="59" t="s">
        <v>108</v>
      </c>
      <c r="Y117" s="93">
        <f>IF(AD117=0, 0, IF(OR(H117="", H117&lt;&gt;0), 1, 0))</f>
        <v>1</v>
      </c>
      <c r="Z117" s="3">
        <v>0</v>
      </c>
      <c r="AA117" s="3" t="s">
        <v>856</v>
      </c>
      <c r="AD117" s="6">
        <f>ROUND((AG117*(1+AJ117)),2)</f>
        <v>146.69</v>
      </c>
      <c r="AE117" s="69">
        <v>167.16978485999999</v>
      </c>
      <c r="AF117" s="17">
        <f>(AE117*1)</f>
        <v>167.16978485999999</v>
      </c>
      <c r="AG117" s="6">
        <f>ROUND((AE117*AI117),2)</f>
        <v>108.66</v>
      </c>
      <c r="AH117" s="30" t="s">
        <v>110</v>
      </c>
      <c r="AI117" s="3">
        <v>0.65</v>
      </c>
      <c r="AJ117" s="18">
        <v>0.35</v>
      </c>
      <c r="AK117" s="6">
        <f>ROUND((AD117-(AD117*BG117)),2)</f>
        <v>145.22</v>
      </c>
      <c r="AL117" s="6">
        <f>ROUND((AD117-(AD117*BH117)),2)</f>
        <v>143.76</v>
      </c>
      <c r="AM117" s="6">
        <f>ROUND((AD117-(AD117*BI117)),2)</f>
        <v>142.29</v>
      </c>
      <c r="AN117" s="6">
        <f>ROUND((AD117-(AD117*BJ117)),2)</f>
        <v>142.29</v>
      </c>
      <c r="AO117" s="6">
        <f>ROUND((AD117-(AD117*BK117)),2)</f>
        <v>146.69</v>
      </c>
      <c r="BG117" s="12">
        <v>0.01</v>
      </c>
      <c r="BH117" s="12">
        <v>0.02</v>
      </c>
      <c r="BI117" s="12">
        <v>0.03</v>
      </c>
      <c r="BJ117" s="12">
        <v>0.03</v>
      </c>
      <c r="CC117" s="3" t="str">
        <f>IF(B117&lt;&gt;"",CONCATENATE(SUBSTITUTE(B117," ","-"),".jpg"),"")</f>
        <v>Allied-Moulded-AM1226T.jpg</v>
      </c>
      <c r="CD117" s="16" t="s">
        <v>111</v>
      </c>
      <c r="CE117" s="3"/>
      <c r="CF117" s="3"/>
      <c r="CG117" s="3" t="s">
        <v>112</v>
      </c>
      <c r="CI117" s="3" t="s">
        <v>97</v>
      </c>
      <c r="CJ117" s="3" t="s">
        <v>844</v>
      </c>
      <c r="CK117" s="3" t="s">
        <v>114</v>
      </c>
      <c r="CL117" s="3" t="s">
        <v>115</v>
      </c>
      <c r="CM117" s="3" t="s">
        <v>116</v>
      </c>
      <c r="CN117" s="16" t="s">
        <v>132</v>
      </c>
      <c r="CO117" s="3" t="s">
        <v>118</v>
      </c>
      <c r="CP117" s="3" t="s">
        <v>139</v>
      </c>
      <c r="CQ117" s="3" t="s">
        <v>120</v>
      </c>
      <c r="CR117" s="3" t="s">
        <v>140</v>
      </c>
      <c r="CS117" s="16" t="s">
        <v>122</v>
      </c>
      <c r="CT117" s="16" t="s">
        <v>125</v>
      </c>
      <c r="CU117" s="16" t="s">
        <v>125</v>
      </c>
      <c r="CV117" s="16" t="s">
        <v>351</v>
      </c>
    </row>
    <row r="118" spans="1:100" ht="15" customHeight="1">
      <c r="A118" t="s">
        <v>857</v>
      </c>
      <c r="B118" s="3" t="s">
        <v>858</v>
      </c>
      <c r="C118" s="16" t="s">
        <v>97</v>
      </c>
      <c r="D118" s="44" t="s">
        <v>859</v>
      </c>
      <c r="E118" s="16" t="s">
        <v>97</v>
      </c>
      <c r="F118" s="131" t="s">
        <v>860</v>
      </c>
      <c r="I118" s="100" t="s">
        <v>342</v>
      </c>
      <c r="J118" s="16" t="s">
        <v>101</v>
      </c>
      <c r="K118" s="16"/>
      <c r="L118" s="3" t="s">
        <v>102</v>
      </c>
      <c r="M118" s="3" t="s">
        <v>103</v>
      </c>
      <c r="N118" s="3" t="s">
        <v>104</v>
      </c>
      <c r="O118" s="16" t="s">
        <v>105</v>
      </c>
      <c r="P118" s="3" t="s">
        <v>861</v>
      </c>
      <c r="Q118" s="3" t="s">
        <v>861</v>
      </c>
      <c r="R118" s="3" t="s">
        <v>861</v>
      </c>
      <c r="S118" t="s">
        <v>857</v>
      </c>
      <c r="T118" s="130" t="s">
        <v>107</v>
      </c>
      <c r="U118" s="50">
        <v>9</v>
      </c>
      <c r="V118" s="54"/>
      <c r="W118" s="54"/>
      <c r="X118" s="59" t="s">
        <v>108</v>
      </c>
      <c r="Y118" s="93">
        <f>IF(AD118=0, 0, IF(OR(H118="", H118&lt;&gt;0), 1, 0))</f>
        <v>1</v>
      </c>
      <c r="Z118" s="3">
        <v>0</v>
      </c>
      <c r="AA118" s="3" t="s">
        <v>862</v>
      </c>
      <c r="AD118" s="6">
        <f>ROUND((AG118*(1+AJ118)),2)</f>
        <v>224.61</v>
      </c>
      <c r="AE118" s="69">
        <v>255.96453059000001</v>
      </c>
      <c r="AF118" s="17">
        <f>(AE118*1)</f>
        <v>255.96453059000001</v>
      </c>
      <c r="AG118" s="6">
        <f>ROUND((AE118*AI118),2)</f>
        <v>166.38</v>
      </c>
      <c r="AH118" s="30" t="s">
        <v>110</v>
      </c>
      <c r="AI118" s="3">
        <v>0.65</v>
      </c>
      <c r="AJ118" s="18">
        <v>0.35</v>
      </c>
      <c r="AK118" s="6">
        <f>ROUND((AD118-(AD118*BG118)),2)</f>
        <v>222.36</v>
      </c>
      <c r="AL118" s="6">
        <f>ROUND((AD118-(AD118*BH118)),2)</f>
        <v>220.12</v>
      </c>
      <c r="AM118" s="6">
        <f>ROUND((AD118-(AD118*BI118)),2)</f>
        <v>217.87</v>
      </c>
      <c r="AN118" s="6">
        <f>ROUND((AD118-(AD118*BJ118)),2)</f>
        <v>217.87</v>
      </c>
      <c r="AO118" s="6">
        <f>ROUND((AD118-(AD118*BK118)),2)</f>
        <v>224.61</v>
      </c>
      <c r="BG118" s="12">
        <v>0.01</v>
      </c>
      <c r="BH118" s="12">
        <v>0.02</v>
      </c>
      <c r="BI118" s="12">
        <v>0.03</v>
      </c>
      <c r="BJ118" s="12">
        <v>0.03</v>
      </c>
      <c r="CC118" s="3" t="str">
        <f>IF(B118&lt;&gt;"",CONCATENATE(SUBSTITUTE(B118," ","-"),".jpg"),"")</f>
        <v>Allied-Moulded-AM1226HW.jpg</v>
      </c>
      <c r="CD118" s="16" t="s">
        <v>111</v>
      </c>
      <c r="CE118" s="3"/>
      <c r="CF118" s="3"/>
      <c r="CG118" s="3" t="s">
        <v>112</v>
      </c>
      <c r="CI118" s="3" t="s">
        <v>97</v>
      </c>
      <c r="CJ118" s="3" t="s">
        <v>844</v>
      </c>
      <c r="CK118" s="3" t="s">
        <v>114</v>
      </c>
      <c r="CL118" s="3" t="s">
        <v>115</v>
      </c>
      <c r="CO118" s="3" t="s">
        <v>118</v>
      </c>
      <c r="CP118" s="3" t="s">
        <v>139</v>
      </c>
      <c r="CQ118" s="3" t="s">
        <v>120</v>
      </c>
      <c r="CR118" s="3" t="s">
        <v>140</v>
      </c>
      <c r="CS118" s="3" t="s">
        <v>384</v>
      </c>
      <c r="CT118" s="16" t="s">
        <v>125</v>
      </c>
      <c r="CU118" s="16" t="s">
        <v>125</v>
      </c>
      <c r="CV118" s="16" t="s">
        <v>351</v>
      </c>
    </row>
    <row r="119" spans="1:100" ht="15" customHeight="1">
      <c r="A119" t="s">
        <v>863</v>
      </c>
      <c r="B119" s="3" t="s">
        <v>864</v>
      </c>
      <c r="C119" s="16" t="s">
        <v>97</v>
      </c>
      <c r="D119" s="43" t="s">
        <v>865</v>
      </c>
      <c r="E119" s="16" t="s">
        <v>97</v>
      </c>
      <c r="F119" s="131" t="s">
        <v>866</v>
      </c>
      <c r="I119" s="100" t="s">
        <v>342</v>
      </c>
      <c r="J119" s="16" t="s">
        <v>101</v>
      </c>
      <c r="K119" s="16"/>
      <c r="L119" s="3" t="s">
        <v>102</v>
      </c>
      <c r="M119" s="3" t="s">
        <v>103</v>
      </c>
      <c r="N119" s="3" t="s">
        <v>104</v>
      </c>
      <c r="O119" s="16" t="s">
        <v>105</v>
      </c>
      <c r="P119" s="8" t="s">
        <v>867</v>
      </c>
      <c r="Q119" s="8" t="s">
        <v>867</v>
      </c>
      <c r="R119" s="8" t="s">
        <v>867</v>
      </c>
      <c r="S119" t="s">
        <v>863</v>
      </c>
      <c r="T119" s="130" t="s">
        <v>107</v>
      </c>
      <c r="U119" s="51">
        <v>9</v>
      </c>
      <c r="V119" s="58"/>
      <c r="W119" s="58"/>
      <c r="X119" s="59" t="s">
        <v>108</v>
      </c>
      <c r="Y119" s="93">
        <f>IF(AD119=0, 0, IF(OR(H119="", H119&lt;&gt;0), 1, 0))</f>
        <v>1</v>
      </c>
      <c r="Z119" s="3">
        <v>0</v>
      </c>
      <c r="AA119" s="3" t="s">
        <v>868</v>
      </c>
      <c r="AD119" s="6">
        <f>ROUND((AG119*(1+AJ119)),2)</f>
        <v>239.49</v>
      </c>
      <c r="AE119" s="69">
        <v>272.91641788000004</v>
      </c>
      <c r="AF119" s="17">
        <f>(AE119*1)</f>
        <v>272.91641788000004</v>
      </c>
      <c r="AG119" s="6">
        <f>ROUND((AE119*AI119),2)</f>
        <v>177.4</v>
      </c>
      <c r="AH119" s="30" t="s">
        <v>110</v>
      </c>
      <c r="AI119" s="3">
        <v>0.65</v>
      </c>
      <c r="AJ119" s="18">
        <v>0.35</v>
      </c>
      <c r="AK119" s="6">
        <f>ROUND((AD119-(AD119*BG119)),2)</f>
        <v>237.1</v>
      </c>
      <c r="AL119" s="6">
        <f>ROUND((AD119-(AD119*BH119)),2)</f>
        <v>234.7</v>
      </c>
      <c r="AM119" s="6">
        <f>ROUND((AD119-(AD119*BI119)),2)</f>
        <v>232.31</v>
      </c>
      <c r="AN119" s="6">
        <f>ROUND((AD119-(AD119*BJ119)),2)</f>
        <v>232.31</v>
      </c>
      <c r="AO119" s="6">
        <f>ROUND((AD119-(AD119*BK119)),2)</f>
        <v>239.49</v>
      </c>
      <c r="BG119" s="12">
        <v>0.01</v>
      </c>
      <c r="BH119" s="12">
        <v>0.02</v>
      </c>
      <c r="BI119" s="12">
        <v>0.03</v>
      </c>
      <c r="BJ119" s="12">
        <v>0.03</v>
      </c>
      <c r="CC119" s="3" t="str">
        <f>IF(B119&lt;&gt;"",CONCATENATE(SUBSTITUTE(B119," ","-"),".jpg"),"")</f>
        <v>Allied-Moulded-AM1226LW.jpg</v>
      </c>
      <c r="CD119" s="16" t="s">
        <v>111</v>
      </c>
      <c r="CE119" s="3"/>
      <c r="CF119" s="3"/>
      <c r="CG119" s="3" t="s">
        <v>112</v>
      </c>
      <c r="CI119" s="3" t="s">
        <v>97</v>
      </c>
      <c r="CJ119" s="3" t="s">
        <v>844</v>
      </c>
      <c r="CK119" s="3" t="s">
        <v>114</v>
      </c>
      <c r="CL119" s="3" t="s">
        <v>115</v>
      </c>
      <c r="CM119" s="3" t="s">
        <v>116</v>
      </c>
      <c r="CN119" t="s">
        <v>117</v>
      </c>
      <c r="CO119" s="3" t="s">
        <v>118</v>
      </c>
      <c r="CP119" s="3" t="s">
        <v>139</v>
      </c>
      <c r="CQ119" s="3" t="s">
        <v>120</v>
      </c>
      <c r="CR119" s="3" t="s">
        <v>140</v>
      </c>
      <c r="CS119" s="3" t="s">
        <v>384</v>
      </c>
      <c r="CT119" s="16" t="s">
        <v>125</v>
      </c>
      <c r="CU119" s="3" t="s">
        <v>125</v>
      </c>
      <c r="CV119" s="3" t="s">
        <v>351</v>
      </c>
    </row>
    <row r="120" spans="1:100" ht="15" customHeight="1">
      <c r="A120" t="s">
        <v>869</v>
      </c>
      <c r="B120" s="3" t="s">
        <v>870</v>
      </c>
      <c r="C120" s="16" t="s">
        <v>97</v>
      </c>
      <c r="D120" s="44" t="s">
        <v>871</v>
      </c>
      <c r="E120" s="16" t="s">
        <v>97</v>
      </c>
      <c r="F120" s="131" t="s">
        <v>872</v>
      </c>
      <c r="I120" s="100" t="s">
        <v>342</v>
      </c>
      <c r="J120" s="16" t="s">
        <v>101</v>
      </c>
      <c r="K120" s="16"/>
      <c r="L120" s="3" t="s">
        <v>102</v>
      </c>
      <c r="M120" s="3" t="s">
        <v>103</v>
      </c>
      <c r="N120" s="3" t="s">
        <v>104</v>
      </c>
      <c r="O120" s="16" t="s">
        <v>105</v>
      </c>
      <c r="P120" s="8" t="s">
        <v>873</v>
      </c>
      <c r="Q120" s="8" t="s">
        <v>873</v>
      </c>
      <c r="R120" s="8" t="s">
        <v>873</v>
      </c>
      <c r="S120" t="s">
        <v>869</v>
      </c>
      <c r="T120" s="130" t="s">
        <v>107</v>
      </c>
      <c r="U120" s="50">
        <v>9</v>
      </c>
      <c r="V120" s="54"/>
      <c r="W120" s="54"/>
      <c r="X120" s="59" t="s">
        <v>108</v>
      </c>
      <c r="Y120" s="93">
        <f>IF(AD120=0, 0, IF(OR(H120="", H120&lt;&gt;0), 1, 0))</f>
        <v>1</v>
      </c>
      <c r="Z120" s="3">
        <v>0</v>
      </c>
      <c r="AA120" s="3" t="s">
        <v>874</v>
      </c>
      <c r="AD120" s="6">
        <f>ROUND((AG120*(1+AJ120)),2)</f>
        <v>239.49</v>
      </c>
      <c r="AE120" s="69">
        <v>272.91641788000004</v>
      </c>
      <c r="AF120" s="17">
        <f>(AE120*1)</f>
        <v>272.91641788000004</v>
      </c>
      <c r="AG120" s="6">
        <f>ROUND((AE120*AI120),2)</f>
        <v>177.4</v>
      </c>
      <c r="AH120" s="30" t="s">
        <v>110</v>
      </c>
      <c r="AI120" s="3">
        <v>0.65</v>
      </c>
      <c r="AJ120" s="18">
        <v>0.35</v>
      </c>
      <c r="AK120" s="6">
        <f>ROUND((AD120-(AD120*BG120)),2)</f>
        <v>237.1</v>
      </c>
      <c r="AL120" s="6">
        <f>ROUND((AD120-(AD120*BH120)),2)</f>
        <v>234.7</v>
      </c>
      <c r="AM120" s="6">
        <f>ROUND((AD120-(AD120*BI120)),2)</f>
        <v>232.31</v>
      </c>
      <c r="AN120" s="6">
        <f>ROUND((AD120-(AD120*BJ120)),2)</f>
        <v>232.31</v>
      </c>
      <c r="AO120" s="6">
        <f>ROUND((AD120-(AD120*BK120)),2)</f>
        <v>239.49</v>
      </c>
      <c r="BG120" s="12">
        <v>0.01</v>
      </c>
      <c r="BH120" s="12">
        <v>0.02</v>
      </c>
      <c r="BI120" s="12">
        <v>0.03</v>
      </c>
      <c r="BJ120" s="12">
        <v>0.03</v>
      </c>
      <c r="CC120" s="3" t="str">
        <f>IF(B120&lt;&gt;"",CONCATENATE(SUBSTITUTE(B120," ","-"),".jpg"),"")</f>
        <v>Allied-Moulded-AM1226TW.jpg</v>
      </c>
      <c r="CD120" s="16" t="s">
        <v>111</v>
      </c>
      <c r="CE120" s="3"/>
      <c r="CF120" s="3"/>
      <c r="CG120" s="3" t="s">
        <v>112</v>
      </c>
      <c r="CI120" s="3" t="s">
        <v>97</v>
      </c>
      <c r="CJ120" s="3" t="s">
        <v>844</v>
      </c>
      <c r="CK120" s="3" t="s">
        <v>114</v>
      </c>
      <c r="CL120" s="3" t="s">
        <v>115</v>
      </c>
      <c r="CM120" s="3" t="s">
        <v>116</v>
      </c>
      <c r="CN120" s="16" t="s">
        <v>132</v>
      </c>
      <c r="CO120" s="3" t="s">
        <v>118</v>
      </c>
      <c r="CP120" s="3" t="s">
        <v>139</v>
      </c>
      <c r="CQ120" s="3" t="s">
        <v>120</v>
      </c>
      <c r="CR120" s="3" t="s">
        <v>140</v>
      </c>
      <c r="CS120" s="3" t="s">
        <v>384</v>
      </c>
      <c r="CT120" s="16" t="s">
        <v>125</v>
      </c>
      <c r="CU120" s="3" t="s">
        <v>125</v>
      </c>
      <c r="CV120" s="3" t="s">
        <v>351</v>
      </c>
    </row>
    <row r="121" spans="1:100" ht="15" customHeight="1">
      <c r="A121" t="s">
        <v>875</v>
      </c>
      <c r="B121" s="3" t="s">
        <v>876</v>
      </c>
      <c r="C121" s="16" t="s">
        <v>97</v>
      </c>
      <c r="D121" s="43" t="s">
        <v>877</v>
      </c>
      <c r="E121" s="16" t="s">
        <v>97</v>
      </c>
      <c r="F121" s="131" t="s">
        <v>878</v>
      </c>
      <c r="I121" s="100" t="s">
        <v>342</v>
      </c>
      <c r="J121" s="16" t="s">
        <v>101</v>
      </c>
      <c r="K121" s="16"/>
      <c r="L121" s="3" t="s">
        <v>102</v>
      </c>
      <c r="M121" s="3" t="s">
        <v>103</v>
      </c>
      <c r="N121" s="3" t="s">
        <v>104</v>
      </c>
      <c r="O121" s="16" t="s">
        <v>105</v>
      </c>
      <c r="P121" s="3" t="s">
        <v>879</v>
      </c>
      <c r="Q121" s="3" t="s">
        <v>879</v>
      </c>
      <c r="R121" s="3" t="s">
        <v>879</v>
      </c>
      <c r="S121" t="s">
        <v>875</v>
      </c>
      <c r="T121" s="130" t="s">
        <v>107</v>
      </c>
      <c r="U121" s="51">
        <v>9</v>
      </c>
      <c r="V121" s="58"/>
      <c r="W121" s="58"/>
      <c r="X121" s="59" t="s">
        <v>108</v>
      </c>
      <c r="Y121" s="93">
        <f>IF(AD121=0, 0, IF(OR(H121="", H121&lt;&gt;0), 1, 0))</f>
        <v>1</v>
      </c>
      <c r="Z121" s="3">
        <v>0</v>
      </c>
      <c r="AA121" s="3" t="s">
        <v>880</v>
      </c>
      <c r="AD121" s="6">
        <f>ROUND((AG121*(1+AJ121)),2)</f>
        <v>128.57</v>
      </c>
      <c r="AE121" s="69">
        <v>146.52871464</v>
      </c>
      <c r="AF121" s="17">
        <f>(AE121*1)</f>
        <v>146.52871464</v>
      </c>
      <c r="AG121" s="6">
        <f>ROUND((AE121*AI121),2)</f>
        <v>95.24</v>
      </c>
      <c r="AH121" s="30" t="s">
        <v>110</v>
      </c>
      <c r="AI121" s="3">
        <v>0.65</v>
      </c>
      <c r="AJ121" s="18">
        <v>0.35</v>
      </c>
      <c r="AK121" s="6">
        <f>ROUND((AD121-(AD121*BG121)),2)</f>
        <v>127.28</v>
      </c>
      <c r="AL121" s="6">
        <f>ROUND((AD121-(AD121*BH121)),2)</f>
        <v>126</v>
      </c>
      <c r="AM121" s="6">
        <f>ROUND((AD121-(AD121*BI121)),2)</f>
        <v>124.71</v>
      </c>
      <c r="AN121" s="6">
        <f>ROUND((AD121-(AD121*BJ121)),2)</f>
        <v>124.71</v>
      </c>
      <c r="AO121" s="6">
        <f>ROUND((AD121-(AD121*BK121)),2)</f>
        <v>128.57</v>
      </c>
      <c r="BG121" s="12">
        <v>0.01</v>
      </c>
      <c r="BH121" s="12">
        <v>0.02</v>
      </c>
      <c r="BI121" s="12">
        <v>0.03</v>
      </c>
      <c r="BJ121" s="12">
        <v>0.03</v>
      </c>
      <c r="CC121" s="3" t="str">
        <f>IF(B121&lt;&gt;"",CONCATENATE(SUBSTITUTE(B121," ","-"),".jpg"),"")</f>
        <v>Allied-Moulded-AM1226R.jpg</v>
      </c>
      <c r="CD121" s="16" t="s">
        <v>111</v>
      </c>
      <c r="CE121" s="3"/>
      <c r="CF121" s="3"/>
      <c r="CG121" s="3" t="s">
        <v>112</v>
      </c>
      <c r="CI121" s="3" t="s">
        <v>97</v>
      </c>
      <c r="CJ121" s="3" t="s">
        <v>383</v>
      </c>
      <c r="CK121" s="3" t="s">
        <v>114</v>
      </c>
      <c r="CL121" s="3" t="s">
        <v>115</v>
      </c>
      <c r="CM121" s="16"/>
      <c r="CN121" s="16" t="s">
        <v>349</v>
      </c>
      <c r="CO121" s="3" t="s">
        <v>118</v>
      </c>
      <c r="CP121" s="3" t="s">
        <v>139</v>
      </c>
      <c r="CQ121" s="3" t="s">
        <v>120</v>
      </c>
      <c r="CR121" s="3" t="s">
        <v>140</v>
      </c>
      <c r="CS121" s="3" t="s">
        <v>384</v>
      </c>
      <c r="CT121" s="16" t="s">
        <v>125</v>
      </c>
      <c r="CU121" s="16" t="s">
        <v>125</v>
      </c>
      <c r="CV121" s="16" t="s">
        <v>385</v>
      </c>
    </row>
    <row r="122" spans="1:100" ht="15" customHeight="1">
      <c r="A122" t="s">
        <v>881</v>
      </c>
      <c r="B122" s="3" t="s">
        <v>882</v>
      </c>
      <c r="C122" s="16" t="s">
        <v>97</v>
      </c>
      <c r="D122" s="43" t="s">
        <v>883</v>
      </c>
      <c r="E122" s="16" t="s">
        <v>97</v>
      </c>
      <c r="F122" s="131" t="s">
        <v>884</v>
      </c>
      <c r="I122" s="100" t="s">
        <v>342</v>
      </c>
      <c r="J122" s="16" t="s">
        <v>101</v>
      </c>
      <c r="K122" s="16"/>
      <c r="L122" s="3" t="s">
        <v>102</v>
      </c>
      <c r="M122" s="3" t="s">
        <v>103</v>
      </c>
      <c r="N122" s="3" t="s">
        <v>104</v>
      </c>
      <c r="O122" s="16" t="s">
        <v>105</v>
      </c>
      <c r="P122" s="3" t="s">
        <v>885</v>
      </c>
      <c r="Q122" s="3" t="s">
        <v>885</v>
      </c>
      <c r="R122" s="3" t="s">
        <v>885</v>
      </c>
      <c r="S122" t="s">
        <v>881</v>
      </c>
      <c r="T122" s="130" t="s">
        <v>107</v>
      </c>
      <c r="U122" s="51">
        <v>9</v>
      </c>
      <c r="V122" s="58"/>
      <c r="W122" s="58"/>
      <c r="X122" s="59" t="s">
        <v>108</v>
      </c>
      <c r="Y122" s="93">
        <f>IF(AD122=0, 0, IF(OR(H122="", H122&lt;&gt;0), 1, 0))</f>
        <v>1</v>
      </c>
      <c r="Z122" s="3">
        <v>0</v>
      </c>
      <c r="AA122" s="3" t="s">
        <v>886</v>
      </c>
      <c r="AD122" s="6">
        <f>ROUND((AG122*(1+AJ122)),2)</f>
        <v>139.09</v>
      </c>
      <c r="AE122" s="69">
        <v>158.51214972999998</v>
      </c>
      <c r="AF122" s="17">
        <f>(AE122*1)</f>
        <v>158.51214972999998</v>
      </c>
      <c r="AG122" s="6">
        <f>ROUND((AE122*AI122),2)</f>
        <v>103.03</v>
      </c>
      <c r="AH122" s="30" t="s">
        <v>110</v>
      </c>
      <c r="AI122" s="3">
        <v>0.65</v>
      </c>
      <c r="AJ122" s="18">
        <v>0.35</v>
      </c>
      <c r="AK122" s="6">
        <f>ROUND((AD122-(AD122*BG122)),2)</f>
        <v>137.69999999999999</v>
      </c>
      <c r="AL122" s="6">
        <f>ROUND((AD122-(AD122*BH122)),2)</f>
        <v>136.31</v>
      </c>
      <c r="AM122" s="6">
        <f>ROUND((AD122-(AD122*BI122)),2)</f>
        <v>134.91999999999999</v>
      </c>
      <c r="AN122" s="6">
        <f>ROUND((AD122-(AD122*BJ122)),2)</f>
        <v>134.91999999999999</v>
      </c>
      <c r="AO122" s="6">
        <f>ROUND((AD122-(AD122*BK122)),2)</f>
        <v>139.09</v>
      </c>
      <c r="BG122" s="12">
        <v>0.01</v>
      </c>
      <c r="BH122" s="12">
        <v>0.02</v>
      </c>
      <c r="BI122" s="12">
        <v>0.03</v>
      </c>
      <c r="BJ122" s="12">
        <v>0.03</v>
      </c>
      <c r="CC122" s="3" t="str">
        <f>IF(B122&lt;&gt;"",CONCATENATE(SUBSTITUTE(B122," ","-"),".jpg"),"")</f>
        <v>Allied-Moulded-AM1226RH.jpg</v>
      </c>
      <c r="CD122" s="16" t="s">
        <v>111</v>
      </c>
      <c r="CE122" s="3"/>
      <c r="CF122" s="3"/>
      <c r="CG122" s="3" t="s">
        <v>112</v>
      </c>
      <c r="CI122" s="3" t="s">
        <v>97</v>
      </c>
      <c r="CJ122" s="3" t="s">
        <v>383</v>
      </c>
      <c r="CK122" s="3" t="s">
        <v>114</v>
      </c>
      <c r="CL122" s="3" t="s">
        <v>115</v>
      </c>
      <c r="CO122" s="3" t="s">
        <v>118</v>
      </c>
      <c r="CP122" s="3" t="s">
        <v>139</v>
      </c>
      <c r="CQ122" s="3" t="s">
        <v>120</v>
      </c>
      <c r="CR122" s="3" t="s">
        <v>140</v>
      </c>
      <c r="CS122" s="3" t="s">
        <v>384</v>
      </c>
      <c r="CT122" s="16" t="s">
        <v>125</v>
      </c>
      <c r="CU122" s="16" t="s">
        <v>125</v>
      </c>
      <c r="CV122" s="16" t="s">
        <v>385</v>
      </c>
    </row>
    <row r="123" spans="1:100" ht="15" customHeight="1">
      <c r="A123" t="s">
        <v>887</v>
      </c>
      <c r="B123" s="3" t="s">
        <v>888</v>
      </c>
      <c r="C123" s="16" t="s">
        <v>97</v>
      </c>
      <c r="D123" s="44" t="s">
        <v>889</v>
      </c>
      <c r="E123" s="16" t="s">
        <v>97</v>
      </c>
      <c r="F123" s="131" t="s">
        <v>890</v>
      </c>
      <c r="I123" s="100" t="s">
        <v>342</v>
      </c>
      <c r="J123" s="16" t="s">
        <v>101</v>
      </c>
      <c r="K123" s="16"/>
      <c r="L123" s="3" t="s">
        <v>102</v>
      </c>
      <c r="M123" s="3" t="s">
        <v>103</v>
      </c>
      <c r="N123" s="3" t="s">
        <v>104</v>
      </c>
      <c r="O123" s="16" t="s">
        <v>105</v>
      </c>
      <c r="P123" s="3" t="s">
        <v>891</v>
      </c>
      <c r="Q123" s="3" t="s">
        <v>891</v>
      </c>
      <c r="R123" s="3" t="s">
        <v>891</v>
      </c>
      <c r="S123" t="s">
        <v>887</v>
      </c>
      <c r="T123" s="130" t="s">
        <v>107</v>
      </c>
      <c r="U123" s="50">
        <v>9</v>
      </c>
      <c r="V123" s="54"/>
      <c r="W123" s="54"/>
      <c r="X123" s="59" t="s">
        <v>108</v>
      </c>
      <c r="Y123" s="93">
        <f>IF(AD123=0, 0, IF(OR(H123="", H123&lt;&gt;0), 1, 0))</f>
        <v>1</v>
      </c>
      <c r="Z123" s="3">
        <v>0</v>
      </c>
      <c r="AA123" s="3" t="s">
        <v>892</v>
      </c>
      <c r="AD123" s="6">
        <f>ROUND((AG123*(1+AJ123)),2)</f>
        <v>156.61000000000001</v>
      </c>
      <c r="AE123" s="69">
        <v>178.48453982999999</v>
      </c>
      <c r="AF123" s="17">
        <f>(AE123*1)</f>
        <v>178.48453982999999</v>
      </c>
      <c r="AG123" s="6">
        <f>ROUND((AE123*AI123),2)</f>
        <v>116.01</v>
      </c>
      <c r="AH123" s="30" t="s">
        <v>110</v>
      </c>
      <c r="AI123" s="3">
        <v>0.65</v>
      </c>
      <c r="AJ123" s="18">
        <v>0.35</v>
      </c>
      <c r="AK123" s="6">
        <f>ROUND((AD123-(AD123*BG123)),2)</f>
        <v>155.04</v>
      </c>
      <c r="AL123" s="6">
        <f>ROUND((AD123-(AD123*BH123)),2)</f>
        <v>153.47999999999999</v>
      </c>
      <c r="AM123" s="6">
        <f>ROUND((AD123-(AD123*BI123)),2)</f>
        <v>151.91</v>
      </c>
      <c r="AN123" s="6">
        <f>ROUND((AD123-(AD123*BJ123)),2)</f>
        <v>151.91</v>
      </c>
      <c r="AO123" s="6">
        <f>ROUND((AD123-(AD123*BK123)),2)</f>
        <v>156.61000000000001</v>
      </c>
      <c r="BG123" s="12">
        <v>0.01</v>
      </c>
      <c r="BH123" s="12">
        <v>0.02</v>
      </c>
      <c r="BI123" s="12">
        <v>0.03</v>
      </c>
      <c r="BJ123" s="12">
        <v>0.03</v>
      </c>
      <c r="CC123" s="3" t="str">
        <f>IF(B123&lt;&gt;"",CONCATENATE(SUBSTITUTE(B123," ","-"),".jpg"),"")</f>
        <v>Allied-Moulded-AM1226RL.jpg</v>
      </c>
      <c r="CD123" s="16" t="s">
        <v>111</v>
      </c>
      <c r="CE123" s="3"/>
      <c r="CF123" s="3"/>
      <c r="CG123" s="3" t="s">
        <v>112</v>
      </c>
      <c r="CI123" s="3" t="s">
        <v>97</v>
      </c>
      <c r="CJ123" s="3" t="s">
        <v>383</v>
      </c>
      <c r="CK123" s="3" t="s">
        <v>114</v>
      </c>
      <c r="CL123" s="3" t="s">
        <v>115</v>
      </c>
      <c r="CM123" s="3" t="s">
        <v>116</v>
      </c>
      <c r="CN123" t="s">
        <v>117</v>
      </c>
      <c r="CO123" s="3" t="s">
        <v>118</v>
      </c>
      <c r="CP123" s="3" t="s">
        <v>139</v>
      </c>
      <c r="CQ123" s="3" t="s">
        <v>120</v>
      </c>
      <c r="CR123" s="3" t="s">
        <v>140</v>
      </c>
      <c r="CS123" s="16" t="s">
        <v>122</v>
      </c>
      <c r="CT123" s="16" t="s">
        <v>125</v>
      </c>
      <c r="CU123" s="16" t="s">
        <v>125</v>
      </c>
      <c r="CV123" s="16" t="s">
        <v>385</v>
      </c>
    </row>
    <row r="124" spans="1:100" ht="15" customHeight="1">
      <c r="A124" t="s">
        <v>893</v>
      </c>
      <c r="B124" s="3" t="s">
        <v>894</v>
      </c>
      <c r="C124" s="16" t="s">
        <v>97</v>
      </c>
      <c r="D124" s="44" t="s">
        <v>895</v>
      </c>
      <c r="E124" s="16" t="s">
        <v>97</v>
      </c>
      <c r="F124" s="131" t="s">
        <v>896</v>
      </c>
      <c r="I124" s="100" t="s">
        <v>342</v>
      </c>
      <c r="J124" s="16" t="s">
        <v>101</v>
      </c>
      <c r="K124" s="16"/>
      <c r="L124" s="3" t="s">
        <v>102</v>
      </c>
      <c r="M124" s="3" t="s">
        <v>103</v>
      </c>
      <c r="N124" s="3" t="s">
        <v>104</v>
      </c>
      <c r="O124" s="16" t="s">
        <v>105</v>
      </c>
      <c r="P124" s="3" t="s">
        <v>897</v>
      </c>
      <c r="Q124" s="3" t="s">
        <v>897</v>
      </c>
      <c r="R124" s="3" t="s">
        <v>897</v>
      </c>
      <c r="S124" t="s">
        <v>893</v>
      </c>
      <c r="T124" s="130" t="s">
        <v>107</v>
      </c>
      <c r="U124" s="50">
        <v>9</v>
      </c>
      <c r="V124" s="54"/>
      <c r="W124" s="54"/>
      <c r="X124" s="59" t="s">
        <v>108</v>
      </c>
      <c r="Y124" s="93">
        <f>IF(AD124=0, 0, IF(OR(H124="", H124&lt;&gt;0), 1, 0))</f>
        <v>1</v>
      </c>
      <c r="Z124" s="3">
        <v>0</v>
      </c>
      <c r="AA124" s="3" t="s">
        <v>898</v>
      </c>
      <c r="AD124" s="6">
        <f>ROUND((AG124*(1+AJ124)),2)</f>
        <v>156.61000000000001</v>
      </c>
      <c r="AE124" s="69">
        <v>178.48453982999999</v>
      </c>
      <c r="AF124" s="17">
        <f>(AE124*1)</f>
        <v>178.48453982999999</v>
      </c>
      <c r="AG124" s="6">
        <f>ROUND((AE124*AI124),2)</f>
        <v>116.01</v>
      </c>
      <c r="AH124" s="30" t="s">
        <v>110</v>
      </c>
      <c r="AI124" s="3">
        <v>0.65</v>
      </c>
      <c r="AJ124" s="18">
        <v>0.35</v>
      </c>
      <c r="AK124" s="6">
        <f>ROUND((AD124-(AD124*BG124)),2)</f>
        <v>155.04</v>
      </c>
      <c r="AL124" s="6">
        <f>ROUND((AD124-(AD124*BH124)),2)</f>
        <v>153.47999999999999</v>
      </c>
      <c r="AM124" s="6">
        <f>ROUND((AD124-(AD124*BI124)),2)</f>
        <v>151.91</v>
      </c>
      <c r="AN124" s="6">
        <f>ROUND((AD124-(AD124*BJ124)),2)</f>
        <v>151.91</v>
      </c>
      <c r="AO124" s="6">
        <f>ROUND((AD124-(AD124*BK124)),2)</f>
        <v>156.61000000000001</v>
      </c>
      <c r="BG124" s="12">
        <v>0.01</v>
      </c>
      <c r="BH124" s="12">
        <v>0.02</v>
      </c>
      <c r="BI124" s="12">
        <v>0.03</v>
      </c>
      <c r="BJ124" s="12">
        <v>0.03</v>
      </c>
      <c r="CC124" s="3" t="str">
        <f>IF(B124&lt;&gt;"",CONCATENATE(SUBSTITUTE(B124," ","-"),".jpg"),"")</f>
        <v>Allied-Moulded-AM1226RT.jpg</v>
      </c>
      <c r="CD124" s="16" t="s">
        <v>111</v>
      </c>
      <c r="CE124" s="3"/>
      <c r="CF124" s="3"/>
      <c r="CG124" s="3" t="s">
        <v>112</v>
      </c>
      <c r="CI124" s="3" t="s">
        <v>97</v>
      </c>
      <c r="CJ124" s="3" t="s">
        <v>383</v>
      </c>
      <c r="CK124" s="3" t="s">
        <v>114</v>
      </c>
      <c r="CL124" s="3" t="s">
        <v>115</v>
      </c>
      <c r="CM124" s="3" t="s">
        <v>116</v>
      </c>
      <c r="CN124" s="16" t="s">
        <v>132</v>
      </c>
      <c r="CO124" s="3" t="s">
        <v>118</v>
      </c>
      <c r="CP124" s="3" t="s">
        <v>139</v>
      </c>
      <c r="CQ124" s="3" t="s">
        <v>120</v>
      </c>
      <c r="CR124" s="3" t="s">
        <v>140</v>
      </c>
      <c r="CS124" s="16" t="s">
        <v>122</v>
      </c>
      <c r="CT124" s="16" t="s">
        <v>125</v>
      </c>
      <c r="CU124" s="16" t="s">
        <v>125</v>
      </c>
      <c r="CV124" s="16" t="s">
        <v>385</v>
      </c>
    </row>
    <row r="125" spans="1:100" ht="15" customHeight="1">
      <c r="A125" t="s">
        <v>899</v>
      </c>
      <c r="B125" s="3" t="s">
        <v>900</v>
      </c>
      <c r="C125" s="16" t="s">
        <v>97</v>
      </c>
      <c r="D125" s="40" t="s">
        <v>901</v>
      </c>
      <c r="E125" s="16" t="s">
        <v>97</v>
      </c>
      <c r="F125" s="131" t="s">
        <v>902</v>
      </c>
      <c r="I125" s="100" t="s">
        <v>342</v>
      </c>
      <c r="J125" s="16" t="s">
        <v>101</v>
      </c>
      <c r="K125" s="16"/>
      <c r="L125" s="3" t="s">
        <v>102</v>
      </c>
      <c r="M125" s="3" t="s">
        <v>103</v>
      </c>
      <c r="N125" s="3" t="s">
        <v>104</v>
      </c>
      <c r="O125" s="16" t="s">
        <v>105</v>
      </c>
      <c r="P125" s="3" t="s">
        <v>903</v>
      </c>
      <c r="Q125" s="3" t="s">
        <v>903</v>
      </c>
      <c r="R125" s="3" t="s">
        <v>903</v>
      </c>
      <c r="S125" t="s">
        <v>899</v>
      </c>
      <c r="T125" s="130" t="s">
        <v>107</v>
      </c>
      <c r="U125" s="58">
        <v>9</v>
      </c>
      <c r="V125" s="58"/>
      <c r="W125" s="58"/>
      <c r="X125" s="59" t="s">
        <v>108</v>
      </c>
      <c r="Y125" s="93">
        <f>IF(AD125=0, 0, IF(OR(H125="", H125&lt;&gt;0), 1, 0))</f>
        <v>1</v>
      </c>
      <c r="Z125" s="3">
        <v>0</v>
      </c>
      <c r="AA125" s="3" t="s">
        <v>904</v>
      </c>
      <c r="AD125" s="6">
        <f>ROUND((AG125*(1+AJ125)),2)</f>
        <v>222.8</v>
      </c>
      <c r="AE125" s="74">
        <v>253.90160333000003</v>
      </c>
      <c r="AF125" s="17">
        <f>(AE125*1)</f>
        <v>253.90160333000003</v>
      </c>
      <c r="AG125" s="6">
        <f>ROUND((AE125*AI125),2)</f>
        <v>165.04</v>
      </c>
      <c r="AH125" s="30" t="s">
        <v>110</v>
      </c>
      <c r="AI125" s="3">
        <v>0.65</v>
      </c>
      <c r="AJ125" s="18">
        <v>0.35</v>
      </c>
      <c r="AK125" s="6">
        <f>ROUND((AD125-(AD125*BG125)),2)</f>
        <v>220.57</v>
      </c>
      <c r="AL125" s="6">
        <f>ROUND((AD125-(AD125*BH125)),2)</f>
        <v>218.34</v>
      </c>
      <c r="AM125" s="6">
        <f>ROUND((AD125-(AD125*BI125)),2)</f>
        <v>216.12</v>
      </c>
      <c r="AN125" s="6">
        <f>ROUND((AD125-(AD125*BJ125)),2)</f>
        <v>216.12</v>
      </c>
      <c r="AO125" s="6">
        <f>ROUND((AD125-(AD125*BK125)),2)</f>
        <v>222.8</v>
      </c>
      <c r="BG125" s="12">
        <v>0.01</v>
      </c>
      <c r="BH125" s="12">
        <v>0.02</v>
      </c>
      <c r="BI125" s="12">
        <v>0.03</v>
      </c>
      <c r="BJ125" s="12">
        <v>0.03</v>
      </c>
      <c r="CC125" s="3" t="str">
        <f>IF(B125&lt;&gt;"",CONCATENATE(SUBSTITUTE(B125," ","-"),".jpg"),"")</f>
        <v>Allied-Moulded-AM1226RW.jpg</v>
      </c>
      <c r="CD125" s="16" t="s">
        <v>111</v>
      </c>
      <c r="CE125" s="3"/>
      <c r="CF125" s="3"/>
      <c r="CG125" s="3" t="s">
        <v>112</v>
      </c>
      <c r="CI125" s="3" t="s">
        <v>97</v>
      </c>
      <c r="CJ125" s="3" t="s">
        <v>383</v>
      </c>
      <c r="CK125" s="3" t="s">
        <v>114</v>
      </c>
      <c r="CL125" s="3" t="s">
        <v>115</v>
      </c>
      <c r="CM125" s="16"/>
      <c r="CN125" s="16" t="s">
        <v>349</v>
      </c>
      <c r="CO125" s="3" t="s">
        <v>118</v>
      </c>
      <c r="CP125" s="3" t="s">
        <v>139</v>
      </c>
      <c r="CQ125" s="3" t="s">
        <v>120</v>
      </c>
      <c r="CR125" s="16" t="s">
        <v>121</v>
      </c>
      <c r="CS125" s="3" t="s">
        <v>384</v>
      </c>
      <c r="CT125" s="16" t="s">
        <v>125</v>
      </c>
      <c r="CU125" s="16" t="s">
        <v>125</v>
      </c>
      <c r="CV125" s="16" t="s">
        <v>385</v>
      </c>
    </row>
    <row r="126" spans="1:100" ht="15" customHeight="1">
      <c r="A126" t="s">
        <v>905</v>
      </c>
      <c r="B126" s="3" t="s">
        <v>906</v>
      </c>
      <c r="C126" s="16" t="s">
        <v>97</v>
      </c>
      <c r="D126" s="42" t="s">
        <v>907</v>
      </c>
      <c r="E126" s="16" t="s">
        <v>97</v>
      </c>
      <c r="F126" s="131" t="s">
        <v>908</v>
      </c>
      <c r="I126" s="100" t="s">
        <v>342</v>
      </c>
      <c r="J126" s="16" t="s">
        <v>101</v>
      </c>
      <c r="K126" s="16"/>
      <c r="L126" s="3" t="s">
        <v>102</v>
      </c>
      <c r="M126" s="3" t="s">
        <v>103</v>
      </c>
      <c r="N126" s="3" t="s">
        <v>104</v>
      </c>
      <c r="O126" s="16" t="s">
        <v>105</v>
      </c>
      <c r="P126" s="3" t="s">
        <v>909</v>
      </c>
      <c r="Q126" s="3" t="s">
        <v>909</v>
      </c>
      <c r="R126" s="3" t="s">
        <v>909</v>
      </c>
      <c r="S126" t="s">
        <v>905</v>
      </c>
      <c r="T126" s="130" t="s">
        <v>107</v>
      </c>
      <c r="U126" s="36">
        <v>9</v>
      </c>
      <c r="V126" s="39"/>
      <c r="W126" s="39"/>
      <c r="X126" s="59" t="s">
        <v>108</v>
      </c>
      <c r="Y126" s="93">
        <f>IF(AD126=0, 0, IF(OR(H126="", H126&lt;&gt;0), 1, 0))</f>
        <v>1</v>
      </c>
      <c r="Z126" s="3">
        <v>0</v>
      </c>
      <c r="AA126" s="3" t="s">
        <v>910</v>
      </c>
      <c r="AD126" s="6">
        <f>ROUND((AG126*(1+AJ126)),2)</f>
        <v>228.15</v>
      </c>
      <c r="AE126" s="68">
        <v>260.00069477</v>
      </c>
      <c r="AF126" s="17">
        <f>(AE126*1)</f>
        <v>260.00069477</v>
      </c>
      <c r="AG126" s="6">
        <f>ROUND((AE126*AI126),2)</f>
        <v>169</v>
      </c>
      <c r="AH126" s="30" t="s">
        <v>110</v>
      </c>
      <c r="AI126" s="3">
        <v>0.65</v>
      </c>
      <c r="AJ126" s="18">
        <v>0.35</v>
      </c>
      <c r="AK126" s="6">
        <f>ROUND((AD126-(AD126*BG126)),2)</f>
        <v>225.87</v>
      </c>
      <c r="AL126" s="6">
        <f>ROUND((AD126-(AD126*BH126)),2)</f>
        <v>223.59</v>
      </c>
      <c r="AM126" s="6">
        <f>ROUND((AD126-(AD126*BI126)),2)</f>
        <v>221.31</v>
      </c>
      <c r="AN126" s="6">
        <f>ROUND((AD126-(AD126*BJ126)),2)</f>
        <v>221.31</v>
      </c>
      <c r="AO126" s="6">
        <f>ROUND((AD126-(AD126*BK126)),2)</f>
        <v>228.15</v>
      </c>
      <c r="BG126" s="12">
        <v>0.01</v>
      </c>
      <c r="BH126" s="12">
        <v>0.02</v>
      </c>
      <c r="BI126" s="12">
        <v>0.03</v>
      </c>
      <c r="BJ126" s="12">
        <v>0.03</v>
      </c>
      <c r="CC126" s="3" t="str">
        <f>IF(B126&lt;&gt;"",CONCATENATE(SUBSTITUTE(B126," ","-"),".jpg"),"")</f>
        <v>Allied-Moulded-AM1226RHW.jpg</v>
      </c>
      <c r="CD126" s="16" t="s">
        <v>111</v>
      </c>
      <c r="CE126" s="3"/>
      <c r="CF126" s="3"/>
      <c r="CG126" s="3" t="s">
        <v>112</v>
      </c>
      <c r="CI126" s="3" t="s">
        <v>97</v>
      </c>
      <c r="CJ126" s="3" t="s">
        <v>383</v>
      </c>
      <c r="CK126" s="3" t="s">
        <v>114</v>
      </c>
      <c r="CL126" s="3" t="s">
        <v>115</v>
      </c>
      <c r="CO126" s="3" t="s">
        <v>118</v>
      </c>
      <c r="CP126" s="3" t="s">
        <v>139</v>
      </c>
      <c r="CQ126" s="3" t="s">
        <v>120</v>
      </c>
      <c r="CR126" s="16" t="s">
        <v>121</v>
      </c>
      <c r="CS126" s="3" t="s">
        <v>384</v>
      </c>
      <c r="CT126" s="16" t="s">
        <v>125</v>
      </c>
      <c r="CU126" s="16" t="s">
        <v>125</v>
      </c>
      <c r="CV126" s="16" t="s">
        <v>385</v>
      </c>
    </row>
    <row r="127" spans="1:100" ht="15" customHeight="1">
      <c r="A127" t="s">
        <v>911</v>
      </c>
      <c r="B127" s="3" t="s">
        <v>912</v>
      </c>
      <c r="C127" s="16" t="s">
        <v>97</v>
      </c>
      <c r="D127" s="44" t="s">
        <v>913</v>
      </c>
      <c r="E127" s="16" t="s">
        <v>97</v>
      </c>
      <c r="F127" s="131" t="s">
        <v>914</v>
      </c>
      <c r="I127" s="100" t="s">
        <v>342</v>
      </c>
      <c r="J127" s="16" t="s">
        <v>101</v>
      </c>
      <c r="K127" s="16"/>
      <c r="L127" s="3" t="s">
        <v>102</v>
      </c>
      <c r="M127" s="3" t="s">
        <v>103</v>
      </c>
      <c r="N127" s="3" t="s">
        <v>104</v>
      </c>
      <c r="O127" s="16" t="s">
        <v>105</v>
      </c>
      <c r="P127" s="3" t="s">
        <v>915</v>
      </c>
      <c r="Q127" s="3" t="s">
        <v>915</v>
      </c>
      <c r="R127" s="3" t="s">
        <v>915</v>
      </c>
      <c r="S127" t="s">
        <v>911</v>
      </c>
      <c r="T127" s="130" t="s">
        <v>107</v>
      </c>
      <c r="U127" s="34">
        <v>9</v>
      </c>
      <c r="V127" s="39"/>
      <c r="W127" s="39"/>
      <c r="X127" s="59" t="s">
        <v>108</v>
      </c>
      <c r="Y127" s="93">
        <f>IF(AD127=0, 0, IF(OR(H127="", H127&lt;&gt;0), 1, 0))</f>
        <v>1</v>
      </c>
      <c r="Z127" s="3">
        <v>0</v>
      </c>
      <c r="AA127" s="3" t="s">
        <v>916</v>
      </c>
      <c r="AD127" s="6">
        <f>ROUND((AG127*(1+AJ127)),2)</f>
        <v>247.79</v>
      </c>
      <c r="AE127" s="69">
        <v>282.38794870999999</v>
      </c>
      <c r="AF127" s="17">
        <f>(AE127*1)</f>
        <v>282.38794870999999</v>
      </c>
      <c r="AG127" s="6">
        <f>ROUND((AE127*AI127),2)</f>
        <v>183.55</v>
      </c>
      <c r="AH127" s="30" t="s">
        <v>110</v>
      </c>
      <c r="AI127" s="3">
        <v>0.65</v>
      </c>
      <c r="AJ127" s="18">
        <v>0.35</v>
      </c>
      <c r="AK127" s="6">
        <f>ROUND((AD127-(AD127*BG127)),2)</f>
        <v>245.31</v>
      </c>
      <c r="AL127" s="6">
        <f>ROUND((AD127-(AD127*BH127)),2)</f>
        <v>242.83</v>
      </c>
      <c r="AM127" s="6">
        <f>ROUND((AD127-(AD127*BI127)),2)</f>
        <v>240.36</v>
      </c>
      <c r="AN127" s="6">
        <f>ROUND((AD127-(AD127*BJ127)),2)</f>
        <v>240.36</v>
      </c>
      <c r="AO127" s="6">
        <f>ROUND((AD127-(AD127*BK127)),2)</f>
        <v>247.79</v>
      </c>
      <c r="BG127" s="12">
        <v>0.01</v>
      </c>
      <c r="BH127" s="12">
        <v>0.02</v>
      </c>
      <c r="BI127" s="12">
        <v>0.03</v>
      </c>
      <c r="BJ127" s="12">
        <v>0.03</v>
      </c>
      <c r="CC127" s="3" t="str">
        <f>IF(B127&lt;&gt;"",CONCATENATE(SUBSTITUTE(B127," ","-"),".jpg"),"")</f>
        <v>Allied-Moulded-AM1226RLW.jpg</v>
      </c>
      <c r="CD127" s="16" t="s">
        <v>111</v>
      </c>
      <c r="CE127" s="3"/>
      <c r="CF127" s="3"/>
      <c r="CG127" s="3" t="s">
        <v>112</v>
      </c>
      <c r="CI127" s="3" t="s">
        <v>97</v>
      </c>
      <c r="CJ127" s="3" t="s">
        <v>383</v>
      </c>
      <c r="CK127" s="3" t="s">
        <v>114</v>
      </c>
      <c r="CL127" s="3" t="s">
        <v>115</v>
      </c>
      <c r="CM127" s="3" t="s">
        <v>116</v>
      </c>
      <c r="CN127" t="s">
        <v>117</v>
      </c>
      <c r="CO127" s="3" t="s">
        <v>118</v>
      </c>
      <c r="CP127" s="3" t="s">
        <v>139</v>
      </c>
      <c r="CQ127" s="3" t="s">
        <v>120</v>
      </c>
      <c r="CR127" s="16" t="s">
        <v>121</v>
      </c>
      <c r="CS127" s="16" t="s">
        <v>122</v>
      </c>
      <c r="CT127" s="16" t="s">
        <v>125</v>
      </c>
      <c r="CU127" s="16" t="s">
        <v>125</v>
      </c>
      <c r="CV127" s="16" t="s">
        <v>385</v>
      </c>
    </row>
    <row r="128" spans="1:100" ht="15" customHeight="1">
      <c r="A128" t="s">
        <v>917</v>
      </c>
      <c r="B128" s="3" t="s">
        <v>918</v>
      </c>
      <c r="C128" s="16" t="s">
        <v>97</v>
      </c>
      <c r="D128" s="43" t="s">
        <v>919</v>
      </c>
      <c r="E128" s="16" t="s">
        <v>97</v>
      </c>
      <c r="F128" s="131" t="s">
        <v>920</v>
      </c>
      <c r="I128" s="100" t="s">
        <v>342</v>
      </c>
      <c r="J128" s="16" t="s">
        <v>101</v>
      </c>
      <c r="K128" s="16"/>
      <c r="L128" s="3" t="s">
        <v>102</v>
      </c>
      <c r="M128" s="3" t="s">
        <v>103</v>
      </c>
      <c r="N128" s="3" t="s">
        <v>104</v>
      </c>
      <c r="O128" s="16" t="s">
        <v>105</v>
      </c>
      <c r="P128" s="3" t="s">
        <v>921</v>
      </c>
      <c r="Q128" s="3" t="s">
        <v>921</v>
      </c>
      <c r="R128" s="3" t="s">
        <v>921</v>
      </c>
      <c r="S128" t="s">
        <v>917</v>
      </c>
      <c r="T128" s="130" t="s">
        <v>107</v>
      </c>
      <c r="U128" s="51">
        <v>9</v>
      </c>
      <c r="V128" s="58"/>
      <c r="W128" s="58"/>
      <c r="X128" s="59" t="s">
        <v>108</v>
      </c>
      <c r="Y128" s="93">
        <f>IF(AD128=0, 0, IF(OR(H128="", H128&lt;&gt;0), 1, 0))</f>
        <v>1</v>
      </c>
      <c r="Z128" s="3">
        <v>0</v>
      </c>
      <c r="AA128" s="3" t="s">
        <v>922</v>
      </c>
      <c r="AD128" s="6">
        <f>ROUND((AG128*(1+AJ128)),2)</f>
        <v>247.79</v>
      </c>
      <c r="AE128" s="69">
        <v>282.38794870999999</v>
      </c>
      <c r="AF128" s="17">
        <f>(AE128*1)</f>
        <v>282.38794870999999</v>
      </c>
      <c r="AG128" s="6">
        <f>ROUND((AE128*AI128),2)</f>
        <v>183.55</v>
      </c>
      <c r="AH128" s="30" t="s">
        <v>110</v>
      </c>
      <c r="AI128" s="3">
        <v>0.65</v>
      </c>
      <c r="AJ128" s="18">
        <v>0.35</v>
      </c>
      <c r="AK128" s="6">
        <f>ROUND((AD128-(AD128*BG128)),2)</f>
        <v>245.31</v>
      </c>
      <c r="AL128" s="6">
        <f>ROUND((AD128-(AD128*BH128)),2)</f>
        <v>242.83</v>
      </c>
      <c r="AM128" s="6">
        <f>ROUND((AD128-(AD128*BI128)),2)</f>
        <v>240.36</v>
      </c>
      <c r="AN128" s="6">
        <f>ROUND((AD128-(AD128*BJ128)),2)</f>
        <v>240.36</v>
      </c>
      <c r="AO128" s="6">
        <f>ROUND((AD128-(AD128*BK128)),2)</f>
        <v>247.79</v>
      </c>
      <c r="BG128" s="12">
        <v>0.01</v>
      </c>
      <c r="BH128" s="12">
        <v>0.02</v>
      </c>
      <c r="BI128" s="12">
        <v>0.03</v>
      </c>
      <c r="BJ128" s="12">
        <v>0.03</v>
      </c>
      <c r="CC128" s="3" t="str">
        <f>IF(B128&lt;&gt;"",CONCATENATE(SUBSTITUTE(B128," ","-"),".jpg"),"")</f>
        <v>Allied-Moulded-AM1226RTW.jpg</v>
      </c>
      <c r="CD128" s="16" t="s">
        <v>111</v>
      </c>
      <c r="CE128" s="3"/>
      <c r="CF128" s="3"/>
      <c r="CG128" s="3" t="s">
        <v>112</v>
      </c>
      <c r="CI128" s="3" t="s">
        <v>97</v>
      </c>
      <c r="CJ128" s="3" t="s">
        <v>383</v>
      </c>
      <c r="CK128" s="3" t="s">
        <v>114</v>
      </c>
      <c r="CL128" s="3" t="s">
        <v>115</v>
      </c>
      <c r="CM128" s="3" t="s">
        <v>116</v>
      </c>
      <c r="CN128" s="16" t="s">
        <v>132</v>
      </c>
      <c r="CO128" s="3" t="s">
        <v>118</v>
      </c>
      <c r="CP128" s="3" t="s">
        <v>139</v>
      </c>
      <c r="CQ128" s="3" t="s">
        <v>120</v>
      </c>
      <c r="CR128" s="16" t="s">
        <v>121</v>
      </c>
      <c r="CS128" s="16" t="s">
        <v>122</v>
      </c>
      <c r="CT128" s="16" t="s">
        <v>125</v>
      </c>
      <c r="CU128" s="16" t="s">
        <v>125</v>
      </c>
      <c r="CV128" s="16" t="s">
        <v>385</v>
      </c>
    </row>
    <row r="129" spans="1:100" ht="15" customHeight="1">
      <c r="A129" t="s">
        <v>923</v>
      </c>
      <c r="B129" s="3" t="s">
        <v>924</v>
      </c>
      <c r="C129" s="16" t="s">
        <v>97</v>
      </c>
      <c r="D129" s="43" t="s">
        <v>925</v>
      </c>
      <c r="E129" s="16" t="s">
        <v>97</v>
      </c>
      <c r="F129" s="131" t="s">
        <v>926</v>
      </c>
      <c r="I129" s="100" t="s">
        <v>342</v>
      </c>
      <c r="J129" s="16" t="s">
        <v>101</v>
      </c>
      <c r="K129" s="16"/>
      <c r="L129" s="3" t="s">
        <v>102</v>
      </c>
      <c r="M129" s="3" t="s">
        <v>103</v>
      </c>
      <c r="N129" s="3" t="s">
        <v>104</v>
      </c>
      <c r="O129" s="16" t="s">
        <v>105</v>
      </c>
      <c r="P129" s="3" t="s">
        <v>927</v>
      </c>
      <c r="Q129" s="3" t="s">
        <v>927</v>
      </c>
      <c r="R129" s="3" t="s">
        <v>927</v>
      </c>
      <c r="S129" t="s">
        <v>923</v>
      </c>
      <c r="T129" s="130" t="s">
        <v>107</v>
      </c>
      <c r="U129" s="51">
        <v>8</v>
      </c>
      <c r="V129" s="58"/>
      <c r="W129" s="58"/>
      <c r="X129" s="59" t="s">
        <v>108</v>
      </c>
      <c r="Y129" s="93">
        <f>IF(AD129=0, 0, IF(OR(H129="", H129&lt;&gt;0), 1, 0))</f>
        <v>1</v>
      </c>
      <c r="Z129" s="3">
        <v>0</v>
      </c>
      <c r="AA129" s="3" t="s">
        <v>928</v>
      </c>
      <c r="AD129" s="6">
        <f>ROUND((AG129*(1+AJ129)),2)</f>
        <v>122.18</v>
      </c>
      <c r="AE129" s="69">
        <v>139.22603523999999</v>
      </c>
      <c r="AF129" s="17">
        <f>(AE129*1)</f>
        <v>139.22603523999999</v>
      </c>
      <c r="AG129" s="6">
        <f>ROUND((AE129*AI129),2)</f>
        <v>90.5</v>
      </c>
      <c r="AH129" s="30" t="s">
        <v>110</v>
      </c>
      <c r="AI129" s="3">
        <v>0.65</v>
      </c>
      <c r="AJ129" s="18">
        <v>0.35</v>
      </c>
      <c r="AK129" s="6">
        <f>ROUND((AD129-(AD129*BG129)),2)</f>
        <v>120.96</v>
      </c>
      <c r="AL129" s="6">
        <f>ROUND((AD129-(AD129*BH129)),2)</f>
        <v>119.74</v>
      </c>
      <c r="AM129" s="6">
        <f>ROUND((AD129-(AD129*BI129)),2)</f>
        <v>118.51</v>
      </c>
      <c r="AN129" s="6">
        <f>ROUND((AD129-(AD129*BJ129)),2)</f>
        <v>118.51</v>
      </c>
      <c r="AO129" s="6">
        <f>ROUND((AD129-(AD129*BK129)),2)</f>
        <v>122.18</v>
      </c>
      <c r="BG129" s="12">
        <v>0.01</v>
      </c>
      <c r="BH129" s="12">
        <v>0.02</v>
      </c>
      <c r="BI129" s="12">
        <v>0.03</v>
      </c>
      <c r="BJ129" s="12">
        <v>0.03</v>
      </c>
      <c r="CC129" s="3" t="str">
        <f>IF(B129&lt;&gt;"",CONCATENATE(SUBSTITUTE(B129," ","-"),".jpg"),"")</f>
        <v>Allied-Moulded-AM1226.jpg</v>
      </c>
      <c r="CD129" s="16" t="s">
        <v>111</v>
      </c>
      <c r="CE129" s="3"/>
      <c r="CF129" s="3"/>
      <c r="CG129" s="3" t="s">
        <v>112</v>
      </c>
      <c r="CI129" s="3" t="s">
        <v>97</v>
      </c>
      <c r="CJ129" s="3" t="s">
        <v>844</v>
      </c>
      <c r="CK129" s="3" t="s">
        <v>114</v>
      </c>
      <c r="CL129" s="3" t="s">
        <v>115</v>
      </c>
      <c r="CM129" s="16"/>
      <c r="CN129" s="16" t="s">
        <v>349</v>
      </c>
      <c r="CO129" s="3" t="s">
        <v>118</v>
      </c>
      <c r="CP129" s="3" t="s">
        <v>139</v>
      </c>
      <c r="CQ129" s="3" t="s">
        <v>120</v>
      </c>
      <c r="CR129" s="3" t="s">
        <v>140</v>
      </c>
      <c r="CS129" s="3" t="s">
        <v>384</v>
      </c>
      <c r="CT129" s="16" t="s">
        <v>125</v>
      </c>
      <c r="CU129" s="16" t="s">
        <v>125</v>
      </c>
      <c r="CV129" s="16" t="s">
        <v>351</v>
      </c>
    </row>
    <row r="130" spans="1:100" ht="15" customHeight="1">
      <c r="A130" t="s">
        <v>929</v>
      </c>
      <c r="B130" s="3" t="s">
        <v>930</v>
      </c>
      <c r="C130" s="16" t="s">
        <v>97</v>
      </c>
      <c r="D130" s="43" t="s">
        <v>931</v>
      </c>
      <c r="E130" s="16" t="s">
        <v>97</v>
      </c>
      <c r="F130" s="131" t="s">
        <v>932</v>
      </c>
      <c r="I130" s="100" t="s">
        <v>342</v>
      </c>
      <c r="J130" s="16" t="s">
        <v>101</v>
      </c>
      <c r="K130" s="16"/>
      <c r="L130" s="3" t="s">
        <v>102</v>
      </c>
      <c r="M130" s="3" t="s">
        <v>103</v>
      </c>
      <c r="N130" s="3" t="s">
        <v>104</v>
      </c>
      <c r="O130" s="16" t="s">
        <v>105</v>
      </c>
      <c r="P130" s="3" t="s">
        <v>933</v>
      </c>
      <c r="Q130" s="3" t="s">
        <v>933</v>
      </c>
      <c r="R130" s="3" t="s">
        <v>933</v>
      </c>
      <c r="S130" t="s">
        <v>929</v>
      </c>
      <c r="T130" s="130" t="s">
        <v>107</v>
      </c>
      <c r="U130" s="51">
        <v>8</v>
      </c>
      <c r="V130" s="58"/>
      <c r="W130" s="58"/>
      <c r="X130" s="59" t="s">
        <v>108</v>
      </c>
      <c r="Y130" s="93">
        <f>IF(AD130=0, 0, IF(OR(H130="", H130&lt;&gt;0), 1, 0))</f>
        <v>1</v>
      </c>
      <c r="Z130" s="3">
        <v>0</v>
      </c>
      <c r="AA130" s="3" t="s">
        <v>934</v>
      </c>
      <c r="AD130" s="6">
        <f>ROUND((AG130*(1+AJ130)),2)</f>
        <v>126.2</v>
      </c>
      <c r="AE130" s="69">
        <v>143.81880524000002</v>
      </c>
      <c r="AF130" s="17">
        <f>(AE130*1)</f>
        <v>143.81880524000002</v>
      </c>
      <c r="AG130" s="6">
        <f>ROUND((AE130*AI130),2)</f>
        <v>93.48</v>
      </c>
      <c r="AH130" s="30" t="s">
        <v>110</v>
      </c>
      <c r="AI130" s="3">
        <v>0.65</v>
      </c>
      <c r="AJ130" s="18">
        <v>0.35</v>
      </c>
      <c r="AK130" s="6">
        <f>ROUND((AD130-(AD130*BG130)),2)</f>
        <v>124.94</v>
      </c>
      <c r="AL130" s="6">
        <f>ROUND((AD130-(AD130*BH130)),2)</f>
        <v>123.68</v>
      </c>
      <c r="AM130" s="6">
        <f>ROUND((AD130-(AD130*BI130)),2)</f>
        <v>122.41</v>
      </c>
      <c r="AN130" s="6">
        <f>ROUND((AD130-(AD130*BJ130)),2)</f>
        <v>122.41</v>
      </c>
      <c r="AO130" s="6">
        <f>ROUND((AD130-(AD130*BK130)),2)</f>
        <v>126.2</v>
      </c>
      <c r="BG130" s="12">
        <v>0.01</v>
      </c>
      <c r="BH130" s="12">
        <v>0.02</v>
      </c>
      <c r="BI130" s="12">
        <v>0.03</v>
      </c>
      <c r="BJ130" s="12">
        <v>0.03</v>
      </c>
      <c r="CC130" s="3" t="str">
        <f>IF(B130&lt;&gt;"",CONCATENATE(SUBSTITUTE(B130," ","-"),".jpg"),"")</f>
        <v>Allied-Moulded-AM1224H.jpg</v>
      </c>
      <c r="CD130" s="16" t="s">
        <v>111</v>
      </c>
      <c r="CE130" s="3"/>
      <c r="CF130" s="3"/>
      <c r="CG130" s="3" t="s">
        <v>112</v>
      </c>
      <c r="CI130" s="3" t="s">
        <v>97</v>
      </c>
      <c r="CJ130" s="3" t="s">
        <v>844</v>
      </c>
      <c r="CK130" s="3" t="s">
        <v>114</v>
      </c>
      <c r="CL130" s="3" t="s">
        <v>115</v>
      </c>
      <c r="CO130" s="3" t="s">
        <v>118</v>
      </c>
      <c r="CP130" s="3" t="s">
        <v>139</v>
      </c>
      <c r="CQ130" s="3" t="s">
        <v>120</v>
      </c>
      <c r="CR130" s="3" t="s">
        <v>140</v>
      </c>
      <c r="CS130" s="3" t="s">
        <v>384</v>
      </c>
      <c r="CT130" s="16" t="s">
        <v>125</v>
      </c>
      <c r="CU130" s="16" t="s">
        <v>125</v>
      </c>
      <c r="CV130" s="16" t="s">
        <v>657</v>
      </c>
    </row>
    <row r="131" spans="1:100" ht="15" customHeight="1">
      <c r="A131" t="s">
        <v>935</v>
      </c>
      <c r="B131" s="3" t="s">
        <v>936</v>
      </c>
      <c r="C131" s="16" t="s">
        <v>97</v>
      </c>
      <c r="D131" s="43" t="s">
        <v>937</v>
      </c>
      <c r="E131" s="16" t="s">
        <v>97</v>
      </c>
      <c r="F131" s="131" t="s">
        <v>938</v>
      </c>
      <c r="I131" s="100" t="s">
        <v>342</v>
      </c>
      <c r="J131" s="16" t="s">
        <v>101</v>
      </c>
      <c r="K131" s="16"/>
      <c r="L131" s="3" t="s">
        <v>102</v>
      </c>
      <c r="M131" s="3" t="s">
        <v>103</v>
      </c>
      <c r="N131" s="3" t="s">
        <v>104</v>
      </c>
      <c r="O131" s="16" t="s">
        <v>105</v>
      </c>
      <c r="P131" s="3" t="s">
        <v>939</v>
      </c>
      <c r="Q131" s="3" t="s">
        <v>939</v>
      </c>
      <c r="R131" s="3" t="s">
        <v>939</v>
      </c>
      <c r="S131" t="s">
        <v>935</v>
      </c>
      <c r="T131" s="130" t="s">
        <v>107</v>
      </c>
      <c r="U131" s="51">
        <v>8</v>
      </c>
      <c r="V131" s="58"/>
      <c r="W131" s="58"/>
      <c r="X131" s="59" t="s">
        <v>108</v>
      </c>
      <c r="Y131" s="93">
        <f>IF(AD131=0, 0, IF(OR(H131="", H131&lt;&gt;0), 1, 0))</f>
        <v>1</v>
      </c>
      <c r="Z131" s="3">
        <v>0</v>
      </c>
      <c r="AA131" s="3" t="s">
        <v>940</v>
      </c>
      <c r="AD131" s="6">
        <f>ROUND((AG131*(1+AJ131)),2)</f>
        <v>142.06</v>
      </c>
      <c r="AE131" s="69">
        <v>161.89073822</v>
      </c>
      <c r="AF131" s="17">
        <f>(AE131*1)</f>
        <v>161.89073822</v>
      </c>
      <c r="AG131" s="6">
        <f>ROUND((AE131*AI131),2)</f>
        <v>105.23</v>
      </c>
      <c r="AH131" s="30" t="s">
        <v>110</v>
      </c>
      <c r="AI131" s="3">
        <v>0.65</v>
      </c>
      <c r="AJ131" s="18">
        <v>0.35</v>
      </c>
      <c r="AK131" s="6">
        <f>ROUND((AD131-(AD131*BG131)),2)</f>
        <v>140.63999999999999</v>
      </c>
      <c r="AL131" s="6">
        <f>ROUND((AD131-(AD131*BH131)),2)</f>
        <v>139.22</v>
      </c>
      <c r="AM131" s="6">
        <f>ROUND((AD131-(AD131*BI131)),2)</f>
        <v>137.80000000000001</v>
      </c>
      <c r="AN131" s="6">
        <f>ROUND((AD131-(AD131*BJ131)),2)</f>
        <v>137.80000000000001</v>
      </c>
      <c r="AO131" s="6">
        <f>ROUND((AD131-(AD131*BK131)),2)</f>
        <v>142.06</v>
      </c>
      <c r="BG131" s="12">
        <v>0.01</v>
      </c>
      <c r="BH131" s="12">
        <v>0.02</v>
      </c>
      <c r="BI131" s="12">
        <v>0.03</v>
      </c>
      <c r="BJ131" s="12">
        <v>0.03</v>
      </c>
      <c r="CC131" s="3" t="str">
        <f>IF(B131&lt;&gt;"",CONCATENATE(SUBSTITUTE(B131," ","-"),".jpg"),"")</f>
        <v>Allied-Moulded-AM1224L.jpg</v>
      </c>
      <c r="CD131" s="16" t="s">
        <v>111</v>
      </c>
      <c r="CE131" s="3"/>
      <c r="CF131" s="3"/>
      <c r="CG131" s="3" t="s">
        <v>112</v>
      </c>
      <c r="CI131" s="3" t="s">
        <v>97</v>
      </c>
      <c r="CJ131" s="3" t="s">
        <v>844</v>
      </c>
      <c r="CK131" s="3" t="s">
        <v>114</v>
      </c>
      <c r="CL131" s="3" t="s">
        <v>115</v>
      </c>
      <c r="CM131" s="3" t="s">
        <v>116</v>
      </c>
      <c r="CN131" t="s">
        <v>117</v>
      </c>
      <c r="CO131" s="3" t="s">
        <v>118</v>
      </c>
      <c r="CP131" s="3" t="s">
        <v>139</v>
      </c>
      <c r="CQ131" s="3" t="s">
        <v>120</v>
      </c>
      <c r="CR131" s="3" t="s">
        <v>140</v>
      </c>
      <c r="CS131" s="16" t="s">
        <v>122</v>
      </c>
      <c r="CT131" s="16" t="s">
        <v>125</v>
      </c>
      <c r="CU131" s="16" t="s">
        <v>125</v>
      </c>
      <c r="CV131" s="16" t="s">
        <v>657</v>
      </c>
    </row>
    <row r="132" spans="1:100" ht="15" customHeight="1">
      <c r="A132" t="s">
        <v>941</v>
      </c>
      <c r="B132" s="3" t="s">
        <v>942</v>
      </c>
      <c r="C132" s="16" t="s">
        <v>97</v>
      </c>
      <c r="D132" s="44" t="s">
        <v>943</v>
      </c>
      <c r="E132" s="16" t="s">
        <v>97</v>
      </c>
      <c r="F132" s="131" t="s">
        <v>944</v>
      </c>
      <c r="I132" s="100" t="s">
        <v>342</v>
      </c>
      <c r="J132" s="16" t="s">
        <v>101</v>
      </c>
      <c r="K132" s="16"/>
      <c r="L132" s="3" t="s">
        <v>102</v>
      </c>
      <c r="M132" s="3" t="s">
        <v>103</v>
      </c>
      <c r="N132" s="3" t="s">
        <v>104</v>
      </c>
      <c r="O132" s="16" t="s">
        <v>105</v>
      </c>
      <c r="P132" s="3" t="s">
        <v>945</v>
      </c>
      <c r="Q132" s="3" t="s">
        <v>945</v>
      </c>
      <c r="R132" s="3" t="s">
        <v>945</v>
      </c>
      <c r="S132" t="s">
        <v>941</v>
      </c>
      <c r="T132" s="130" t="s">
        <v>107</v>
      </c>
      <c r="U132" s="50">
        <v>8</v>
      </c>
      <c r="V132" s="54"/>
      <c r="W132" s="54"/>
      <c r="X132" s="59" t="s">
        <v>108</v>
      </c>
      <c r="Y132" s="93">
        <f>IF(AD132=0, 0, IF(OR(H132="", H132&lt;&gt;0), 1, 0))</f>
        <v>1</v>
      </c>
      <c r="Z132" s="3">
        <v>0</v>
      </c>
      <c r="AA132" s="3" t="s">
        <v>946</v>
      </c>
      <c r="AD132" s="6">
        <f>ROUND((AG132*(1+AJ132)),2)</f>
        <v>142.06</v>
      </c>
      <c r="AE132" s="69">
        <v>161.89073822</v>
      </c>
      <c r="AF132" s="17">
        <f>(AE132*1)</f>
        <v>161.89073822</v>
      </c>
      <c r="AG132" s="6">
        <f>ROUND((AE132*AI132),2)</f>
        <v>105.23</v>
      </c>
      <c r="AH132" s="30" t="s">
        <v>110</v>
      </c>
      <c r="AI132" s="3">
        <v>0.65</v>
      </c>
      <c r="AJ132" s="18">
        <v>0.35</v>
      </c>
      <c r="AK132" s="6">
        <f>ROUND((AD132-(AD132*BG132)),2)</f>
        <v>140.63999999999999</v>
      </c>
      <c r="AL132" s="6">
        <f>ROUND((AD132-(AD132*BH132)),2)</f>
        <v>139.22</v>
      </c>
      <c r="AM132" s="6">
        <f>ROUND((AD132-(AD132*BI132)),2)</f>
        <v>137.80000000000001</v>
      </c>
      <c r="AN132" s="6">
        <f>ROUND((AD132-(AD132*BJ132)),2)</f>
        <v>137.80000000000001</v>
      </c>
      <c r="AO132" s="6">
        <f>ROUND((AD132-(AD132*BK132)),2)</f>
        <v>142.06</v>
      </c>
      <c r="BG132" s="12">
        <v>0.01</v>
      </c>
      <c r="BH132" s="12">
        <v>0.02</v>
      </c>
      <c r="BI132" s="12">
        <v>0.03</v>
      </c>
      <c r="BJ132" s="12">
        <v>0.03</v>
      </c>
      <c r="CC132" s="3" t="str">
        <f>IF(B132&lt;&gt;"",CONCATENATE(SUBSTITUTE(B132," ","-"),".jpg"),"")</f>
        <v>Allied-Moulded-AM1224T.jpg</v>
      </c>
      <c r="CD132" s="16" t="s">
        <v>111</v>
      </c>
      <c r="CE132" s="3"/>
      <c r="CF132" s="3"/>
      <c r="CG132" s="3" t="s">
        <v>112</v>
      </c>
      <c r="CI132" s="3" t="s">
        <v>97</v>
      </c>
      <c r="CJ132" s="3" t="s">
        <v>844</v>
      </c>
      <c r="CK132" s="3" t="s">
        <v>114</v>
      </c>
      <c r="CL132" s="3" t="s">
        <v>115</v>
      </c>
      <c r="CM132" s="3" t="s">
        <v>116</v>
      </c>
      <c r="CN132" s="16" t="s">
        <v>132</v>
      </c>
      <c r="CO132" s="3" t="s">
        <v>118</v>
      </c>
      <c r="CP132" s="3" t="s">
        <v>139</v>
      </c>
      <c r="CQ132" s="3" t="s">
        <v>120</v>
      </c>
      <c r="CR132" s="3" t="s">
        <v>140</v>
      </c>
      <c r="CS132" s="16" t="s">
        <v>122</v>
      </c>
      <c r="CT132" s="16" t="s">
        <v>125</v>
      </c>
      <c r="CU132" s="16" t="s">
        <v>125</v>
      </c>
      <c r="CV132" s="16" t="s">
        <v>657</v>
      </c>
    </row>
    <row r="133" spans="1:100" ht="15" customHeight="1">
      <c r="A133" t="s">
        <v>947</v>
      </c>
      <c r="B133" s="3" t="s">
        <v>948</v>
      </c>
      <c r="C133" s="16" t="s">
        <v>97</v>
      </c>
      <c r="D133" s="43" t="s">
        <v>949</v>
      </c>
      <c r="E133" s="16" t="s">
        <v>97</v>
      </c>
      <c r="F133" s="131" t="s">
        <v>950</v>
      </c>
      <c r="I133" s="100" t="s">
        <v>342</v>
      </c>
      <c r="J133" s="16" t="s">
        <v>101</v>
      </c>
      <c r="K133" s="16"/>
      <c r="L133" s="3" t="s">
        <v>102</v>
      </c>
      <c r="M133" s="3" t="s">
        <v>103</v>
      </c>
      <c r="N133" s="3" t="s">
        <v>104</v>
      </c>
      <c r="O133" s="16" t="s">
        <v>105</v>
      </c>
      <c r="P133" s="3" t="s">
        <v>951</v>
      </c>
      <c r="Q133" s="3" t="s">
        <v>951</v>
      </c>
      <c r="R133" s="3" t="s">
        <v>951</v>
      </c>
      <c r="S133" t="s">
        <v>947</v>
      </c>
      <c r="T133" s="130" t="s">
        <v>107</v>
      </c>
      <c r="U133" s="51">
        <v>8</v>
      </c>
      <c r="V133" s="58"/>
      <c r="W133" s="58"/>
      <c r="X133" s="59" t="s">
        <v>108</v>
      </c>
      <c r="Y133" s="93">
        <f>IF(AD133=0, 0, IF(OR(H133="", H133&lt;&gt;0), 1, 0))</f>
        <v>1</v>
      </c>
      <c r="Z133" s="3">
        <v>0</v>
      </c>
      <c r="AA133" s="3" t="s">
        <v>952</v>
      </c>
      <c r="AD133" s="6">
        <f>ROUND((AG133*(1+AJ133)),2)</f>
        <v>216.26</v>
      </c>
      <c r="AE133" s="69">
        <v>246.43918329000002</v>
      </c>
      <c r="AF133" s="17">
        <f>(AE133*1)</f>
        <v>246.43918329000002</v>
      </c>
      <c r="AG133" s="6">
        <f>ROUND((AE133*AI133),2)</f>
        <v>160.19</v>
      </c>
      <c r="AH133" s="30" t="s">
        <v>110</v>
      </c>
      <c r="AI133" s="3">
        <v>0.65</v>
      </c>
      <c r="AJ133" s="18">
        <v>0.35</v>
      </c>
      <c r="AK133" s="6">
        <f>ROUND((AD133-(AD133*BG133)),2)</f>
        <v>214.1</v>
      </c>
      <c r="AL133" s="6">
        <f>ROUND((AD133-(AD133*BH133)),2)</f>
        <v>211.93</v>
      </c>
      <c r="AM133" s="6">
        <f>ROUND((AD133-(AD133*BI133)),2)</f>
        <v>209.77</v>
      </c>
      <c r="AN133" s="6">
        <f>ROUND((AD133-(AD133*BJ133)),2)</f>
        <v>209.77</v>
      </c>
      <c r="AO133" s="6">
        <f>ROUND((AD133-(AD133*BK133)),2)</f>
        <v>216.26</v>
      </c>
      <c r="BG133" s="12">
        <v>0.01</v>
      </c>
      <c r="BH133" s="12">
        <v>0.02</v>
      </c>
      <c r="BI133" s="12">
        <v>0.03</v>
      </c>
      <c r="BJ133" s="12">
        <v>0.03</v>
      </c>
      <c r="CC133" s="3" t="str">
        <f>IF(B133&lt;&gt;"",CONCATENATE(SUBSTITUTE(B133," ","-"),".jpg"),"")</f>
        <v>Allied-Moulded-AM1226W.jpg</v>
      </c>
      <c r="CD133" s="16" t="s">
        <v>111</v>
      </c>
      <c r="CE133" s="3"/>
      <c r="CF133" s="3"/>
      <c r="CG133" s="3" t="s">
        <v>112</v>
      </c>
      <c r="CI133" s="3" t="s">
        <v>97</v>
      </c>
      <c r="CJ133" s="3" t="s">
        <v>844</v>
      </c>
      <c r="CK133" s="3" t="s">
        <v>114</v>
      </c>
      <c r="CL133" s="3" t="s">
        <v>115</v>
      </c>
      <c r="CM133" s="16"/>
      <c r="CN133" s="16" t="s">
        <v>349</v>
      </c>
      <c r="CO133" s="3" t="s">
        <v>118</v>
      </c>
      <c r="CP133" s="3" t="s">
        <v>139</v>
      </c>
      <c r="CQ133" s="3" t="s">
        <v>120</v>
      </c>
      <c r="CR133" s="3" t="s">
        <v>140</v>
      </c>
      <c r="CS133" s="3" t="s">
        <v>384</v>
      </c>
      <c r="CT133" s="16" t="s">
        <v>125</v>
      </c>
      <c r="CU133" s="16" t="s">
        <v>125</v>
      </c>
      <c r="CV133" s="16" t="s">
        <v>351</v>
      </c>
    </row>
    <row r="134" spans="1:100" ht="15" customHeight="1">
      <c r="A134" t="s">
        <v>953</v>
      </c>
      <c r="B134" s="3" t="s">
        <v>954</v>
      </c>
      <c r="C134" s="16" t="s">
        <v>97</v>
      </c>
      <c r="D134" s="43" t="s">
        <v>955</v>
      </c>
      <c r="E134" s="16" t="s">
        <v>97</v>
      </c>
      <c r="F134" s="131" t="s">
        <v>956</v>
      </c>
      <c r="I134" s="100" t="s">
        <v>342</v>
      </c>
      <c r="J134" s="16" t="s">
        <v>101</v>
      </c>
      <c r="K134" s="16"/>
      <c r="L134" s="3" t="s">
        <v>102</v>
      </c>
      <c r="M134" s="3" t="s">
        <v>103</v>
      </c>
      <c r="N134" s="3" t="s">
        <v>104</v>
      </c>
      <c r="O134" s="16" t="s">
        <v>105</v>
      </c>
      <c r="P134" s="3" t="s">
        <v>957</v>
      </c>
      <c r="Q134" s="3" t="s">
        <v>957</v>
      </c>
      <c r="R134" s="3" t="s">
        <v>957</v>
      </c>
      <c r="S134" t="s">
        <v>953</v>
      </c>
      <c r="T134" s="130" t="s">
        <v>107</v>
      </c>
      <c r="U134" s="51">
        <v>8</v>
      </c>
      <c r="V134" s="58"/>
      <c r="W134" s="58"/>
      <c r="X134" s="59" t="s">
        <v>108</v>
      </c>
      <c r="Y134" s="93">
        <f>IF(AD134=0, 0, IF(OR(H134="", H134&lt;&gt;0), 1, 0))</f>
        <v>1</v>
      </c>
      <c r="Z134" s="3">
        <v>0</v>
      </c>
      <c r="AA134" s="3" t="s">
        <v>958</v>
      </c>
      <c r="AD134" s="6">
        <f>ROUND((AG134*(1+AJ134)),2)</f>
        <v>217.51</v>
      </c>
      <c r="AE134" s="69">
        <v>247.87426581000003</v>
      </c>
      <c r="AF134" s="17">
        <f>(AE134*1)</f>
        <v>247.87426581000003</v>
      </c>
      <c r="AG134" s="6">
        <f>ROUND((AE134*AI134),2)</f>
        <v>161.12</v>
      </c>
      <c r="AH134" s="30" t="s">
        <v>110</v>
      </c>
      <c r="AI134" s="3">
        <v>0.65</v>
      </c>
      <c r="AJ134" s="18">
        <v>0.35</v>
      </c>
      <c r="AK134" s="6">
        <f>ROUND((AD134-(AD134*BG134)),2)</f>
        <v>215.33</v>
      </c>
      <c r="AL134" s="6">
        <f>ROUND((AD134-(AD134*BH134)),2)</f>
        <v>213.16</v>
      </c>
      <c r="AM134" s="6">
        <f>ROUND((AD134-(AD134*BI134)),2)</f>
        <v>210.98</v>
      </c>
      <c r="AN134" s="6">
        <f>ROUND((AD134-(AD134*BJ134)),2)</f>
        <v>210.98</v>
      </c>
      <c r="AO134" s="6">
        <f>ROUND((AD134-(AD134*BK134)),2)</f>
        <v>217.51</v>
      </c>
      <c r="BG134" s="12">
        <v>0.01</v>
      </c>
      <c r="BH134" s="12">
        <v>0.02</v>
      </c>
      <c r="BI134" s="12">
        <v>0.03</v>
      </c>
      <c r="BJ134" s="12">
        <v>0.03</v>
      </c>
      <c r="CC134" s="3" t="str">
        <f>IF(B134&lt;&gt;"",CONCATENATE(SUBSTITUTE(B134," ","-"),".jpg"),"")</f>
        <v>Allied-Moulded-AM1224HW.jpg</v>
      </c>
      <c r="CD134" s="16" t="s">
        <v>111</v>
      </c>
      <c r="CE134" s="3"/>
      <c r="CF134" s="3"/>
      <c r="CG134" s="3" t="s">
        <v>112</v>
      </c>
      <c r="CI134" s="3" t="s">
        <v>97</v>
      </c>
      <c r="CJ134" s="3" t="s">
        <v>844</v>
      </c>
      <c r="CK134" s="3" t="s">
        <v>114</v>
      </c>
      <c r="CL134" s="3" t="s">
        <v>115</v>
      </c>
      <c r="CO134" s="3" t="s">
        <v>118</v>
      </c>
      <c r="CP134" s="3" t="s">
        <v>139</v>
      </c>
      <c r="CQ134" s="3" t="s">
        <v>120</v>
      </c>
      <c r="CR134" s="3" t="s">
        <v>140</v>
      </c>
      <c r="CS134" s="3" t="s">
        <v>384</v>
      </c>
      <c r="CT134" s="16" t="s">
        <v>125</v>
      </c>
      <c r="CU134" s="16" t="s">
        <v>125</v>
      </c>
      <c r="CV134" s="16" t="s">
        <v>351</v>
      </c>
    </row>
    <row r="135" spans="1:100" ht="15" customHeight="1">
      <c r="A135" t="s">
        <v>959</v>
      </c>
      <c r="B135" s="3" t="s">
        <v>960</v>
      </c>
      <c r="C135" s="16" t="s">
        <v>97</v>
      </c>
      <c r="D135" s="44" t="s">
        <v>961</v>
      </c>
      <c r="E135" s="16" t="s">
        <v>97</v>
      </c>
      <c r="F135" s="131" t="s">
        <v>962</v>
      </c>
      <c r="I135" s="100" t="s">
        <v>342</v>
      </c>
      <c r="J135" s="16" t="s">
        <v>101</v>
      </c>
      <c r="K135" s="16"/>
      <c r="L135" s="3" t="s">
        <v>102</v>
      </c>
      <c r="M135" s="3" t="s">
        <v>103</v>
      </c>
      <c r="N135" s="3" t="s">
        <v>104</v>
      </c>
      <c r="O135" s="16" t="s">
        <v>105</v>
      </c>
      <c r="P135" s="8" t="s">
        <v>963</v>
      </c>
      <c r="Q135" s="8" t="s">
        <v>963</v>
      </c>
      <c r="R135" s="8" t="s">
        <v>963</v>
      </c>
      <c r="S135" t="s">
        <v>959</v>
      </c>
      <c r="T135" s="130" t="s">
        <v>107</v>
      </c>
      <c r="U135" s="50">
        <v>8</v>
      </c>
      <c r="V135" s="54"/>
      <c r="W135" s="54"/>
      <c r="X135" s="59" t="s">
        <v>108</v>
      </c>
      <c r="Y135" s="93">
        <f>IF(AD135=0, 0, IF(OR(H135="", H135&lt;&gt;0), 1, 0))</f>
        <v>1</v>
      </c>
      <c r="Z135" s="3">
        <v>0</v>
      </c>
      <c r="AA135" s="3" t="s">
        <v>964</v>
      </c>
      <c r="AD135" s="6">
        <f>ROUND((AG135*(1+AJ135)),2)</f>
        <v>231.92</v>
      </c>
      <c r="AE135" s="69">
        <v>264.28799766999998</v>
      </c>
      <c r="AF135" s="17">
        <f>(AE135*1)</f>
        <v>264.28799766999998</v>
      </c>
      <c r="AG135" s="6">
        <f>ROUND((AE135*AI135),2)</f>
        <v>171.79</v>
      </c>
      <c r="AH135" s="30" t="s">
        <v>110</v>
      </c>
      <c r="AI135" s="3">
        <v>0.65</v>
      </c>
      <c r="AJ135" s="18">
        <v>0.35</v>
      </c>
      <c r="AK135" s="6">
        <f>ROUND((AD135-(AD135*BG135)),2)</f>
        <v>229.6</v>
      </c>
      <c r="AL135" s="6">
        <f>ROUND((AD135-(AD135*BH135)),2)</f>
        <v>227.28</v>
      </c>
      <c r="AM135" s="6">
        <f>ROUND((AD135-(AD135*BI135)),2)</f>
        <v>224.96</v>
      </c>
      <c r="AN135" s="6">
        <f>ROUND((AD135-(AD135*BJ135)),2)</f>
        <v>224.96</v>
      </c>
      <c r="AO135" s="6">
        <f>ROUND((AD135-(AD135*BK135)),2)</f>
        <v>231.92</v>
      </c>
      <c r="BG135" s="12">
        <v>0.01</v>
      </c>
      <c r="BH135" s="12">
        <v>0.02</v>
      </c>
      <c r="BI135" s="12">
        <v>0.03</v>
      </c>
      <c r="BJ135" s="12">
        <v>0.03</v>
      </c>
      <c r="CC135" s="3" t="str">
        <f>IF(B135&lt;&gt;"",CONCATENATE(SUBSTITUTE(B135," ","-"),".jpg"),"")</f>
        <v>Allied-Moulded-AM1224LW.jpg</v>
      </c>
      <c r="CD135" s="16" t="s">
        <v>111</v>
      </c>
      <c r="CE135" s="3"/>
      <c r="CF135" s="3"/>
      <c r="CG135" s="3" t="s">
        <v>112</v>
      </c>
      <c r="CI135" s="3" t="s">
        <v>97</v>
      </c>
      <c r="CJ135" s="3" t="s">
        <v>844</v>
      </c>
      <c r="CK135" s="3" t="s">
        <v>114</v>
      </c>
      <c r="CL135" s="3" t="s">
        <v>115</v>
      </c>
      <c r="CM135" s="3" t="s">
        <v>116</v>
      </c>
      <c r="CN135" t="s">
        <v>117</v>
      </c>
      <c r="CO135" s="3" t="s">
        <v>118</v>
      </c>
      <c r="CP135" s="3" t="s">
        <v>139</v>
      </c>
      <c r="CQ135" s="3" t="s">
        <v>120</v>
      </c>
      <c r="CR135" s="3" t="s">
        <v>140</v>
      </c>
      <c r="CS135" s="3" t="s">
        <v>384</v>
      </c>
      <c r="CT135" s="16" t="s">
        <v>125</v>
      </c>
      <c r="CU135" s="16" t="s">
        <v>125</v>
      </c>
      <c r="CV135" s="3" t="s">
        <v>657</v>
      </c>
    </row>
    <row r="136" spans="1:100" ht="15" customHeight="1">
      <c r="A136" t="s">
        <v>965</v>
      </c>
      <c r="B136" s="3" t="s">
        <v>966</v>
      </c>
      <c r="C136" s="16" t="s">
        <v>97</v>
      </c>
      <c r="D136" s="43" t="s">
        <v>967</v>
      </c>
      <c r="E136" s="16" t="s">
        <v>97</v>
      </c>
      <c r="F136" s="131" t="s">
        <v>968</v>
      </c>
      <c r="I136" s="100" t="s">
        <v>342</v>
      </c>
      <c r="J136" s="16" t="s">
        <v>101</v>
      </c>
      <c r="K136" s="16"/>
      <c r="L136" s="3" t="s">
        <v>102</v>
      </c>
      <c r="M136" s="3" t="s">
        <v>103</v>
      </c>
      <c r="N136" s="3" t="s">
        <v>104</v>
      </c>
      <c r="O136" s="16" t="s">
        <v>105</v>
      </c>
      <c r="P136" s="8" t="s">
        <v>969</v>
      </c>
      <c r="Q136" s="8" t="s">
        <v>969</v>
      </c>
      <c r="R136" s="8" t="s">
        <v>969</v>
      </c>
      <c r="S136" t="s">
        <v>965</v>
      </c>
      <c r="T136" s="130" t="s">
        <v>107</v>
      </c>
      <c r="U136" s="51">
        <v>8</v>
      </c>
      <c r="V136" s="58"/>
      <c r="W136" s="58"/>
      <c r="X136" s="59" t="s">
        <v>108</v>
      </c>
      <c r="Y136" s="93">
        <f>IF(AD136=0, 0, IF(OR(H136="", H136&lt;&gt;0), 1, 0))</f>
        <v>1</v>
      </c>
      <c r="Z136" s="3">
        <v>0</v>
      </c>
      <c r="AA136" s="3" t="s">
        <v>970</v>
      </c>
      <c r="AD136" s="6">
        <f>ROUND((AG136*(1+AJ136)),2)</f>
        <v>231.92</v>
      </c>
      <c r="AE136" s="69">
        <v>264.28799766999998</v>
      </c>
      <c r="AF136" s="17">
        <f>(AE136*1)</f>
        <v>264.28799766999998</v>
      </c>
      <c r="AG136" s="6">
        <f>ROUND((AE136*AI136),2)</f>
        <v>171.79</v>
      </c>
      <c r="AH136" s="30" t="s">
        <v>110</v>
      </c>
      <c r="AI136" s="3">
        <v>0.65</v>
      </c>
      <c r="AJ136" s="18">
        <v>0.35</v>
      </c>
      <c r="AK136" s="6">
        <f>ROUND((AD136-(AD136*BG136)),2)</f>
        <v>229.6</v>
      </c>
      <c r="AL136" s="6">
        <f>ROUND((AD136-(AD136*BH136)),2)</f>
        <v>227.28</v>
      </c>
      <c r="AM136" s="6">
        <f>ROUND((AD136-(AD136*BI136)),2)</f>
        <v>224.96</v>
      </c>
      <c r="AN136" s="6">
        <f>ROUND((AD136-(AD136*BJ136)),2)</f>
        <v>224.96</v>
      </c>
      <c r="AO136" s="6">
        <f>ROUND((AD136-(AD136*BK136)),2)</f>
        <v>231.92</v>
      </c>
      <c r="BG136" s="12">
        <v>0.01</v>
      </c>
      <c r="BH136" s="12">
        <v>0.02</v>
      </c>
      <c r="BI136" s="12">
        <v>0.03</v>
      </c>
      <c r="BJ136" s="12">
        <v>0.03</v>
      </c>
      <c r="CC136" s="3" t="str">
        <f>IF(B136&lt;&gt;"",CONCATENATE(SUBSTITUTE(B136," ","-"),".jpg"),"")</f>
        <v>Allied-Moulded-AM1224TW.jpg</v>
      </c>
      <c r="CD136" s="16" t="s">
        <v>111</v>
      </c>
      <c r="CE136" s="3"/>
      <c r="CF136" s="3"/>
      <c r="CG136" s="3" t="s">
        <v>112</v>
      </c>
      <c r="CI136" s="3" t="s">
        <v>97</v>
      </c>
      <c r="CJ136" s="3" t="s">
        <v>844</v>
      </c>
      <c r="CK136" s="3" t="s">
        <v>114</v>
      </c>
      <c r="CL136" s="3" t="s">
        <v>115</v>
      </c>
      <c r="CM136" s="3" t="s">
        <v>116</v>
      </c>
      <c r="CN136" s="16" t="s">
        <v>132</v>
      </c>
      <c r="CO136" s="3" t="s">
        <v>118</v>
      </c>
      <c r="CP136" s="3" t="s">
        <v>139</v>
      </c>
      <c r="CQ136" s="3" t="s">
        <v>120</v>
      </c>
      <c r="CR136" s="3" t="s">
        <v>140</v>
      </c>
      <c r="CS136" s="3" t="s">
        <v>384</v>
      </c>
      <c r="CT136" s="16" t="s">
        <v>125</v>
      </c>
      <c r="CU136" s="3" t="s">
        <v>125</v>
      </c>
      <c r="CV136" s="3" t="s">
        <v>657</v>
      </c>
    </row>
    <row r="137" spans="1:100" ht="15" customHeight="1">
      <c r="A137" t="s">
        <v>971</v>
      </c>
      <c r="B137" s="3" t="s">
        <v>972</v>
      </c>
      <c r="C137" s="16" t="s">
        <v>97</v>
      </c>
      <c r="D137" s="41" t="s">
        <v>973</v>
      </c>
      <c r="E137" s="16" t="s">
        <v>97</v>
      </c>
      <c r="F137" s="131" t="s">
        <v>974</v>
      </c>
      <c r="I137" s="100" t="s">
        <v>342</v>
      </c>
      <c r="J137" s="16" t="s">
        <v>101</v>
      </c>
      <c r="K137" s="16"/>
      <c r="L137" s="3" t="s">
        <v>102</v>
      </c>
      <c r="M137" s="3" t="s">
        <v>103</v>
      </c>
      <c r="N137" s="3" t="s">
        <v>104</v>
      </c>
      <c r="O137" s="16" t="s">
        <v>105</v>
      </c>
      <c r="P137" s="3" t="s">
        <v>975</v>
      </c>
      <c r="Q137" s="3" t="s">
        <v>975</v>
      </c>
      <c r="R137" s="3" t="s">
        <v>975</v>
      </c>
      <c r="S137" t="s">
        <v>971</v>
      </c>
      <c r="T137" s="130" t="s">
        <v>107</v>
      </c>
      <c r="U137" s="52">
        <v>8</v>
      </c>
      <c r="V137" s="54"/>
      <c r="W137" s="54"/>
      <c r="X137" s="59" t="s">
        <v>108</v>
      </c>
      <c r="Y137" s="93">
        <f>IF(AD137=0, 0, IF(OR(H137="", H137&lt;&gt;0), 1, 0))</f>
        <v>1</v>
      </c>
      <c r="Z137" s="3">
        <v>0</v>
      </c>
      <c r="AA137" s="3" t="s">
        <v>976</v>
      </c>
      <c r="AD137" s="6">
        <f>ROUND((AG137*(1+AJ137)),2)</f>
        <v>124.52</v>
      </c>
      <c r="AE137" s="68">
        <v>141.90075263</v>
      </c>
      <c r="AF137" s="17">
        <f>(AE137*1)</f>
        <v>141.90075263</v>
      </c>
      <c r="AG137" s="6">
        <f>ROUND((AE137*AI137),2)</f>
        <v>92.24</v>
      </c>
      <c r="AH137" s="30" t="s">
        <v>110</v>
      </c>
      <c r="AI137" s="3">
        <v>0.65</v>
      </c>
      <c r="AJ137" s="18">
        <v>0.35</v>
      </c>
      <c r="AK137" s="6">
        <f>ROUND((AD137-(AD137*BG137)),2)</f>
        <v>123.27</v>
      </c>
      <c r="AL137" s="6">
        <f>ROUND((AD137-(AD137*BH137)),2)</f>
        <v>122.03</v>
      </c>
      <c r="AM137" s="6">
        <f>ROUND((AD137-(AD137*BI137)),2)</f>
        <v>120.78</v>
      </c>
      <c r="AN137" s="6">
        <f>ROUND((AD137-(AD137*BJ137)),2)</f>
        <v>120.78</v>
      </c>
      <c r="AO137" s="6">
        <f>ROUND((AD137-(AD137*BK137)),2)</f>
        <v>124.52</v>
      </c>
      <c r="BG137" s="12">
        <v>0.01</v>
      </c>
      <c r="BH137" s="12">
        <v>0.02</v>
      </c>
      <c r="BI137" s="12">
        <v>0.03</v>
      </c>
      <c r="BJ137" s="12">
        <v>0.03</v>
      </c>
      <c r="CC137" s="3" t="str">
        <f>IF(B137&lt;&gt;"",CONCATENATE(SUBSTITUTE(B137," ","-"),".jpg"),"")</f>
        <v>Allied-Moulded-AM1224R.jpg</v>
      </c>
      <c r="CD137" s="16" t="s">
        <v>111</v>
      </c>
      <c r="CE137" s="3"/>
      <c r="CF137" s="3"/>
      <c r="CG137" s="3" t="s">
        <v>112</v>
      </c>
      <c r="CI137" s="3" t="s">
        <v>97</v>
      </c>
      <c r="CJ137" s="3" t="s">
        <v>383</v>
      </c>
      <c r="CK137" s="3" t="s">
        <v>114</v>
      </c>
      <c r="CL137" s="3" t="s">
        <v>115</v>
      </c>
      <c r="CM137" s="16"/>
      <c r="CN137" s="16" t="s">
        <v>349</v>
      </c>
      <c r="CO137" s="3" t="s">
        <v>118</v>
      </c>
      <c r="CP137" s="3" t="s">
        <v>139</v>
      </c>
      <c r="CQ137" s="3" t="s">
        <v>120</v>
      </c>
      <c r="CR137" s="3" t="s">
        <v>140</v>
      </c>
      <c r="CS137" s="3" t="s">
        <v>384</v>
      </c>
      <c r="CT137" s="16" t="s">
        <v>125</v>
      </c>
      <c r="CU137" s="16" t="s">
        <v>125</v>
      </c>
    </row>
    <row r="138" spans="1:100" ht="15" customHeight="1">
      <c r="A138" t="s">
        <v>977</v>
      </c>
      <c r="B138" s="3" t="s">
        <v>978</v>
      </c>
      <c r="C138" s="16" t="s">
        <v>97</v>
      </c>
      <c r="D138" s="39" t="s">
        <v>979</v>
      </c>
      <c r="E138" s="16" t="s">
        <v>97</v>
      </c>
      <c r="F138" s="131" t="s">
        <v>980</v>
      </c>
      <c r="I138" s="100" t="s">
        <v>342</v>
      </c>
      <c r="J138" s="16" t="s">
        <v>101</v>
      </c>
      <c r="K138" s="16"/>
      <c r="L138" s="3" t="s">
        <v>102</v>
      </c>
      <c r="M138" s="3" t="s">
        <v>103</v>
      </c>
      <c r="N138" s="3" t="s">
        <v>104</v>
      </c>
      <c r="O138" s="16" t="s">
        <v>105</v>
      </c>
      <c r="P138" s="3" t="s">
        <v>981</v>
      </c>
      <c r="Q138" s="3" t="s">
        <v>981</v>
      </c>
      <c r="R138" s="3" t="s">
        <v>981</v>
      </c>
      <c r="S138" t="s">
        <v>977</v>
      </c>
      <c r="T138" s="130" t="s">
        <v>107</v>
      </c>
      <c r="U138" s="50">
        <v>8</v>
      </c>
      <c r="V138" s="54"/>
      <c r="W138" s="54"/>
      <c r="X138" s="59" t="s">
        <v>108</v>
      </c>
      <c r="Y138" s="93">
        <f>IF(AD138=0, 0, IF(OR(H138="", H138&lt;&gt;0), 1, 0))</f>
        <v>1</v>
      </c>
      <c r="Z138" s="3">
        <v>0</v>
      </c>
      <c r="AA138" s="3" t="s">
        <v>982</v>
      </c>
      <c r="AD138" s="6">
        <f>ROUND((AG138*(1+AJ138)),2)</f>
        <v>134.69999999999999</v>
      </c>
      <c r="AE138" s="69">
        <v>153.51465050000002</v>
      </c>
      <c r="AF138" s="17">
        <f>(AE138*1)</f>
        <v>153.51465050000002</v>
      </c>
      <c r="AG138" s="6">
        <f>ROUND((AE138*AI138),2)</f>
        <v>99.78</v>
      </c>
      <c r="AH138" s="30" t="s">
        <v>110</v>
      </c>
      <c r="AI138" s="3">
        <v>0.65</v>
      </c>
      <c r="AJ138" s="18">
        <v>0.35</v>
      </c>
      <c r="AK138" s="6">
        <f>ROUND((AD138-(AD138*BG138)),2)</f>
        <v>133.35</v>
      </c>
      <c r="AL138" s="6">
        <f>ROUND((AD138-(AD138*BH138)),2)</f>
        <v>132.01</v>
      </c>
      <c r="AM138" s="6">
        <f>ROUND((AD138-(AD138*BI138)),2)</f>
        <v>130.66</v>
      </c>
      <c r="AN138" s="6">
        <f>ROUND((AD138-(AD138*BJ138)),2)</f>
        <v>130.66</v>
      </c>
      <c r="AO138" s="6">
        <f>ROUND((AD138-(AD138*BK138)),2)</f>
        <v>134.69999999999999</v>
      </c>
      <c r="BG138" s="12">
        <v>0.01</v>
      </c>
      <c r="BH138" s="12">
        <v>0.02</v>
      </c>
      <c r="BI138" s="12">
        <v>0.03</v>
      </c>
      <c r="BJ138" s="12">
        <v>0.03</v>
      </c>
      <c r="CC138" s="3" t="str">
        <f>IF(B138&lt;&gt;"",CONCATENATE(SUBSTITUTE(B138," ","-"),".jpg"),"")</f>
        <v>Allied-Moulded-AM1224RH.jpg</v>
      </c>
      <c r="CD138" s="16" t="s">
        <v>111</v>
      </c>
      <c r="CE138" s="3"/>
      <c r="CF138" s="3"/>
      <c r="CG138" s="3" t="s">
        <v>112</v>
      </c>
      <c r="CI138" s="3" t="s">
        <v>97</v>
      </c>
      <c r="CJ138" s="3" t="s">
        <v>383</v>
      </c>
      <c r="CK138" s="3" t="s">
        <v>114</v>
      </c>
      <c r="CL138" s="3" t="s">
        <v>115</v>
      </c>
      <c r="CO138" s="3" t="s">
        <v>118</v>
      </c>
      <c r="CP138" s="3" t="s">
        <v>139</v>
      </c>
      <c r="CQ138" s="3" t="s">
        <v>120</v>
      </c>
      <c r="CR138" s="3" t="s">
        <v>140</v>
      </c>
      <c r="CS138" s="3" t="s">
        <v>384</v>
      </c>
      <c r="CT138" s="16" t="s">
        <v>125</v>
      </c>
      <c r="CU138" s="16" t="s">
        <v>125</v>
      </c>
    </row>
    <row r="139" spans="1:100" ht="15" customHeight="1">
      <c r="A139" t="s">
        <v>983</v>
      </c>
      <c r="B139" s="3" t="s">
        <v>984</v>
      </c>
      <c r="C139" s="16" t="s">
        <v>97</v>
      </c>
      <c r="D139" s="40" t="s">
        <v>985</v>
      </c>
      <c r="E139" s="16" t="s">
        <v>97</v>
      </c>
      <c r="F139" s="131" t="s">
        <v>986</v>
      </c>
      <c r="I139" s="100" t="s">
        <v>342</v>
      </c>
      <c r="J139" s="16" t="s">
        <v>101</v>
      </c>
      <c r="K139" s="16"/>
      <c r="L139" s="3" t="s">
        <v>102</v>
      </c>
      <c r="M139" s="3" t="s">
        <v>103</v>
      </c>
      <c r="N139" s="3" t="s">
        <v>104</v>
      </c>
      <c r="O139" s="16" t="s">
        <v>105</v>
      </c>
      <c r="P139" s="3" t="s">
        <v>987</v>
      </c>
      <c r="Q139" s="3" t="s">
        <v>987</v>
      </c>
      <c r="R139" s="3" t="s">
        <v>987</v>
      </c>
      <c r="S139" t="s">
        <v>983</v>
      </c>
      <c r="T139" s="130" t="s">
        <v>107</v>
      </c>
      <c r="U139" s="51">
        <v>8</v>
      </c>
      <c r="V139" s="58"/>
      <c r="W139" s="58"/>
      <c r="X139" s="59" t="s">
        <v>108</v>
      </c>
      <c r="Y139" s="93">
        <f>IF(AD139=0, 0, IF(OR(H139="", H139&lt;&gt;0), 1, 0))</f>
        <v>1</v>
      </c>
      <c r="Z139" s="3">
        <v>0</v>
      </c>
      <c r="AA139" s="3" t="s">
        <v>988</v>
      </c>
      <c r="AD139" s="6">
        <f>ROUND((AG139*(1+AJ139)),2)</f>
        <v>151.69999999999999</v>
      </c>
      <c r="AE139" s="69">
        <v>172.87115210000002</v>
      </c>
      <c r="AF139" s="17">
        <f>(AE139*1)</f>
        <v>172.87115210000002</v>
      </c>
      <c r="AG139" s="6">
        <f>ROUND((AE139*AI139),2)</f>
        <v>112.37</v>
      </c>
      <c r="AH139" s="30" t="s">
        <v>110</v>
      </c>
      <c r="AI139" s="3">
        <v>0.65</v>
      </c>
      <c r="AJ139" s="18">
        <v>0.35</v>
      </c>
      <c r="AK139" s="6">
        <f>ROUND((AD139-(AD139*BG139)),2)</f>
        <v>150.18</v>
      </c>
      <c r="AL139" s="6">
        <f>ROUND((AD139-(AD139*BH139)),2)</f>
        <v>148.66999999999999</v>
      </c>
      <c r="AM139" s="6">
        <f>ROUND((AD139-(AD139*BI139)),2)</f>
        <v>147.15</v>
      </c>
      <c r="AN139" s="6">
        <f>ROUND((AD139-(AD139*BJ139)),2)</f>
        <v>147.15</v>
      </c>
      <c r="AO139" s="6">
        <f>ROUND((AD139-(AD139*BK139)),2)</f>
        <v>151.69999999999999</v>
      </c>
      <c r="BG139" s="12">
        <v>0.01</v>
      </c>
      <c r="BH139" s="12">
        <v>0.02</v>
      </c>
      <c r="BI139" s="12">
        <v>0.03</v>
      </c>
      <c r="BJ139" s="12">
        <v>0.03</v>
      </c>
      <c r="CC139" s="3" t="str">
        <f>IF(B139&lt;&gt;"",CONCATENATE(SUBSTITUTE(B139," ","-"),".jpg"),"")</f>
        <v>Allied-Moulded-AM1224RL.jpg</v>
      </c>
      <c r="CD139" s="16" t="s">
        <v>111</v>
      </c>
      <c r="CE139" s="3"/>
      <c r="CF139" s="3"/>
      <c r="CG139" s="3" t="s">
        <v>112</v>
      </c>
      <c r="CI139" s="3" t="s">
        <v>97</v>
      </c>
      <c r="CJ139" s="3" t="s">
        <v>383</v>
      </c>
      <c r="CK139" s="3" t="s">
        <v>114</v>
      </c>
      <c r="CL139" s="3" t="s">
        <v>115</v>
      </c>
      <c r="CM139" s="3" t="s">
        <v>116</v>
      </c>
      <c r="CN139" t="s">
        <v>117</v>
      </c>
      <c r="CO139" s="3" t="s">
        <v>118</v>
      </c>
      <c r="CP139" s="3" t="s">
        <v>139</v>
      </c>
      <c r="CQ139" s="3" t="s">
        <v>120</v>
      </c>
      <c r="CR139" s="3" t="s">
        <v>140</v>
      </c>
      <c r="CS139" s="16" t="s">
        <v>122</v>
      </c>
      <c r="CT139" s="16" t="s">
        <v>125</v>
      </c>
      <c r="CU139" s="16" t="s">
        <v>125</v>
      </c>
      <c r="CV139" s="16" t="s">
        <v>351</v>
      </c>
    </row>
    <row r="140" spans="1:100" ht="15" customHeight="1">
      <c r="A140" t="s">
        <v>989</v>
      </c>
      <c r="B140" s="3" t="s">
        <v>990</v>
      </c>
      <c r="C140" s="16" t="s">
        <v>97</v>
      </c>
      <c r="D140" s="40" t="s">
        <v>991</v>
      </c>
      <c r="E140" s="16" t="s">
        <v>97</v>
      </c>
      <c r="F140" s="131" t="s">
        <v>992</v>
      </c>
      <c r="I140" s="100" t="s">
        <v>342</v>
      </c>
      <c r="J140" s="16" t="s">
        <v>101</v>
      </c>
      <c r="K140" s="16"/>
      <c r="L140" s="3" t="s">
        <v>102</v>
      </c>
      <c r="M140" s="3" t="s">
        <v>103</v>
      </c>
      <c r="N140" s="3" t="s">
        <v>104</v>
      </c>
      <c r="O140" s="16" t="s">
        <v>105</v>
      </c>
      <c r="P140" s="3" t="s">
        <v>993</v>
      </c>
      <c r="Q140" s="3" t="s">
        <v>993</v>
      </c>
      <c r="R140" s="3" t="s">
        <v>993</v>
      </c>
      <c r="S140" t="s">
        <v>989</v>
      </c>
      <c r="T140" s="130" t="s">
        <v>107</v>
      </c>
      <c r="U140" s="51">
        <v>8</v>
      </c>
      <c r="V140" s="58"/>
      <c r="W140" s="58"/>
      <c r="X140" s="59" t="s">
        <v>108</v>
      </c>
      <c r="Y140" s="93">
        <f>IF(AD140=0, 0, IF(OR(H140="", H140&lt;&gt;0), 1, 0))</f>
        <v>1</v>
      </c>
      <c r="Z140" s="3">
        <v>0</v>
      </c>
      <c r="AA140" s="3" t="s">
        <v>994</v>
      </c>
      <c r="AD140" s="6">
        <f>ROUND((AG140*(1+AJ140)),2)</f>
        <v>151.69999999999999</v>
      </c>
      <c r="AE140" s="69">
        <v>172.87115210000002</v>
      </c>
      <c r="AF140" s="17">
        <f>(AE140*1)</f>
        <v>172.87115210000002</v>
      </c>
      <c r="AG140" s="6">
        <f>ROUND((AE140*AI140),2)</f>
        <v>112.37</v>
      </c>
      <c r="AH140" s="30" t="s">
        <v>110</v>
      </c>
      <c r="AI140" s="3">
        <v>0.65</v>
      </c>
      <c r="AJ140" s="18">
        <v>0.35</v>
      </c>
      <c r="AK140" s="6">
        <f>ROUND((AD140-(AD140*BG140)),2)</f>
        <v>150.18</v>
      </c>
      <c r="AL140" s="6">
        <f>ROUND((AD140-(AD140*BH140)),2)</f>
        <v>148.66999999999999</v>
      </c>
      <c r="AM140" s="6">
        <f>ROUND((AD140-(AD140*BI140)),2)</f>
        <v>147.15</v>
      </c>
      <c r="AN140" s="6">
        <f>ROUND((AD140-(AD140*BJ140)),2)</f>
        <v>147.15</v>
      </c>
      <c r="AO140" s="6">
        <f>ROUND((AD140-(AD140*BK140)),2)</f>
        <v>151.69999999999999</v>
      </c>
      <c r="BG140" s="12">
        <v>0.01</v>
      </c>
      <c r="BH140" s="12">
        <v>0.02</v>
      </c>
      <c r="BI140" s="12">
        <v>0.03</v>
      </c>
      <c r="BJ140" s="12">
        <v>0.03</v>
      </c>
      <c r="CC140" s="3" t="str">
        <f>IF(B140&lt;&gt;"",CONCATENATE(SUBSTITUTE(B140," ","-"),".jpg"),"")</f>
        <v>Allied-Moulded-AM1224RT.jpg</v>
      </c>
      <c r="CD140" s="16" t="s">
        <v>111</v>
      </c>
      <c r="CE140" s="3"/>
      <c r="CF140" s="3"/>
      <c r="CG140" s="3" t="s">
        <v>112</v>
      </c>
      <c r="CI140" s="3" t="s">
        <v>97</v>
      </c>
      <c r="CJ140" s="3" t="s">
        <v>383</v>
      </c>
      <c r="CK140" s="3" t="s">
        <v>114</v>
      </c>
      <c r="CL140" s="3" t="s">
        <v>115</v>
      </c>
      <c r="CM140" s="3" t="s">
        <v>116</v>
      </c>
      <c r="CN140" s="16" t="s">
        <v>132</v>
      </c>
      <c r="CO140" s="3" t="s">
        <v>118</v>
      </c>
      <c r="CP140" s="3" t="s">
        <v>139</v>
      </c>
      <c r="CQ140" s="3" t="s">
        <v>120</v>
      </c>
      <c r="CR140" s="3" t="s">
        <v>140</v>
      </c>
      <c r="CS140" s="16" t="s">
        <v>122</v>
      </c>
      <c r="CT140" s="16" t="s">
        <v>125</v>
      </c>
      <c r="CU140" s="16" t="s">
        <v>125</v>
      </c>
      <c r="CV140" s="16" t="s">
        <v>351</v>
      </c>
    </row>
    <row r="141" spans="1:100" ht="15" customHeight="1">
      <c r="A141" t="s">
        <v>995</v>
      </c>
      <c r="B141" s="3" t="s">
        <v>996</v>
      </c>
      <c r="C141" s="16" t="s">
        <v>97</v>
      </c>
      <c r="D141" s="39" t="s">
        <v>997</v>
      </c>
      <c r="E141" s="16" t="s">
        <v>97</v>
      </c>
      <c r="F141" s="131" t="s">
        <v>998</v>
      </c>
      <c r="I141" s="100" t="s">
        <v>342</v>
      </c>
      <c r="J141" s="16" t="s">
        <v>101</v>
      </c>
      <c r="K141" s="16"/>
      <c r="L141" s="3" t="s">
        <v>102</v>
      </c>
      <c r="M141" s="3" t="s">
        <v>103</v>
      </c>
      <c r="N141" s="3" t="s">
        <v>104</v>
      </c>
      <c r="O141" s="16" t="s">
        <v>105</v>
      </c>
      <c r="P141" s="3" t="s">
        <v>999</v>
      </c>
      <c r="Q141" s="3" t="s">
        <v>999</v>
      </c>
      <c r="R141" s="3" t="s">
        <v>999</v>
      </c>
      <c r="S141" t="s">
        <v>995</v>
      </c>
      <c r="T141" s="130" t="s">
        <v>107</v>
      </c>
      <c r="U141" s="50">
        <v>8</v>
      </c>
      <c r="V141" s="54"/>
      <c r="W141" s="54"/>
      <c r="X141" s="59" t="s">
        <v>108</v>
      </c>
      <c r="Y141" s="93">
        <f>IF(AD141=0, 0, IF(OR(H141="", H141&lt;&gt;0), 1, 0))</f>
        <v>1</v>
      </c>
      <c r="Z141" s="3">
        <v>0</v>
      </c>
      <c r="AA141" s="3" t="s">
        <v>1000</v>
      </c>
      <c r="AD141" s="6">
        <f>ROUND((AG141*(1+AJ141)),2)</f>
        <v>215.8</v>
      </c>
      <c r="AE141" s="69">
        <v>245.91896737000002</v>
      </c>
      <c r="AF141" s="17">
        <f>(AE141*1)</f>
        <v>245.91896737000002</v>
      </c>
      <c r="AG141" s="6">
        <f>ROUND((AE141*AI141),2)</f>
        <v>159.85</v>
      </c>
      <c r="AH141" s="30" t="s">
        <v>110</v>
      </c>
      <c r="AI141" s="3">
        <v>0.65</v>
      </c>
      <c r="AJ141" s="18">
        <v>0.35</v>
      </c>
      <c r="AK141" s="6">
        <f>ROUND((AD141-(AD141*BG141)),2)</f>
        <v>213.64</v>
      </c>
      <c r="AL141" s="6">
        <f>ROUND((AD141-(AD141*BH141)),2)</f>
        <v>211.48</v>
      </c>
      <c r="AM141" s="6">
        <f>ROUND((AD141-(AD141*BI141)),2)</f>
        <v>209.33</v>
      </c>
      <c r="AN141" s="6">
        <f>ROUND((AD141-(AD141*BJ141)),2)</f>
        <v>209.33</v>
      </c>
      <c r="AO141" s="6">
        <f>ROUND((AD141-(AD141*BK141)),2)</f>
        <v>215.8</v>
      </c>
      <c r="BG141" s="12">
        <v>0.01</v>
      </c>
      <c r="BH141" s="12">
        <v>0.02</v>
      </c>
      <c r="BI141" s="12">
        <v>0.03</v>
      </c>
      <c r="BJ141" s="12">
        <v>0.03</v>
      </c>
      <c r="CC141" s="3" t="str">
        <f>IF(B141&lt;&gt;"",CONCATENATE(SUBSTITUTE(B141," ","-"),".jpg"),"")</f>
        <v>Allied-Moulded-AM1224RW.jpg</v>
      </c>
      <c r="CD141" s="16" t="s">
        <v>111</v>
      </c>
      <c r="CE141" s="3"/>
      <c r="CF141" s="3"/>
      <c r="CG141" s="3" t="s">
        <v>112</v>
      </c>
      <c r="CI141" s="3" t="s">
        <v>97</v>
      </c>
      <c r="CJ141" s="3" t="s">
        <v>383</v>
      </c>
      <c r="CK141" s="3" t="s">
        <v>114</v>
      </c>
      <c r="CL141" s="3" t="s">
        <v>115</v>
      </c>
      <c r="CM141" s="16"/>
      <c r="CN141" s="16" t="s">
        <v>349</v>
      </c>
      <c r="CO141" s="3" t="s">
        <v>118</v>
      </c>
      <c r="CP141" s="3" t="s">
        <v>139</v>
      </c>
      <c r="CQ141" s="3" t="s">
        <v>120</v>
      </c>
      <c r="CR141" s="16" t="s">
        <v>121</v>
      </c>
      <c r="CS141" s="3" t="s">
        <v>384</v>
      </c>
      <c r="CT141" s="16" t="s">
        <v>125</v>
      </c>
      <c r="CU141" s="16" t="s">
        <v>125</v>
      </c>
      <c r="CV141" s="16" t="s">
        <v>351</v>
      </c>
    </row>
    <row r="142" spans="1:100" ht="15" customHeight="1">
      <c r="A142" t="s">
        <v>1001</v>
      </c>
      <c r="B142" s="3" t="s">
        <v>1002</v>
      </c>
      <c r="C142" s="16" t="s">
        <v>97</v>
      </c>
      <c r="D142" s="40" t="s">
        <v>1003</v>
      </c>
      <c r="E142" s="16" t="s">
        <v>97</v>
      </c>
      <c r="F142" s="131" t="s">
        <v>1004</v>
      </c>
      <c r="I142" s="100" t="s">
        <v>342</v>
      </c>
      <c r="J142" s="16" t="s">
        <v>101</v>
      </c>
      <c r="K142" s="16"/>
      <c r="L142" s="3" t="s">
        <v>102</v>
      </c>
      <c r="M142" s="3" t="s">
        <v>103</v>
      </c>
      <c r="N142" s="3" t="s">
        <v>104</v>
      </c>
      <c r="O142" s="16" t="s">
        <v>105</v>
      </c>
      <c r="P142" s="3" t="s">
        <v>1005</v>
      </c>
      <c r="Q142" s="3" t="s">
        <v>1005</v>
      </c>
      <c r="R142" s="3" t="s">
        <v>1005</v>
      </c>
      <c r="S142" t="s">
        <v>1001</v>
      </c>
      <c r="T142" s="130" t="s">
        <v>107</v>
      </c>
      <c r="U142" s="35">
        <v>8</v>
      </c>
      <c r="V142" s="40"/>
      <c r="W142" s="40"/>
      <c r="X142" s="59" t="s">
        <v>108</v>
      </c>
      <c r="Y142" s="93">
        <f>IF(AD142=0, 0, IF(OR(H142="", H142&lt;&gt;0), 1, 0))</f>
        <v>1</v>
      </c>
      <c r="Z142" s="3">
        <v>0</v>
      </c>
      <c r="AA142" s="3" t="s">
        <v>1006</v>
      </c>
      <c r="AD142" s="6">
        <f>ROUND((AG142*(1+AJ142)),2)</f>
        <v>220.97</v>
      </c>
      <c r="AE142" s="69">
        <v>251.82073552999998</v>
      </c>
      <c r="AF142" s="17">
        <f>(AE142*1)</f>
        <v>251.82073552999998</v>
      </c>
      <c r="AG142" s="6">
        <f>ROUND((AE142*AI142),2)</f>
        <v>163.68</v>
      </c>
      <c r="AH142" s="30" t="s">
        <v>110</v>
      </c>
      <c r="AI142" s="3">
        <v>0.65</v>
      </c>
      <c r="AJ142" s="18">
        <v>0.35</v>
      </c>
      <c r="AK142" s="6">
        <f>ROUND((AD142-(AD142*BG142)),2)</f>
        <v>218.76</v>
      </c>
      <c r="AL142" s="6">
        <f>ROUND((AD142-(AD142*BH142)),2)</f>
        <v>216.55</v>
      </c>
      <c r="AM142" s="6">
        <f>ROUND((AD142-(AD142*BI142)),2)</f>
        <v>214.34</v>
      </c>
      <c r="AN142" s="6">
        <f>ROUND((AD142-(AD142*BJ142)),2)</f>
        <v>214.34</v>
      </c>
      <c r="AO142" s="6">
        <f>ROUND((AD142-(AD142*BK142)),2)</f>
        <v>220.97</v>
      </c>
      <c r="BG142" s="12">
        <v>0.01</v>
      </c>
      <c r="BH142" s="12">
        <v>0.02</v>
      </c>
      <c r="BI142" s="12">
        <v>0.03</v>
      </c>
      <c r="BJ142" s="12">
        <v>0.03</v>
      </c>
      <c r="CC142" s="3" t="str">
        <f>IF(B142&lt;&gt;"",CONCATENATE(SUBSTITUTE(B142," ","-"),".jpg"),"")</f>
        <v>Allied-Moulded-AM1224RHW.jpg</v>
      </c>
      <c r="CD142" s="16" t="s">
        <v>111</v>
      </c>
      <c r="CE142" s="3"/>
      <c r="CF142" s="3"/>
      <c r="CG142" s="3" t="s">
        <v>112</v>
      </c>
      <c r="CI142" s="3" t="s">
        <v>97</v>
      </c>
      <c r="CJ142" s="3" t="s">
        <v>383</v>
      </c>
      <c r="CK142" s="3" t="s">
        <v>114</v>
      </c>
      <c r="CL142" s="3" t="s">
        <v>115</v>
      </c>
      <c r="CO142" s="3" t="s">
        <v>118</v>
      </c>
      <c r="CP142" s="3" t="s">
        <v>139</v>
      </c>
      <c r="CQ142" s="3" t="s">
        <v>120</v>
      </c>
      <c r="CR142" s="16" t="s">
        <v>121</v>
      </c>
      <c r="CS142" s="3" t="s">
        <v>384</v>
      </c>
      <c r="CT142" s="16" t="s">
        <v>125</v>
      </c>
      <c r="CU142" s="16" t="s">
        <v>125</v>
      </c>
      <c r="CV142" s="16" t="s">
        <v>351</v>
      </c>
    </row>
    <row r="143" spans="1:100" ht="15" customHeight="1">
      <c r="A143" t="s">
        <v>1007</v>
      </c>
      <c r="B143" s="3" t="s">
        <v>1008</v>
      </c>
      <c r="C143" s="16" t="s">
        <v>97</v>
      </c>
      <c r="D143" s="40" t="s">
        <v>1009</v>
      </c>
      <c r="E143" s="16" t="s">
        <v>97</v>
      </c>
      <c r="F143" s="131" t="s">
        <v>1010</v>
      </c>
      <c r="I143" s="100" t="s">
        <v>342</v>
      </c>
      <c r="J143" s="16" t="s">
        <v>101</v>
      </c>
      <c r="K143" s="16"/>
      <c r="L143" s="3" t="s">
        <v>102</v>
      </c>
      <c r="M143" s="3" t="s">
        <v>103</v>
      </c>
      <c r="N143" s="3" t="s">
        <v>104</v>
      </c>
      <c r="O143" s="16" t="s">
        <v>105</v>
      </c>
      <c r="P143" s="3" t="s">
        <v>1011</v>
      </c>
      <c r="Q143" s="3" t="s">
        <v>1011</v>
      </c>
      <c r="R143" s="3" t="s">
        <v>1011</v>
      </c>
      <c r="S143" t="s">
        <v>1007</v>
      </c>
      <c r="T143" s="130" t="s">
        <v>107</v>
      </c>
      <c r="U143" s="35">
        <v>8</v>
      </c>
      <c r="V143" s="40"/>
      <c r="W143" s="40"/>
      <c r="X143" s="59" t="s">
        <v>108</v>
      </c>
      <c r="Y143" s="93">
        <f>IF(AD143=0, 0, IF(OR(H143="", H143&lt;&gt;0), 1, 0))</f>
        <v>1</v>
      </c>
      <c r="Z143" s="3">
        <v>0</v>
      </c>
      <c r="AA143" s="3" t="s">
        <v>1012</v>
      </c>
      <c r="AD143" s="6">
        <f>ROUND((AG143*(1+AJ143)),2)</f>
        <v>240</v>
      </c>
      <c r="AE143" s="69">
        <v>273.50838772000003</v>
      </c>
      <c r="AF143" s="17">
        <f>(AE143*1)</f>
        <v>273.50838772000003</v>
      </c>
      <c r="AG143" s="6">
        <f>ROUND((AE143*AI143),2)</f>
        <v>177.78</v>
      </c>
      <c r="AH143" s="30" t="s">
        <v>110</v>
      </c>
      <c r="AI143" s="3">
        <v>0.65</v>
      </c>
      <c r="AJ143" s="18">
        <v>0.35</v>
      </c>
      <c r="AK143" s="6">
        <f>ROUND((AD143-(AD143*BG143)),2)</f>
        <v>237.6</v>
      </c>
      <c r="AL143" s="6">
        <f>ROUND((AD143-(AD143*BH143)),2)</f>
        <v>235.2</v>
      </c>
      <c r="AM143" s="6">
        <f>ROUND((AD143-(AD143*BI143)),2)</f>
        <v>232.8</v>
      </c>
      <c r="AN143" s="6">
        <f>ROUND((AD143-(AD143*BJ143)),2)</f>
        <v>232.8</v>
      </c>
      <c r="AO143" s="6">
        <f>ROUND((AD143-(AD143*BK143)),2)</f>
        <v>240</v>
      </c>
      <c r="BG143" s="12">
        <v>0.01</v>
      </c>
      <c r="BH143" s="12">
        <v>0.02</v>
      </c>
      <c r="BI143" s="12">
        <v>0.03</v>
      </c>
      <c r="BJ143" s="12">
        <v>0.03</v>
      </c>
      <c r="CC143" s="3" t="str">
        <f>IF(B143&lt;&gt;"",CONCATENATE(SUBSTITUTE(B143," ","-"),".jpg"),"")</f>
        <v>Allied-Moulded-AM1224RLW.jpg</v>
      </c>
      <c r="CD143" s="16" t="s">
        <v>111</v>
      </c>
      <c r="CE143" s="3"/>
      <c r="CF143" s="3"/>
      <c r="CG143" s="3" t="s">
        <v>112</v>
      </c>
      <c r="CI143" s="3" t="s">
        <v>97</v>
      </c>
      <c r="CJ143" s="3" t="s">
        <v>383</v>
      </c>
      <c r="CK143" s="3" t="s">
        <v>114</v>
      </c>
      <c r="CL143" s="3" t="s">
        <v>115</v>
      </c>
      <c r="CM143" s="3" t="s">
        <v>116</v>
      </c>
      <c r="CN143" t="s">
        <v>117</v>
      </c>
      <c r="CO143" s="3" t="s">
        <v>118</v>
      </c>
      <c r="CP143" s="3" t="s">
        <v>139</v>
      </c>
      <c r="CQ143" s="3" t="s">
        <v>120</v>
      </c>
      <c r="CR143" s="16" t="s">
        <v>121</v>
      </c>
      <c r="CS143" s="16" t="s">
        <v>122</v>
      </c>
      <c r="CT143" s="16" t="s">
        <v>125</v>
      </c>
      <c r="CU143" s="16" t="s">
        <v>125</v>
      </c>
      <c r="CV143" s="16" t="s">
        <v>351</v>
      </c>
    </row>
    <row r="144" spans="1:100" ht="15" customHeight="1">
      <c r="A144" t="s">
        <v>1013</v>
      </c>
      <c r="B144" s="3" t="s">
        <v>1014</v>
      </c>
      <c r="C144" s="16" t="s">
        <v>97</v>
      </c>
      <c r="D144" s="39" t="s">
        <v>1015</v>
      </c>
      <c r="E144" s="16" t="s">
        <v>97</v>
      </c>
      <c r="F144" s="131" t="s">
        <v>1016</v>
      </c>
      <c r="I144" s="100" t="s">
        <v>342</v>
      </c>
      <c r="J144" s="16" t="s">
        <v>101</v>
      </c>
      <c r="K144" s="16"/>
      <c r="L144" s="3" t="s">
        <v>102</v>
      </c>
      <c r="M144" s="3" t="s">
        <v>103</v>
      </c>
      <c r="N144" s="3" t="s">
        <v>104</v>
      </c>
      <c r="O144" s="16" t="s">
        <v>105</v>
      </c>
      <c r="P144" s="3" t="s">
        <v>1017</v>
      </c>
      <c r="Q144" s="3" t="s">
        <v>1017</v>
      </c>
      <c r="R144" s="3" t="s">
        <v>1017</v>
      </c>
      <c r="S144" t="s">
        <v>1013</v>
      </c>
      <c r="T144" s="130" t="s">
        <v>107</v>
      </c>
      <c r="U144" s="50">
        <v>8</v>
      </c>
      <c r="V144" s="54"/>
      <c r="W144" s="54"/>
      <c r="X144" s="59" t="s">
        <v>108</v>
      </c>
      <c r="Y144" s="93">
        <f>IF(AD144=0, 0, IF(OR(H144="", H144&lt;&gt;0), 1, 0))</f>
        <v>1</v>
      </c>
      <c r="Z144" s="3">
        <v>0</v>
      </c>
      <c r="AA144" s="3" t="s">
        <v>1018</v>
      </c>
      <c r="AD144" s="6">
        <f>ROUND((AG144*(1+AJ144)),2)</f>
        <v>240</v>
      </c>
      <c r="AE144" s="69">
        <v>273.50838772000003</v>
      </c>
      <c r="AF144" s="17">
        <f>(AE144*1)</f>
        <v>273.50838772000003</v>
      </c>
      <c r="AG144" s="6">
        <f>ROUND((AE144*AI144),2)</f>
        <v>177.78</v>
      </c>
      <c r="AH144" s="30" t="s">
        <v>110</v>
      </c>
      <c r="AI144" s="3">
        <v>0.65</v>
      </c>
      <c r="AJ144" s="18">
        <v>0.35</v>
      </c>
      <c r="AK144" s="6">
        <f>ROUND((AD144-(AD144*BG144)),2)</f>
        <v>237.6</v>
      </c>
      <c r="AL144" s="6">
        <f>ROUND((AD144-(AD144*BH144)),2)</f>
        <v>235.2</v>
      </c>
      <c r="AM144" s="6">
        <f>ROUND((AD144-(AD144*BI144)),2)</f>
        <v>232.8</v>
      </c>
      <c r="AN144" s="6">
        <f>ROUND((AD144-(AD144*BJ144)),2)</f>
        <v>232.8</v>
      </c>
      <c r="AO144" s="6">
        <f>ROUND((AD144-(AD144*BK144)),2)</f>
        <v>240</v>
      </c>
      <c r="BG144" s="12">
        <v>0.01</v>
      </c>
      <c r="BH144" s="12">
        <v>0.02</v>
      </c>
      <c r="BI144" s="12">
        <v>0.03</v>
      </c>
      <c r="BJ144" s="12">
        <v>0.03</v>
      </c>
      <c r="CC144" s="3" t="str">
        <f>IF(B144&lt;&gt;"",CONCATENATE(SUBSTITUTE(B144," ","-"),".jpg"),"")</f>
        <v>Allied-Moulded-AM1224RTW.jpg</v>
      </c>
      <c r="CD144" s="16" t="s">
        <v>111</v>
      </c>
      <c r="CE144" s="3"/>
      <c r="CF144" s="3"/>
      <c r="CG144" s="3" t="s">
        <v>112</v>
      </c>
      <c r="CI144" s="3" t="s">
        <v>97</v>
      </c>
      <c r="CJ144" s="3" t="s">
        <v>383</v>
      </c>
      <c r="CK144" s="3" t="s">
        <v>114</v>
      </c>
      <c r="CL144" s="3" t="s">
        <v>115</v>
      </c>
      <c r="CM144" s="3" t="s">
        <v>116</v>
      </c>
      <c r="CN144" s="16" t="s">
        <v>132</v>
      </c>
      <c r="CO144" s="3" t="s">
        <v>118</v>
      </c>
      <c r="CP144" s="3" t="s">
        <v>139</v>
      </c>
      <c r="CQ144" s="3" t="s">
        <v>120</v>
      </c>
      <c r="CR144" s="16" t="s">
        <v>121</v>
      </c>
      <c r="CS144" s="16" t="s">
        <v>122</v>
      </c>
      <c r="CT144" s="16" t="s">
        <v>125</v>
      </c>
      <c r="CU144" s="16" t="s">
        <v>125</v>
      </c>
      <c r="CV144" s="16" t="s">
        <v>351</v>
      </c>
    </row>
    <row r="145" spans="1:100" ht="15" customHeight="1">
      <c r="A145" t="s">
        <v>1019</v>
      </c>
      <c r="B145" s="3" t="s">
        <v>1020</v>
      </c>
      <c r="C145" s="16" t="s">
        <v>97</v>
      </c>
      <c r="D145" s="39" t="s">
        <v>1021</v>
      </c>
      <c r="E145" s="16" t="s">
        <v>97</v>
      </c>
      <c r="F145" s="131" t="s">
        <v>1022</v>
      </c>
      <c r="I145" s="100" t="s">
        <v>342</v>
      </c>
      <c r="J145" s="16" t="s">
        <v>101</v>
      </c>
      <c r="K145" s="16"/>
      <c r="L145" s="3" t="s">
        <v>102</v>
      </c>
      <c r="M145" s="3" t="s">
        <v>103</v>
      </c>
      <c r="N145" s="3" t="s">
        <v>104</v>
      </c>
      <c r="O145" s="16" t="s">
        <v>105</v>
      </c>
      <c r="P145" s="3" t="s">
        <v>1023</v>
      </c>
      <c r="Q145" s="3" t="s">
        <v>1023</v>
      </c>
      <c r="R145" s="3" t="s">
        <v>1023</v>
      </c>
      <c r="S145" t="s">
        <v>1019</v>
      </c>
      <c r="T145" s="130" t="s">
        <v>107</v>
      </c>
      <c r="U145" s="50">
        <v>7</v>
      </c>
      <c r="V145" s="54"/>
      <c r="W145" s="54"/>
      <c r="X145" s="59" t="s">
        <v>108</v>
      </c>
      <c r="Y145" s="93">
        <f>IF(AD145=0, 0, IF(OR(H145="", H145&lt;&gt;0), 1, 0))</f>
        <v>1</v>
      </c>
      <c r="Z145" s="3">
        <v>0</v>
      </c>
      <c r="AA145" s="3" t="s">
        <v>1024</v>
      </c>
      <c r="AD145" s="6">
        <f>ROUND((AG145*(1+AJ145)),2)</f>
        <v>118.31</v>
      </c>
      <c r="AE145" s="69">
        <v>134.82683108000001</v>
      </c>
      <c r="AF145" s="17">
        <f>(AE145*1)</f>
        <v>134.82683108000001</v>
      </c>
      <c r="AG145" s="6">
        <f>ROUND((AE145*AI145),2)</f>
        <v>87.64</v>
      </c>
      <c r="AH145" s="30" t="s">
        <v>110</v>
      </c>
      <c r="AI145" s="3">
        <v>0.65</v>
      </c>
      <c r="AJ145" s="18">
        <v>0.35</v>
      </c>
      <c r="AK145" s="6">
        <f>ROUND((AD145-(AD145*BG145)),2)</f>
        <v>117.13</v>
      </c>
      <c r="AL145" s="6">
        <f>ROUND((AD145-(AD145*BH145)),2)</f>
        <v>115.94</v>
      </c>
      <c r="AM145" s="6">
        <f>ROUND((AD145-(AD145*BI145)),2)</f>
        <v>114.76</v>
      </c>
      <c r="AN145" s="6">
        <f>ROUND((AD145-(AD145*BJ145)),2)</f>
        <v>114.76</v>
      </c>
      <c r="AO145" s="6">
        <f>ROUND((AD145-(AD145*BK145)),2)</f>
        <v>118.31</v>
      </c>
      <c r="BG145" s="12">
        <v>0.01</v>
      </c>
      <c r="BH145" s="12">
        <v>0.02</v>
      </c>
      <c r="BI145" s="12">
        <v>0.03</v>
      </c>
      <c r="BJ145" s="12">
        <v>0.03</v>
      </c>
      <c r="CC145" s="3" t="str">
        <f>IF(B145&lt;&gt;"",CONCATENATE(SUBSTITUTE(B145," ","-"),".jpg"),"")</f>
        <v>Allied-Moulded-AM1224.jpg</v>
      </c>
      <c r="CD145" s="16" t="s">
        <v>111</v>
      </c>
      <c r="CE145" s="3"/>
      <c r="CF145" s="3"/>
      <c r="CG145" s="3" t="s">
        <v>112</v>
      </c>
      <c r="CI145" s="3" t="s">
        <v>97</v>
      </c>
      <c r="CJ145" s="3" t="s">
        <v>844</v>
      </c>
      <c r="CK145" s="3" t="s">
        <v>114</v>
      </c>
      <c r="CL145" s="3" t="s">
        <v>115</v>
      </c>
      <c r="CM145" s="16"/>
      <c r="CN145" s="16" t="s">
        <v>349</v>
      </c>
      <c r="CO145" s="3" t="s">
        <v>118</v>
      </c>
      <c r="CP145" s="3" t="s">
        <v>139</v>
      </c>
      <c r="CQ145" s="3" t="s">
        <v>120</v>
      </c>
      <c r="CR145" s="3" t="s">
        <v>140</v>
      </c>
      <c r="CS145" s="3" t="s">
        <v>384</v>
      </c>
      <c r="CT145" s="16" t="s">
        <v>125</v>
      </c>
      <c r="CU145" s="16" t="s">
        <v>125</v>
      </c>
      <c r="CV145" s="16" t="s">
        <v>657</v>
      </c>
    </row>
    <row r="146" spans="1:100" ht="15" customHeight="1">
      <c r="A146" t="s">
        <v>1025</v>
      </c>
      <c r="B146" s="3" t="s">
        <v>1026</v>
      </c>
      <c r="C146" s="16" t="s">
        <v>97</v>
      </c>
      <c r="D146" s="39" t="s">
        <v>1027</v>
      </c>
      <c r="E146" s="16" t="s">
        <v>97</v>
      </c>
      <c r="F146" s="131" t="s">
        <v>1028</v>
      </c>
      <c r="I146" s="100" t="s">
        <v>342</v>
      </c>
      <c r="J146" s="16" t="s">
        <v>101</v>
      </c>
      <c r="K146" s="16"/>
      <c r="L146" s="3" t="s">
        <v>102</v>
      </c>
      <c r="M146" s="3" t="s">
        <v>103</v>
      </c>
      <c r="N146" s="3" t="s">
        <v>104</v>
      </c>
      <c r="O146" s="16" t="s">
        <v>105</v>
      </c>
      <c r="P146" s="3" t="s">
        <v>1029</v>
      </c>
      <c r="Q146" s="3" t="s">
        <v>1029</v>
      </c>
      <c r="R146" s="3" t="s">
        <v>1029</v>
      </c>
      <c r="S146" t="s">
        <v>1025</v>
      </c>
      <c r="T146" s="130" t="s">
        <v>107</v>
      </c>
      <c r="U146" s="50">
        <v>7</v>
      </c>
      <c r="V146" s="54"/>
      <c r="W146" s="54"/>
      <c r="X146" s="59" t="s">
        <v>108</v>
      </c>
      <c r="Y146" s="93">
        <f>IF(AD146=0, 0, IF(OR(H146="", H146&lt;&gt;0), 1, 0))</f>
        <v>1</v>
      </c>
      <c r="Z146" s="3">
        <v>0</v>
      </c>
      <c r="AA146" s="3" t="s">
        <v>1030</v>
      </c>
      <c r="AD146" s="6">
        <f>ROUND((AG146*(1+AJ146)),2)</f>
        <v>209.43</v>
      </c>
      <c r="AE146" s="69">
        <v>238.65387369999999</v>
      </c>
      <c r="AF146" s="17">
        <f>(AE146*1)</f>
        <v>238.65387369999999</v>
      </c>
      <c r="AG146" s="6">
        <f>ROUND((AE146*AI146),2)</f>
        <v>155.13</v>
      </c>
      <c r="AH146" s="30" t="s">
        <v>110</v>
      </c>
      <c r="AI146" s="3">
        <v>0.65</v>
      </c>
      <c r="AJ146" s="18">
        <v>0.35</v>
      </c>
      <c r="AK146" s="6">
        <f>ROUND((AD146-(AD146*BG146)),2)</f>
        <v>207.34</v>
      </c>
      <c r="AL146" s="6">
        <f>ROUND((AD146-(AD146*BH146)),2)</f>
        <v>205.24</v>
      </c>
      <c r="AM146" s="6">
        <f>ROUND((AD146-(AD146*BI146)),2)</f>
        <v>203.15</v>
      </c>
      <c r="AN146" s="6">
        <f>ROUND((AD146-(AD146*BJ146)),2)</f>
        <v>203.15</v>
      </c>
      <c r="AO146" s="6">
        <f>ROUND((AD146-(AD146*BK146)),2)</f>
        <v>209.43</v>
      </c>
      <c r="BG146" s="12">
        <v>0.01</v>
      </c>
      <c r="BH146" s="12">
        <v>0.02</v>
      </c>
      <c r="BI146" s="12">
        <v>0.03</v>
      </c>
      <c r="BJ146" s="12">
        <v>0.03</v>
      </c>
      <c r="CC146" s="3" t="str">
        <f>IF(B146&lt;&gt;"",CONCATENATE(SUBSTITUTE(B146," ","-"),".jpg"),"")</f>
        <v>Allied-Moulded-AM1224W.jpg</v>
      </c>
      <c r="CD146" s="16" t="s">
        <v>111</v>
      </c>
      <c r="CE146" s="3"/>
      <c r="CF146" s="3"/>
      <c r="CG146" s="3" t="s">
        <v>112</v>
      </c>
      <c r="CI146" s="3" t="s">
        <v>97</v>
      </c>
      <c r="CJ146" s="3" t="s">
        <v>844</v>
      </c>
      <c r="CK146" s="3" t="s">
        <v>114</v>
      </c>
      <c r="CL146" s="3" t="s">
        <v>115</v>
      </c>
      <c r="CM146" s="16"/>
      <c r="CN146" s="16" t="s">
        <v>349</v>
      </c>
      <c r="CO146" s="3" t="s">
        <v>118</v>
      </c>
      <c r="CP146" s="3" t="s">
        <v>139</v>
      </c>
      <c r="CQ146" s="3" t="s">
        <v>120</v>
      </c>
      <c r="CR146" s="3" t="s">
        <v>140</v>
      </c>
      <c r="CS146" s="3" t="s">
        <v>384</v>
      </c>
      <c r="CT146" s="16" t="s">
        <v>125</v>
      </c>
      <c r="CU146" s="16" t="s">
        <v>125</v>
      </c>
      <c r="CV146" s="16" t="s">
        <v>657</v>
      </c>
    </row>
    <row r="147" spans="1:100" ht="15" customHeight="1">
      <c r="A147" t="s">
        <v>1031</v>
      </c>
      <c r="B147" s="3" t="s">
        <v>1032</v>
      </c>
      <c r="C147" s="16" t="s">
        <v>97</v>
      </c>
      <c r="D147" s="40" t="s">
        <v>1033</v>
      </c>
      <c r="E147" s="16" t="s">
        <v>97</v>
      </c>
      <c r="F147" s="131" t="s">
        <v>1034</v>
      </c>
      <c r="I147" s="100" t="s">
        <v>342</v>
      </c>
      <c r="J147" s="16" t="s">
        <v>101</v>
      </c>
      <c r="K147" s="16"/>
      <c r="L147" s="3" t="s">
        <v>102</v>
      </c>
      <c r="M147" s="3" t="s">
        <v>103</v>
      </c>
      <c r="N147" s="3" t="s">
        <v>104</v>
      </c>
      <c r="O147" s="16" t="s">
        <v>105</v>
      </c>
      <c r="P147" s="3" t="s">
        <v>1035</v>
      </c>
      <c r="Q147" s="3" t="s">
        <v>1035</v>
      </c>
      <c r="R147" s="3" t="s">
        <v>1035</v>
      </c>
      <c r="S147" t="s">
        <v>1031</v>
      </c>
      <c r="T147" s="130" t="s">
        <v>107</v>
      </c>
      <c r="U147" s="35">
        <v>10</v>
      </c>
      <c r="V147" s="40"/>
      <c r="W147" s="40"/>
      <c r="X147" s="59" t="s">
        <v>108</v>
      </c>
      <c r="Y147" s="93">
        <f>IF(AD147=0, 0, IF(OR(H147="", H147&lt;&gt;0), 1, 0))</f>
        <v>1</v>
      </c>
      <c r="Z147" s="3">
        <v>0</v>
      </c>
      <c r="AA147" s="3" t="s">
        <v>1036</v>
      </c>
      <c r="AD147" s="6">
        <f>ROUND((AG147*(1+AJ147)),2)</f>
        <v>164.58</v>
      </c>
      <c r="AE147" s="69">
        <v>187.54690006999999</v>
      </c>
      <c r="AF147" s="17">
        <f>(AE147*1)</f>
        <v>187.54690006999999</v>
      </c>
      <c r="AG147" s="6">
        <f>ROUND((AE147*AI147),2)</f>
        <v>121.91</v>
      </c>
      <c r="AH147" s="30" t="s">
        <v>110</v>
      </c>
      <c r="AI147" s="3">
        <v>0.65</v>
      </c>
      <c r="AJ147" s="18">
        <v>0.35</v>
      </c>
      <c r="AK147" s="6">
        <f>ROUND((AD147-(AD147*BG147)),2)</f>
        <v>162.93</v>
      </c>
      <c r="AL147" s="6">
        <f>ROUND((AD147-(AD147*BH147)),2)</f>
        <v>161.29</v>
      </c>
      <c r="AM147" s="6">
        <f>ROUND((AD147-(AD147*BI147)),2)</f>
        <v>159.63999999999999</v>
      </c>
      <c r="AN147" s="6">
        <f>ROUND((AD147-(AD147*BJ147)),2)</f>
        <v>159.63999999999999</v>
      </c>
      <c r="AO147" s="6">
        <f>ROUND((AD147-(AD147*BK147)),2)</f>
        <v>164.58</v>
      </c>
      <c r="BG147" s="12">
        <v>0.01</v>
      </c>
      <c r="BH147" s="12">
        <v>0.02</v>
      </c>
      <c r="BI147" s="12">
        <v>0.03</v>
      </c>
      <c r="BJ147" s="12">
        <v>0.03</v>
      </c>
      <c r="CC147" s="3" t="str">
        <f>IF(B147&lt;&gt;"",CONCATENATE(SUBSTITUTE(B147," ","-"),".jpg"),"")</f>
        <v>Allied-Moulded-AM1426RL.jpg</v>
      </c>
      <c r="CD147" s="16" t="s">
        <v>111</v>
      </c>
      <c r="CE147" s="3"/>
      <c r="CF147" s="3"/>
      <c r="CG147" s="3" t="s">
        <v>112</v>
      </c>
      <c r="CI147" s="3" t="s">
        <v>97</v>
      </c>
      <c r="CJ147" s="3" t="s">
        <v>383</v>
      </c>
      <c r="CK147" s="3" t="s">
        <v>114</v>
      </c>
      <c r="CL147" s="3" t="s">
        <v>115</v>
      </c>
      <c r="CM147" s="3" t="s">
        <v>116</v>
      </c>
      <c r="CN147" t="s">
        <v>117</v>
      </c>
      <c r="CO147" s="3" t="s">
        <v>118</v>
      </c>
      <c r="CP147" s="3" t="s">
        <v>139</v>
      </c>
      <c r="CQ147" s="3" t="s">
        <v>120</v>
      </c>
      <c r="CR147" s="3" t="s">
        <v>140</v>
      </c>
      <c r="CS147" s="16" t="s">
        <v>122</v>
      </c>
      <c r="CT147" s="16" t="s">
        <v>1037</v>
      </c>
      <c r="CU147" s="16" t="s">
        <v>125</v>
      </c>
      <c r="CV147" s="16" t="s">
        <v>385</v>
      </c>
    </row>
    <row r="148" spans="1:100" ht="15" customHeight="1">
      <c r="A148" t="s">
        <v>1038</v>
      </c>
      <c r="B148" s="3" t="s">
        <v>1039</v>
      </c>
      <c r="C148" s="16" t="s">
        <v>97</v>
      </c>
      <c r="D148" s="38" t="s">
        <v>1040</v>
      </c>
      <c r="E148" s="16" t="s">
        <v>97</v>
      </c>
      <c r="F148" s="131" t="s">
        <v>1041</v>
      </c>
      <c r="I148" s="100" t="s">
        <v>342</v>
      </c>
      <c r="J148" s="16" t="s">
        <v>101</v>
      </c>
      <c r="K148" s="16"/>
      <c r="L148" s="3" t="s">
        <v>102</v>
      </c>
      <c r="M148" s="3" t="s">
        <v>103</v>
      </c>
      <c r="N148" s="3" t="s">
        <v>104</v>
      </c>
      <c r="O148" s="16" t="s">
        <v>105</v>
      </c>
      <c r="P148" s="3" t="s">
        <v>1042</v>
      </c>
      <c r="Q148" s="3" t="s">
        <v>1042</v>
      </c>
      <c r="R148" s="3" t="s">
        <v>1042</v>
      </c>
      <c r="S148" t="s">
        <v>1038</v>
      </c>
      <c r="T148" s="130" t="s">
        <v>107</v>
      </c>
      <c r="U148" s="33">
        <v>10</v>
      </c>
      <c r="V148" s="40"/>
      <c r="W148" s="40"/>
      <c r="X148" s="59" t="s">
        <v>108</v>
      </c>
      <c r="Y148" s="93">
        <f>IF(AD148=0, 0, IF(OR(H148="", H148&lt;&gt;0), 1, 0))</f>
        <v>1</v>
      </c>
      <c r="Z148" s="3">
        <v>0</v>
      </c>
      <c r="AA148" s="3" t="s">
        <v>1043</v>
      </c>
      <c r="AD148" s="6">
        <f>ROUND((AG148*(1+AJ148)),2)</f>
        <v>164.58</v>
      </c>
      <c r="AE148" s="68">
        <v>187.54690006999999</v>
      </c>
      <c r="AF148" s="17">
        <f>(AE148*1)</f>
        <v>187.54690006999999</v>
      </c>
      <c r="AG148" s="6">
        <f>ROUND((AE148*AI148),2)</f>
        <v>121.91</v>
      </c>
      <c r="AH148" s="30" t="s">
        <v>110</v>
      </c>
      <c r="AI148" s="3">
        <v>0.65</v>
      </c>
      <c r="AJ148" s="18">
        <v>0.35</v>
      </c>
      <c r="AK148" s="6">
        <f>ROUND((AD148-(AD148*BG148)),2)</f>
        <v>162.93</v>
      </c>
      <c r="AL148" s="6">
        <f>ROUND((AD148-(AD148*BH148)),2)</f>
        <v>161.29</v>
      </c>
      <c r="AM148" s="6">
        <f>ROUND((AD148-(AD148*BI148)),2)</f>
        <v>159.63999999999999</v>
      </c>
      <c r="AN148" s="6">
        <f>ROUND((AD148-(AD148*BJ148)),2)</f>
        <v>159.63999999999999</v>
      </c>
      <c r="AO148" s="6">
        <f>ROUND((AD148-(AD148*BK148)),2)</f>
        <v>164.58</v>
      </c>
      <c r="BG148" s="12">
        <v>0.01</v>
      </c>
      <c r="BH148" s="12">
        <v>0.02</v>
      </c>
      <c r="BI148" s="12">
        <v>0.03</v>
      </c>
      <c r="BJ148" s="12">
        <v>0.03</v>
      </c>
      <c r="CC148" s="3" t="str">
        <f>IF(B148&lt;&gt;"",CONCATENATE(SUBSTITUTE(B148," ","-"),".jpg"),"")</f>
        <v>Allied-Moulded-AM1426RT.jpg</v>
      </c>
      <c r="CD148" s="16" t="s">
        <v>111</v>
      </c>
      <c r="CE148" s="3"/>
      <c r="CF148" s="3"/>
      <c r="CG148" s="3" t="s">
        <v>112</v>
      </c>
      <c r="CI148" s="3" t="s">
        <v>97</v>
      </c>
      <c r="CJ148" s="3" t="s">
        <v>383</v>
      </c>
      <c r="CK148" s="3" t="s">
        <v>114</v>
      </c>
      <c r="CL148" s="3" t="s">
        <v>115</v>
      </c>
      <c r="CM148" s="3" t="s">
        <v>116</v>
      </c>
      <c r="CN148" s="16" t="s">
        <v>132</v>
      </c>
      <c r="CO148" s="3" t="s">
        <v>118</v>
      </c>
      <c r="CP148" s="3" t="s">
        <v>139</v>
      </c>
      <c r="CQ148" s="3" t="s">
        <v>120</v>
      </c>
      <c r="CR148" s="3" t="s">
        <v>140</v>
      </c>
      <c r="CS148" s="16" t="s">
        <v>122</v>
      </c>
      <c r="CT148" s="16" t="s">
        <v>1037</v>
      </c>
      <c r="CU148" s="16" t="s">
        <v>125</v>
      </c>
      <c r="CV148" s="16" t="s">
        <v>385</v>
      </c>
    </row>
    <row r="149" spans="1:100" ht="15" customHeight="1">
      <c r="A149" t="s">
        <v>1044</v>
      </c>
      <c r="B149" s="3" t="s">
        <v>1045</v>
      </c>
      <c r="C149" s="16" t="s">
        <v>97</v>
      </c>
      <c r="D149" s="39" t="s">
        <v>1046</v>
      </c>
      <c r="E149" s="16" t="s">
        <v>97</v>
      </c>
      <c r="F149" s="131" t="s">
        <v>1047</v>
      </c>
      <c r="I149" s="100" t="s">
        <v>342</v>
      </c>
      <c r="J149" s="16" t="s">
        <v>101</v>
      </c>
      <c r="K149" s="16"/>
      <c r="L149" s="3" t="s">
        <v>102</v>
      </c>
      <c r="M149" s="3" t="s">
        <v>103</v>
      </c>
      <c r="N149" s="3" t="s">
        <v>104</v>
      </c>
      <c r="O149" s="16" t="s">
        <v>105</v>
      </c>
      <c r="P149" s="3" t="s">
        <v>1048</v>
      </c>
      <c r="Q149" s="3" t="s">
        <v>1048</v>
      </c>
      <c r="R149" s="3" t="s">
        <v>1048</v>
      </c>
      <c r="S149" t="s">
        <v>1044</v>
      </c>
      <c r="T149" s="130" t="s">
        <v>107</v>
      </c>
      <c r="U149" s="34">
        <v>10</v>
      </c>
      <c r="V149" s="39"/>
      <c r="W149" s="39"/>
      <c r="X149" s="59" t="s">
        <v>108</v>
      </c>
      <c r="Y149" s="93">
        <f>IF(AD149=0, 0, IF(OR(H149="", H149&lt;&gt;0), 1, 0))</f>
        <v>1</v>
      </c>
      <c r="Z149" s="3">
        <v>0</v>
      </c>
      <c r="AA149" s="3" t="s">
        <v>1049</v>
      </c>
      <c r="AD149" s="6">
        <f>ROUND((AG149*(1+AJ149)),2)</f>
        <v>244.89</v>
      </c>
      <c r="AE149" s="69">
        <v>279.06932579000005</v>
      </c>
      <c r="AF149" s="17">
        <f>(AE149*1)</f>
        <v>279.06932579000005</v>
      </c>
      <c r="AG149" s="6">
        <f>ROUND((AE149*AI149),2)</f>
        <v>181.4</v>
      </c>
      <c r="AH149" s="30" t="s">
        <v>110</v>
      </c>
      <c r="AI149" s="3">
        <v>0.65</v>
      </c>
      <c r="AJ149" s="18">
        <v>0.35</v>
      </c>
      <c r="AK149" s="6">
        <f>ROUND((AD149-(AD149*BG149)),2)</f>
        <v>242.44</v>
      </c>
      <c r="AL149" s="6">
        <f>ROUND((AD149-(AD149*BH149)),2)</f>
        <v>239.99</v>
      </c>
      <c r="AM149" s="6">
        <f>ROUND((AD149-(AD149*BI149)),2)</f>
        <v>237.54</v>
      </c>
      <c r="AN149" s="6">
        <f>ROUND((AD149-(AD149*BJ149)),2)</f>
        <v>237.54</v>
      </c>
      <c r="AO149" s="6">
        <f>ROUND((AD149-(AD149*BK149)),2)</f>
        <v>244.89</v>
      </c>
      <c r="BG149" s="12">
        <v>0.01</v>
      </c>
      <c r="BH149" s="12">
        <v>0.02</v>
      </c>
      <c r="BI149" s="12">
        <v>0.03</v>
      </c>
      <c r="BJ149" s="12">
        <v>0.03</v>
      </c>
      <c r="CC149" s="3" t="str">
        <f>IF(B149&lt;&gt;"",CONCATENATE(SUBSTITUTE(B149," ","-"),".jpg"),"")</f>
        <v>Allied-Moulded-AM1426RW.jpg</v>
      </c>
      <c r="CD149" s="16" t="s">
        <v>111</v>
      </c>
      <c r="CE149" s="3"/>
      <c r="CF149" s="3"/>
      <c r="CG149" s="3" t="s">
        <v>112</v>
      </c>
      <c r="CI149" s="3" t="s">
        <v>97</v>
      </c>
      <c r="CJ149" s="3" t="s">
        <v>383</v>
      </c>
      <c r="CK149" s="3" t="s">
        <v>114</v>
      </c>
      <c r="CL149" s="3" t="s">
        <v>115</v>
      </c>
      <c r="CM149" s="16"/>
      <c r="CN149" s="16" t="s">
        <v>349</v>
      </c>
      <c r="CO149" s="3" t="s">
        <v>118</v>
      </c>
      <c r="CP149" s="3" t="s">
        <v>139</v>
      </c>
      <c r="CQ149" s="3" t="s">
        <v>120</v>
      </c>
      <c r="CR149" s="16" t="s">
        <v>121</v>
      </c>
      <c r="CS149" s="3" t="s">
        <v>384</v>
      </c>
      <c r="CT149" s="16" t="s">
        <v>1037</v>
      </c>
      <c r="CU149" s="16" t="s">
        <v>125</v>
      </c>
      <c r="CV149" s="16" t="s">
        <v>385</v>
      </c>
    </row>
    <row r="150" spans="1:100" ht="15" customHeight="1">
      <c r="A150" t="s">
        <v>1050</v>
      </c>
      <c r="B150" s="3" t="s">
        <v>1051</v>
      </c>
      <c r="C150" s="16" t="s">
        <v>97</v>
      </c>
      <c r="D150" s="40" t="s">
        <v>1052</v>
      </c>
      <c r="E150" s="16" t="s">
        <v>97</v>
      </c>
      <c r="F150" s="131" t="s">
        <v>1053</v>
      </c>
      <c r="I150" s="100" t="s">
        <v>342</v>
      </c>
      <c r="J150" s="16" t="s">
        <v>101</v>
      </c>
      <c r="K150" s="16"/>
      <c r="L150" s="3" t="s">
        <v>102</v>
      </c>
      <c r="M150" s="3" t="s">
        <v>103</v>
      </c>
      <c r="N150" s="3" t="s">
        <v>104</v>
      </c>
      <c r="O150" s="16" t="s">
        <v>105</v>
      </c>
      <c r="P150" s="3" t="s">
        <v>1054</v>
      </c>
      <c r="Q150" s="3" t="s">
        <v>1054</v>
      </c>
      <c r="R150" s="3" t="s">
        <v>1054</v>
      </c>
      <c r="S150" t="s">
        <v>1050</v>
      </c>
      <c r="T150" s="130" t="s">
        <v>107</v>
      </c>
      <c r="U150" s="35">
        <v>10</v>
      </c>
      <c r="V150" s="40"/>
      <c r="W150" s="40"/>
      <c r="X150" s="59" t="s">
        <v>108</v>
      </c>
      <c r="Y150" s="93">
        <f>IF(AD150=0, 0, IF(OR(H150="", H150&lt;&gt;0), 1, 0))</f>
        <v>1</v>
      </c>
      <c r="Z150" s="3">
        <v>0</v>
      </c>
      <c r="AA150" s="3" t="s">
        <v>1055</v>
      </c>
      <c r="AD150" s="6">
        <f>ROUND((AG150*(1+AJ150)),2)</f>
        <v>250.3</v>
      </c>
      <c r="AE150" s="69">
        <v>285.24017012000002</v>
      </c>
      <c r="AF150" s="17">
        <f>(AE150*1)</f>
        <v>285.24017012000002</v>
      </c>
      <c r="AG150" s="6">
        <f>ROUND((AE150*AI150),2)</f>
        <v>185.41</v>
      </c>
      <c r="AH150" s="30" t="s">
        <v>110</v>
      </c>
      <c r="AI150" s="3">
        <v>0.65</v>
      </c>
      <c r="AJ150" s="18">
        <v>0.35</v>
      </c>
      <c r="AK150" s="6">
        <f>ROUND((AD150-(AD150*BG150)),2)</f>
        <v>247.8</v>
      </c>
      <c r="AL150" s="6">
        <f>ROUND((AD150-(AD150*BH150)),2)</f>
        <v>245.29</v>
      </c>
      <c r="AM150" s="6">
        <f>ROUND((AD150-(AD150*BI150)),2)</f>
        <v>242.79</v>
      </c>
      <c r="AN150" s="6">
        <f>ROUND((AD150-(AD150*BJ150)),2)</f>
        <v>242.79</v>
      </c>
      <c r="AO150" s="6">
        <f>ROUND((AD150-(AD150*BK150)),2)</f>
        <v>250.3</v>
      </c>
      <c r="BG150" s="12">
        <v>0.01</v>
      </c>
      <c r="BH150" s="12">
        <v>0.02</v>
      </c>
      <c r="BI150" s="12">
        <v>0.03</v>
      </c>
      <c r="BJ150" s="12">
        <v>0.03</v>
      </c>
      <c r="CC150" s="3" t="str">
        <f>IF(B150&lt;&gt;"",CONCATENATE(SUBSTITUTE(B150," ","-"),".jpg"),"")</f>
        <v>Allied-Moulded-AM1426RHW.jpg</v>
      </c>
      <c r="CD150" s="16" t="s">
        <v>111</v>
      </c>
      <c r="CE150" s="3"/>
      <c r="CF150" s="3"/>
      <c r="CG150" s="3" t="s">
        <v>112</v>
      </c>
      <c r="CI150" s="3" t="s">
        <v>97</v>
      </c>
      <c r="CJ150" s="3" t="s">
        <v>383</v>
      </c>
      <c r="CK150" s="3" t="s">
        <v>114</v>
      </c>
      <c r="CL150" s="3" t="s">
        <v>115</v>
      </c>
      <c r="CO150" s="3" t="s">
        <v>118</v>
      </c>
      <c r="CP150" s="3" t="s">
        <v>139</v>
      </c>
      <c r="CQ150" s="3" t="s">
        <v>120</v>
      </c>
      <c r="CR150" s="16" t="s">
        <v>121</v>
      </c>
      <c r="CS150" s="3" t="s">
        <v>384</v>
      </c>
      <c r="CT150" s="16" t="s">
        <v>1037</v>
      </c>
      <c r="CU150" s="16" t="s">
        <v>125</v>
      </c>
      <c r="CV150" s="16" t="s">
        <v>385</v>
      </c>
    </row>
    <row r="151" spans="1:100" ht="15" customHeight="1">
      <c r="A151" t="s">
        <v>1056</v>
      </c>
      <c r="B151" s="3" t="s">
        <v>1057</v>
      </c>
      <c r="C151" s="16" t="s">
        <v>97</v>
      </c>
      <c r="D151" s="40" t="s">
        <v>1058</v>
      </c>
      <c r="E151" s="16" t="s">
        <v>97</v>
      </c>
      <c r="F151" s="131" t="s">
        <v>1059</v>
      </c>
      <c r="I151" s="100" t="s">
        <v>342</v>
      </c>
      <c r="J151" s="16" t="s">
        <v>101</v>
      </c>
      <c r="K151" s="16"/>
      <c r="L151" s="3" t="s">
        <v>102</v>
      </c>
      <c r="M151" s="3" t="s">
        <v>103</v>
      </c>
      <c r="N151" s="3" t="s">
        <v>104</v>
      </c>
      <c r="O151" s="16" t="s">
        <v>105</v>
      </c>
      <c r="P151" s="3" t="s">
        <v>1060</v>
      </c>
      <c r="Q151" s="3" t="s">
        <v>1060</v>
      </c>
      <c r="R151" s="3" t="s">
        <v>1060</v>
      </c>
      <c r="S151" t="s">
        <v>1056</v>
      </c>
      <c r="T151" s="130" t="s">
        <v>107</v>
      </c>
      <c r="U151" s="35">
        <v>10</v>
      </c>
      <c r="V151" s="40"/>
      <c r="W151" s="40"/>
      <c r="X151" s="59" t="s">
        <v>108</v>
      </c>
      <c r="Y151" s="93">
        <f>IF(AD151=0, 0, IF(OR(H151="", H151&lt;&gt;0), 1, 0))</f>
        <v>1</v>
      </c>
      <c r="Z151" s="3">
        <v>0</v>
      </c>
      <c r="AA151" s="3" t="s">
        <v>1061</v>
      </c>
      <c r="AD151" s="6">
        <f>ROUND((AG151*(1+AJ151)),2)</f>
        <v>273.5</v>
      </c>
      <c r="AE151" s="69">
        <v>311.68152775000004</v>
      </c>
      <c r="AF151" s="17">
        <f>(AE151*1)</f>
        <v>311.68152775000004</v>
      </c>
      <c r="AG151" s="6">
        <f>ROUND((AE151*AI151),2)</f>
        <v>202.59</v>
      </c>
      <c r="AH151" s="30" t="s">
        <v>110</v>
      </c>
      <c r="AI151" s="3">
        <v>0.65</v>
      </c>
      <c r="AJ151" s="18">
        <v>0.35</v>
      </c>
      <c r="AK151" s="6">
        <f>ROUND((AD151-(AD151*BG151)),2)</f>
        <v>270.77</v>
      </c>
      <c r="AL151" s="6">
        <f>ROUND((AD151-(AD151*BH151)),2)</f>
        <v>268.02999999999997</v>
      </c>
      <c r="AM151" s="6">
        <f>ROUND((AD151-(AD151*BI151)),2)</f>
        <v>265.3</v>
      </c>
      <c r="AN151" s="6">
        <f>ROUND((AD151-(AD151*BJ151)),2)</f>
        <v>265.3</v>
      </c>
      <c r="AO151" s="6">
        <f>ROUND((AD151-(AD151*BK151)),2)</f>
        <v>273.5</v>
      </c>
      <c r="BG151" s="12">
        <v>0.01</v>
      </c>
      <c r="BH151" s="12">
        <v>0.02</v>
      </c>
      <c r="BI151" s="12">
        <v>0.03</v>
      </c>
      <c r="BJ151" s="12">
        <v>0.03</v>
      </c>
      <c r="CC151" s="3" t="str">
        <f>IF(B151&lt;&gt;"",CONCATENATE(SUBSTITUTE(B151," ","-"),".jpg"),"")</f>
        <v>Allied-Moulded-AM1426RLW.jpg</v>
      </c>
      <c r="CD151" s="16" t="s">
        <v>111</v>
      </c>
      <c r="CE151" s="3"/>
      <c r="CF151" s="3"/>
      <c r="CG151" s="3" t="s">
        <v>112</v>
      </c>
      <c r="CI151" s="3" t="s">
        <v>97</v>
      </c>
      <c r="CJ151" s="3" t="s">
        <v>383</v>
      </c>
      <c r="CK151" s="3" t="s">
        <v>114</v>
      </c>
      <c r="CL151" s="3" t="s">
        <v>115</v>
      </c>
      <c r="CM151" s="3" t="s">
        <v>116</v>
      </c>
      <c r="CN151" t="s">
        <v>117</v>
      </c>
      <c r="CO151" s="3" t="s">
        <v>118</v>
      </c>
      <c r="CP151" s="3" t="s">
        <v>139</v>
      </c>
      <c r="CQ151" s="3" t="s">
        <v>120</v>
      </c>
      <c r="CR151" s="16" t="s">
        <v>121</v>
      </c>
      <c r="CS151" s="16" t="s">
        <v>122</v>
      </c>
      <c r="CT151" s="16" t="s">
        <v>1037</v>
      </c>
      <c r="CU151" s="16" t="s">
        <v>125</v>
      </c>
      <c r="CV151" s="16" t="s">
        <v>385</v>
      </c>
    </row>
    <row r="152" spans="1:100" ht="15" customHeight="1">
      <c r="A152" t="s">
        <v>1062</v>
      </c>
      <c r="B152" s="3" t="s">
        <v>1063</v>
      </c>
      <c r="C152" s="16" t="s">
        <v>97</v>
      </c>
      <c r="D152" s="39" t="s">
        <v>1064</v>
      </c>
      <c r="E152" s="16" t="s">
        <v>97</v>
      </c>
      <c r="F152" s="131" t="s">
        <v>1065</v>
      </c>
      <c r="I152" s="100" t="s">
        <v>342</v>
      </c>
      <c r="J152" s="16" t="s">
        <v>101</v>
      </c>
      <c r="K152" s="16"/>
      <c r="L152" s="3" t="s">
        <v>102</v>
      </c>
      <c r="M152" s="3" t="s">
        <v>103</v>
      </c>
      <c r="N152" s="3" t="s">
        <v>104</v>
      </c>
      <c r="O152" s="16" t="s">
        <v>105</v>
      </c>
      <c r="P152" s="3" t="s">
        <v>1066</v>
      </c>
      <c r="Q152" s="3" t="s">
        <v>1066</v>
      </c>
      <c r="R152" s="3" t="s">
        <v>1066</v>
      </c>
      <c r="S152" t="s">
        <v>1062</v>
      </c>
      <c r="T152" s="130" t="s">
        <v>107</v>
      </c>
      <c r="U152" s="34">
        <v>10</v>
      </c>
      <c r="V152" s="39"/>
      <c r="W152" s="39"/>
      <c r="X152" s="59" t="s">
        <v>108</v>
      </c>
      <c r="Y152" s="93">
        <f>IF(AD152=0, 0, IF(OR(H152="", H152&lt;&gt;0), 1, 0))</f>
        <v>1</v>
      </c>
      <c r="Z152" s="3">
        <v>0</v>
      </c>
      <c r="AA152" s="3" t="s">
        <v>1067</v>
      </c>
      <c r="AD152" s="6">
        <f>ROUND((AG152*(1+AJ152)),2)</f>
        <v>273.5</v>
      </c>
      <c r="AE152" s="69">
        <v>311.68152775000004</v>
      </c>
      <c r="AF152" s="17">
        <f>(AE152*1)</f>
        <v>311.68152775000004</v>
      </c>
      <c r="AG152" s="6">
        <f>ROUND((AE152*AI152),2)</f>
        <v>202.59</v>
      </c>
      <c r="AH152" s="30" t="s">
        <v>110</v>
      </c>
      <c r="AI152" s="3">
        <v>0.65</v>
      </c>
      <c r="AJ152" s="18">
        <v>0.35</v>
      </c>
      <c r="AK152" s="6">
        <f>ROUND((AD152-(AD152*BG152)),2)</f>
        <v>270.77</v>
      </c>
      <c r="AL152" s="6">
        <f>ROUND((AD152-(AD152*BH152)),2)</f>
        <v>268.02999999999997</v>
      </c>
      <c r="AM152" s="6">
        <f>ROUND((AD152-(AD152*BI152)),2)</f>
        <v>265.3</v>
      </c>
      <c r="AN152" s="6">
        <f>ROUND((AD152-(AD152*BJ152)),2)</f>
        <v>265.3</v>
      </c>
      <c r="AO152" s="6">
        <f>ROUND((AD152-(AD152*BK152)),2)</f>
        <v>273.5</v>
      </c>
      <c r="BG152" s="12">
        <v>0.01</v>
      </c>
      <c r="BH152" s="12">
        <v>0.02</v>
      </c>
      <c r="BI152" s="12">
        <v>0.03</v>
      </c>
      <c r="BJ152" s="12">
        <v>0.03</v>
      </c>
      <c r="CC152" s="3" t="str">
        <f>IF(B152&lt;&gt;"",CONCATENATE(SUBSTITUTE(B152," ","-"),".jpg"),"")</f>
        <v>Allied-Moulded-AM1426RTW.jpg</v>
      </c>
      <c r="CD152" s="16" t="s">
        <v>111</v>
      </c>
      <c r="CE152" s="3"/>
      <c r="CF152" s="3"/>
      <c r="CG152" s="3" t="s">
        <v>112</v>
      </c>
      <c r="CI152" s="3" t="s">
        <v>97</v>
      </c>
      <c r="CJ152" s="3" t="s">
        <v>383</v>
      </c>
      <c r="CK152" s="3" t="s">
        <v>114</v>
      </c>
      <c r="CL152" s="3" t="s">
        <v>115</v>
      </c>
      <c r="CM152" s="3" t="s">
        <v>116</v>
      </c>
      <c r="CN152" s="16" t="s">
        <v>132</v>
      </c>
      <c r="CO152" s="3" t="s">
        <v>118</v>
      </c>
      <c r="CP152" s="3" t="s">
        <v>139</v>
      </c>
      <c r="CQ152" s="3" t="s">
        <v>120</v>
      </c>
      <c r="CR152" s="16" t="s">
        <v>121</v>
      </c>
      <c r="CS152" s="16" t="s">
        <v>122</v>
      </c>
      <c r="CT152" s="16" t="s">
        <v>1037</v>
      </c>
      <c r="CU152" s="16" t="s">
        <v>125</v>
      </c>
      <c r="CV152" s="16" t="s">
        <v>385</v>
      </c>
    </row>
    <row r="153" spans="1:100" ht="15" customHeight="1">
      <c r="A153" s="86" t="s">
        <v>1068</v>
      </c>
      <c r="B153" s="80" t="s">
        <v>1069</v>
      </c>
      <c r="C153" s="16" t="s">
        <v>97</v>
      </c>
      <c r="D153" s="80" t="s">
        <v>1070</v>
      </c>
      <c r="E153" s="16" t="s">
        <v>97</v>
      </c>
      <c r="F153" s="150" t="s">
        <v>1071</v>
      </c>
      <c r="I153" s="100" t="s">
        <v>342</v>
      </c>
      <c r="J153" s="16" t="s">
        <v>101</v>
      </c>
      <c r="K153" s="16"/>
      <c r="L153" s="3" t="s">
        <v>102</v>
      </c>
      <c r="M153" s="3" t="s">
        <v>103</v>
      </c>
      <c r="N153" s="3" t="s">
        <v>104</v>
      </c>
      <c r="O153" s="16" t="s">
        <v>343</v>
      </c>
      <c r="P153" s="80" t="s">
        <v>1072</v>
      </c>
      <c r="Q153" s="80" t="s">
        <v>1072</v>
      </c>
      <c r="R153" s="80" t="s">
        <v>1073</v>
      </c>
      <c r="S153" s="80" t="s">
        <v>1074</v>
      </c>
      <c r="T153" s="132" t="s">
        <v>107</v>
      </c>
      <c r="U153" s="97">
        <v>9</v>
      </c>
      <c r="X153" s="31" t="s">
        <v>108</v>
      </c>
      <c r="Y153" s="93">
        <f>IF(AD153=0, 0, IF(OR(H153="", H153&lt;&gt;0), 1, 0))</f>
        <v>1</v>
      </c>
      <c r="Z153" s="3">
        <v>0</v>
      </c>
      <c r="AA153" s="3" t="s">
        <v>1075</v>
      </c>
      <c r="AD153" s="6">
        <f>ROUND((AG153*(1+AJ153)),2)</f>
        <v>127.53</v>
      </c>
      <c r="AE153" s="99">
        <v>145.33213171</v>
      </c>
      <c r="AF153" s="17">
        <f>(AE153*1)</f>
        <v>145.33213171</v>
      </c>
      <c r="AG153" s="6">
        <f>ROUND((AE153*AI153),2)</f>
        <v>94.47</v>
      </c>
      <c r="AH153" s="30" t="s">
        <v>110</v>
      </c>
      <c r="AI153" s="3">
        <v>0.65</v>
      </c>
      <c r="AJ153" s="18">
        <v>0.35</v>
      </c>
      <c r="AK153" s="6">
        <f>ROUND((AD153-(AD153*BG153)),2)</f>
        <v>126.25</v>
      </c>
      <c r="AL153" s="6">
        <f>ROUND((AD153-(AD153*BH153)),2)</f>
        <v>124.98</v>
      </c>
      <c r="AM153" s="6">
        <f>ROUND((AD153-(AD153*BI153)),2)</f>
        <v>123.7</v>
      </c>
      <c r="AN153" s="6">
        <f>ROUND((AD153-(AD153*BJ153)),2)</f>
        <v>123.7</v>
      </c>
      <c r="AO153" s="6">
        <f>ROUND((AD153-(AD153*BK153)),2)</f>
        <v>127.53</v>
      </c>
      <c r="BG153" s="12">
        <v>0.01</v>
      </c>
      <c r="BH153" s="12">
        <v>0.02</v>
      </c>
      <c r="BI153" s="12">
        <v>0.03</v>
      </c>
      <c r="BJ153" s="12">
        <v>0.03</v>
      </c>
      <c r="BK153" s="12"/>
      <c r="CC153" s="3" t="str">
        <f>IF(B153&lt;&gt;"",CONCATENATE(SUBSTITUTE(B153," ","-"),".jpg"),"")</f>
        <v>Allied-Moulded-AM1426.jpg</v>
      </c>
      <c r="CD153" s="16" t="s">
        <v>111</v>
      </c>
      <c r="CE153" s="3"/>
      <c r="CF153" s="3"/>
      <c r="CG153" s="3" t="s">
        <v>112</v>
      </c>
      <c r="CI153" s="3" t="s">
        <v>97</v>
      </c>
      <c r="CJ153" s="16" t="s">
        <v>348</v>
      </c>
      <c r="CK153" s="3" t="s">
        <v>114</v>
      </c>
      <c r="CL153" s="3" t="s">
        <v>115</v>
      </c>
      <c r="CN153" s="16" t="s">
        <v>349</v>
      </c>
      <c r="CO153" s="16" t="s">
        <v>350</v>
      </c>
      <c r="CP153" s="3" t="s">
        <v>139</v>
      </c>
      <c r="CQ153" s="3" t="s">
        <v>120</v>
      </c>
      <c r="CR153" s="3" t="s">
        <v>140</v>
      </c>
      <c r="CS153" s="3" t="s">
        <v>384</v>
      </c>
      <c r="CT153" s="16" t="s">
        <v>1037</v>
      </c>
      <c r="CU153" s="16" t="s">
        <v>125</v>
      </c>
      <c r="CV153" s="16" t="s">
        <v>351</v>
      </c>
    </row>
    <row r="154" spans="1:100" ht="15" customHeight="1">
      <c r="A154" s="86" t="s">
        <v>1076</v>
      </c>
      <c r="B154" s="80" t="s">
        <v>1077</v>
      </c>
      <c r="C154" s="16" t="s">
        <v>97</v>
      </c>
      <c r="D154" s="80" t="s">
        <v>1078</v>
      </c>
      <c r="E154" s="16" t="s">
        <v>97</v>
      </c>
      <c r="F154" s="150" t="s">
        <v>1079</v>
      </c>
      <c r="I154" s="100" t="s">
        <v>342</v>
      </c>
      <c r="J154" s="16" t="s">
        <v>101</v>
      </c>
      <c r="K154" s="16"/>
      <c r="L154" s="3" t="s">
        <v>102</v>
      </c>
      <c r="M154" s="3" t="s">
        <v>103</v>
      </c>
      <c r="N154" s="3" t="s">
        <v>104</v>
      </c>
      <c r="O154" s="16" t="s">
        <v>343</v>
      </c>
      <c r="P154" s="80" t="s">
        <v>1080</v>
      </c>
      <c r="Q154" s="80" t="s">
        <v>1080</v>
      </c>
      <c r="R154" s="80" t="s">
        <v>1081</v>
      </c>
      <c r="S154" s="80" t="s">
        <v>1082</v>
      </c>
      <c r="T154" s="132" t="s">
        <v>107</v>
      </c>
      <c r="U154" s="97">
        <v>9</v>
      </c>
      <c r="X154" s="31" t="s">
        <v>108</v>
      </c>
      <c r="Y154" s="93">
        <f>IF(AD154=0, 0, IF(OR(H154="", H154&lt;&gt;0), 1, 0))</f>
        <v>1</v>
      </c>
      <c r="Z154" s="3">
        <v>0</v>
      </c>
      <c r="AA154" s="3" t="s">
        <v>1083</v>
      </c>
      <c r="AD154" s="6">
        <f>ROUND((AG154*(1+AJ154)),2)</f>
        <v>134.94999999999999</v>
      </c>
      <c r="AE154" s="99">
        <v>153.77860551000001</v>
      </c>
      <c r="AF154" s="17">
        <f>(AE154*1)</f>
        <v>153.77860551000001</v>
      </c>
      <c r="AG154" s="6">
        <f>ROUND((AE154*AI154),2)</f>
        <v>99.96</v>
      </c>
      <c r="AH154" s="30" t="s">
        <v>110</v>
      </c>
      <c r="AI154" s="3">
        <v>0.65</v>
      </c>
      <c r="AJ154" s="18">
        <v>0.35</v>
      </c>
      <c r="AK154" s="6">
        <f>ROUND((AD154-(AD154*BG154)),2)</f>
        <v>133.6</v>
      </c>
      <c r="AL154" s="6">
        <f>ROUND((AD154-(AD154*BH154)),2)</f>
        <v>132.25</v>
      </c>
      <c r="AM154" s="6">
        <f>ROUND((AD154-(AD154*BI154)),2)</f>
        <v>130.9</v>
      </c>
      <c r="AN154" s="6">
        <f>ROUND((AD154-(AD154*BJ154)),2)</f>
        <v>130.9</v>
      </c>
      <c r="AO154" s="6">
        <f>ROUND((AD154-(AD154*BK154)),2)</f>
        <v>134.94999999999999</v>
      </c>
      <c r="BG154" s="12">
        <v>0.01</v>
      </c>
      <c r="BH154" s="12">
        <v>0.02</v>
      </c>
      <c r="BI154" s="12">
        <v>0.03</v>
      </c>
      <c r="BJ154" s="12">
        <v>0.03</v>
      </c>
      <c r="BK154" s="12"/>
      <c r="CC154" s="3" t="str">
        <f>IF(B154&lt;&gt;"",CONCATENATE(SUBSTITUTE(B154," ","-"),".jpg"),"")</f>
        <v>Allied-Moulded-AM1426H.jpg</v>
      </c>
      <c r="CD154" s="16" t="s">
        <v>111</v>
      </c>
      <c r="CE154" s="3"/>
      <c r="CF154" s="3"/>
      <c r="CG154" s="3" t="s">
        <v>112</v>
      </c>
      <c r="CI154" s="3" t="s">
        <v>97</v>
      </c>
      <c r="CJ154" s="16" t="s">
        <v>348</v>
      </c>
      <c r="CK154" s="3" t="s">
        <v>114</v>
      </c>
      <c r="CL154" s="3" t="s">
        <v>115</v>
      </c>
      <c r="CM154" s="3" t="s">
        <v>116</v>
      </c>
      <c r="CN154" s="16" t="s">
        <v>349</v>
      </c>
      <c r="CO154" s="16" t="s">
        <v>350</v>
      </c>
      <c r="CP154" s="3" t="s">
        <v>139</v>
      </c>
      <c r="CQ154" s="3" t="s">
        <v>120</v>
      </c>
      <c r="CR154" s="3" t="s">
        <v>140</v>
      </c>
      <c r="CS154" s="3" t="s">
        <v>384</v>
      </c>
      <c r="CT154" s="16" t="s">
        <v>1037</v>
      </c>
      <c r="CU154" s="16" t="s">
        <v>125</v>
      </c>
      <c r="CV154" s="16" t="s">
        <v>351</v>
      </c>
    </row>
    <row r="155" spans="1:100" ht="15" customHeight="1">
      <c r="A155" s="86" t="s">
        <v>1084</v>
      </c>
      <c r="B155" s="80" t="s">
        <v>1085</v>
      </c>
      <c r="C155" s="16" t="s">
        <v>97</v>
      </c>
      <c r="D155" s="80" t="s">
        <v>1086</v>
      </c>
      <c r="E155" s="16" t="s">
        <v>97</v>
      </c>
      <c r="F155" s="150" t="s">
        <v>1087</v>
      </c>
      <c r="I155" s="100" t="s">
        <v>342</v>
      </c>
      <c r="J155" s="16" t="s">
        <v>101</v>
      </c>
      <c r="K155" s="16"/>
      <c r="L155" s="3" t="s">
        <v>102</v>
      </c>
      <c r="M155" s="3" t="s">
        <v>103</v>
      </c>
      <c r="N155" s="3" t="s">
        <v>104</v>
      </c>
      <c r="O155" s="16" t="s">
        <v>343</v>
      </c>
      <c r="P155" s="80" t="s">
        <v>1088</v>
      </c>
      <c r="Q155" s="80" t="s">
        <v>1088</v>
      </c>
      <c r="R155" s="80" t="s">
        <v>1089</v>
      </c>
      <c r="S155" s="80" t="s">
        <v>1090</v>
      </c>
      <c r="T155" s="132" t="s">
        <v>107</v>
      </c>
      <c r="U155" s="97">
        <v>9</v>
      </c>
      <c r="X155" s="31" t="s">
        <v>108</v>
      </c>
      <c r="Y155" s="93">
        <f>IF(AD155=0, 0, IF(OR(H155="", H155&lt;&gt;0), 1, 0))</f>
        <v>1</v>
      </c>
      <c r="Z155" s="3">
        <v>0</v>
      </c>
      <c r="AA155" s="3" t="s">
        <v>1091</v>
      </c>
      <c r="AD155" s="6">
        <f>ROUND((AG155*(1+AJ155)),2)</f>
        <v>158.21</v>
      </c>
      <c r="AE155" s="99">
        <v>180.29701125999995</v>
      </c>
      <c r="AF155" s="17">
        <f>(AE155*1)</f>
        <v>180.29701125999995</v>
      </c>
      <c r="AG155" s="6">
        <f>ROUND((AE155*AI155),2)</f>
        <v>117.19</v>
      </c>
      <c r="AH155" s="30" t="s">
        <v>110</v>
      </c>
      <c r="AI155" s="3">
        <v>0.65</v>
      </c>
      <c r="AJ155" s="18">
        <v>0.35</v>
      </c>
      <c r="AK155" s="6">
        <f>ROUND((AD155-(AD155*BG155)),2)</f>
        <v>156.63</v>
      </c>
      <c r="AL155" s="6">
        <f>ROUND((AD155-(AD155*BH155)),2)</f>
        <v>155.05000000000001</v>
      </c>
      <c r="AM155" s="6">
        <f>ROUND((AD155-(AD155*BI155)),2)</f>
        <v>153.46</v>
      </c>
      <c r="AN155" s="6">
        <f>ROUND((AD155-(AD155*BJ155)),2)</f>
        <v>153.46</v>
      </c>
      <c r="AO155" s="6">
        <f>ROUND((AD155-(AD155*BK155)),2)</f>
        <v>158.21</v>
      </c>
      <c r="BG155" s="12">
        <v>0.01</v>
      </c>
      <c r="BH155" s="12">
        <v>0.02</v>
      </c>
      <c r="BI155" s="12">
        <v>0.03</v>
      </c>
      <c r="BJ155" s="12">
        <v>0.03</v>
      </c>
      <c r="BK155" s="12"/>
      <c r="BQ155" s="24"/>
      <c r="BR155" s="24"/>
      <c r="BS155" s="24"/>
      <c r="BT155" s="24"/>
      <c r="BU155" s="24"/>
      <c r="BV155" s="24"/>
      <c r="BW155" s="24"/>
      <c r="BX155" s="24"/>
      <c r="BY155" s="24"/>
      <c r="BZ155" s="24"/>
      <c r="CA155" s="24"/>
      <c r="CB155" s="24"/>
      <c r="CC155" s="3" t="str">
        <f>IF(B155&lt;&gt;"",CONCATENATE(SUBSTITUTE(B155," ","-"),".jpg"),"")</f>
        <v>Allied-Moulded-AM1426L.jpg</v>
      </c>
      <c r="CD155" s="16" t="s">
        <v>111</v>
      </c>
      <c r="CE155" s="3"/>
      <c r="CF155" s="3"/>
      <c r="CG155" s="3" t="s">
        <v>112</v>
      </c>
      <c r="CI155" s="3" t="s">
        <v>97</v>
      </c>
      <c r="CJ155" s="16" t="s">
        <v>348</v>
      </c>
      <c r="CK155" s="3" t="s">
        <v>114</v>
      </c>
      <c r="CL155" s="3" t="s">
        <v>115</v>
      </c>
      <c r="CM155" s="3" t="s">
        <v>116</v>
      </c>
      <c r="CN155" s="16" t="s">
        <v>368</v>
      </c>
      <c r="CO155" s="16" t="s">
        <v>350</v>
      </c>
      <c r="CP155" s="3" t="s">
        <v>139</v>
      </c>
      <c r="CQ155" s="3" t="s">
        <v>120</v>
      </c>
      <c r="CR155" s="3" t="s">
        <v>140</v>
      </c>
      <c r="CS155" s="16" t="s">
        <v>122</v>
      </c>
      <c r="CT155" s="16" t="s">
        <v>1037</v>
      </c>
      <c r="CU155" s="16" t="s">
        <v>125</v>
      </c>
      <c r="CV155" s="16" t="s">
        <v>351</v>
      </c>
    </row>
    <row r="156" spans="1:100" ht="15" customHeight="1">
      <c r="A156" s="86" t="s">
        <v>1092</v>
      </c>
      <c r="B156" s="80" t="s">
        <v>1093</v>
      </c>
      <c r="C156" s="16" t="s">
        <v>97</v>
      </c>
      <c r="D156" s="80" t="s">
        <v>1094</v>
      </c>
      <c r="E156" s="16" t="s">
        <v>97</v>
      </c>
      <c r="F156" s="150" t="s">
        <v>1095</v>
      </c>
      <c r="I156" s="100" t="s">
        <v>342</v>
      </c>
      <c r="J156" s="16" t="s">
        <v>101</v>
      </c>
      <c r="K156" s="16"/>
      <c r="L156" s="3" t="s">
        <v>102</v>
      </c>
      <c r="M156" s="3" t="s">
        <v>103</v>
      </c>
      <c r="N156" s="3" t="s">
        <v>104</v>
      </c>
      <c r="O156" s="16" t="s">
        <v>343</v>
      </c>
      <c r="P156" s="80" t="s">
        <v>1096</v>
      </c>
      <c r="Q156" s="80" t="s">
        <v>1096</v>
      </c>
      <c r="R156" s="80" t="s">
        <v>1097</v>
      </c>
      <c r="S156" s="80" t="s">
        <v>1098</v>
      </c>
      <c r="T156" s="132" t="s">
        <v>107</v>
      </c>
      <c r="U156" s="97">
        <v>9</v>
      </c>
      <c r="X156" s="31" t="s">
        <v>108</v>
      </c>
      <c r="Y156" s="93">
        <f>IF(AD156=0, 0, IF(OR(H156="", H156&lt;&gt;0), 1, 0))</f>
        <v>1</v>
      </c>
      <c r="Z156" s="3">
        <v>0</v>
      </c>
      <c r="AA156" s="3" t="s">
        <v>1099</v>
      </c>
      <c r="AD156" s="6">
        <f>ROUND((AG156*(1+AJ156)),2)</f>
        <v>158.21</v>
      </c>
      <c r="AE156" s="99">
        <v>180.29701125999995</v>
      </c>
      <c r="AF156" s="17">
        <f>(AE156*1)</f>
        <v>180.29701125999995</v>
      </c>
      <c r="AG156" s="6">
        <f>ROUND((AE156*AI156),2)</f>
        <v>117.19</v>
      </c>
      <c r="AH156" s="30" t="s">
        <v>110</v>
      </c>
      <c r="AI156" s="3">
        <v>0.65</v>
      </c>
      <c r="AJ156" s="18">
        <v>0.35</v>
      </c>
      <c r="AK156" s="6">
        <f>ROUND((AD156-(AD156*BG156)),2)</f>
        <v>156.63</v>
      </c>
      <c r="AL156" s="6">
        <f>ROUND((AD156-(AD156*BH156)),2)</f>
        <v>155.05000000000001</v>
      </c>
      <c r="AM156" s="6">
        <f>ROUND((AD156-(AD156*BI156)),2)</f>
        <v>153.46</v>
      </c>
      <c r="AN156" s="6">
        <f>ROUND((AD156-(AD156*BJ156)),2)</f>
        <v>153.46</v>
      </c>
      <c r="AO156" s="6">
        <f>ROUND((AD156-(AD156*BK156)),2)</f>
        <v>158.21</v>
      </c>
      <c r="BG156" s="12">
        <v>0.01</v>
      </c>
      <c r="BH156" s="12">
        <v>0.02</v>
      </c>
      <c r="BI156" s="12">
        <v>0.03</v>
      </c>
      <c r="BJ156" s="12">
        <v>0.03</v>
      </c>
      <c r="BK156" s="12"/>
      <c r="CC156" s="3" t="str">
        <f>IF(B156&lt;&gt;"",CONCATENATE(SUBSTITUTE(B156," ","-"),".jpg"),"")</f>
        <v>Allied-Moulded-AM1426T.jpg</v>
      </c>
      <c r="CD156" s="16" t="s">
        <v>111</v>
      </c>
      <c r="CE156" s="3"/>
      <c r="CF156" s="3"/>
      <c r="CG156" s="3" t="s">
        <v>112</v>
      </c>
      <c r="CI156" s="3" t="s">
        <v>97</v>
      </c>
      <c r="CJ156" s="16" t="s">
        <v>348</v>
      </c>
      <c r="CK156" s="3" t="s">
        <v>114</v>
      </c>
      <c r="CL156" s="3" t="s">
        <v>115</v>
      </c>
      <c r="CM156" s="3" t="s">
        <v>116</v>
      </c>
      <c r="CN156" s="16" t="s">
        <v>132</v>
      </c>
      <c r="CO156" s="16" t="s">
        <v>350</v>
      </c>
      <c r="CP156" s="3" t="s">
        <v>139</v>
      </c>
      <c r="CQ156" s="3" t="s">
        <v>120</v>
      </c>
      <c r="CR156" s="3" t="s">
        <v>140</v>
      </c>
      <c r="CS156" s="16" t="s">
        <v>122</v>
      </c>
      <c r="CT156" s="16" t="s">
        <v>1037</v>
      </c>
      <c r="CU156" s="16" t="s">
        <v>125</v>
      </c>
      <c r="CV156" s="16" t="s">
        <v>351</v>
      </c>
    </row>
    <row r="157" spans="1:100" ht="15" customHeight="1">
      <c r="A157" s="86" t="s">
        <v>1100</v>
      </c>
      <c r="B157" s="80" t="s">
        <v>1101</v>
      </c>
      <c r="C157" s="16" t="s">
        <v>97</v>
      </c>
      <c r="D157" s="80" t="s">
        <v>1102</v>
      </c>
      <c r="E157" s="16" t="s">
        <v>97</v>
      </c>
      <c r="F157" s="150" t="s">
        <v>1103</v>
      </c>
      <c r="I157" s="100" t="s">
        <v>342</v>
      </c>
      <c r="J157" s="16" t="s">
        <v>101</v>
      </c>
      <c r="K157" s="16"/>
      <c r="L157" s="3" t="s">
        <v>102</v>
      </c>
      <c r="M157" s="3" t="s">
        <v>103</v>
      </c>
      <c r="N157" s="3" t="s">
        <v>104</v>
      </c>
      <c r="O157" s="16" t="s">
        <v>343</v>
      </c>
      <c r="P157" s="80" t="s">
        <v>1104</v>
      </c>
      <c r="Q157" s="80" t="s">
        <v>1104</v>
      </c>
      <c r="R157" s="80" t="s">
        <v>1105</v>
      </c>
      <c r="S157" s="80" t="s">
        <v>1106</v>
      </c>
      <c r="T157" s="132" t="s">
        <v>107</v>
      </c>
      <c r="U157" s="97">
        <v>9</v>
      </c>
      <c r="X157" s="31" t="s">
        <v>108</v>
      </c>
      <c r="Y157" s="93">
        <f>IF(AD157=0, 0, IF(OR(H157="", H157&lt;&gt;0), 1, 0))</f>
        <v>1</v>
      </c>
      <c r="Z157" s="3">
        <v>0</v>
      </c>
      <c r="AA157" s="3" t="s">
        <v>1107</v>
      </c>
      <c r="AD157" s="6">
        <f>ROUND((AG157*(1+AJ157)),2)</f>
        <v>236.8</v>
      </c>
      <c r="AE157" s="99">
        <v>269.86687422</v>
      </c>
      <c r="AF157" s="17">
        <f>(AE157*1)</f>
        <v>269.86687422</v>
      </c>
      <c r="AG157" s="6">
        <f>ROUND((AE157*AI157),2)</f>
        <v>175.41</v>
      </c>
      <c r="AH157" s="30" t="s">
        <v>110</v>
      </c>
      <c r="AI157" s="3">
        <v>0.65</v>
      </c>
      <c r="AJ157" s="18">
        <v>0.35</v>
      </c>
      <c r="AK157" s="6">
        <f>ROUND((AD157-(AD157*BG157)),2)</f>
        <v>234.43</v>
      </c>
      <c r="AL157" s="6">
        <f>ROUND((AD157-(AD157*BH157)),2)</f>
        <v>232.06</v>
      </c>
      <c r="AM157" s="6">
        <f>ROUND((AD157-(AD157*BI157)),2)</f>
        <v>229.7</v>
      </c>
      <c r="AN157" s="6">
        <f>ROUND((AD157-(AD157*BJ157)),2)</f>
        <v>229.7</v>
      </c>
      <c r="AO157" s="6">
        <f>ROUND((AD157-(AD157*BK157)),2)</f>
        <v>236.8</v>
      </c>
      <c r="BG157" s="12">
        <v>0.01</v>
      </c>
      <c r="BH157" s="12">
        <v>0.02</v>
      </c>
      <c r="BI157" s="12">
        <v>0.03</v>
      </c>
      <c r="BJ157" s="12">
        <v>0.03</v>
      </c>
      <c r="BK157" s="12"/>
      <c r="CC157" s="3" t="str">
        <f>IF(B157&lt;&gt;"",CONCATENATE(SUBSTITUTE(B157," ","-"),".jpg"),"")</f>
        <v>Allied-Moulded-AM1426W.jpg</v>
      </c>
      <c r="CD157" s="16" t="s">
        <v>111</v>
      </c>
      <c r="CE157" s="3"/>
      <c r="CF157" s="3"/>
      <c r="CG157" s="3" t="s">
        <v>112</v>
      </c>
      <c r="CI157" s="3" t="s">
        <v>97</v>
      </c>
      <c r="CJ157" s="16" t="s">
        <v>348</v>
      </c>
      <c r="CK157" s="3" t="s">
        <v>114</v>
      </c>
      <c r="CL157" s="3" t="s">
        <v>115</v>
      </c>
      <c r="CM157" s="16"/>
      <c r="CN157" s="16" t="s">
        <v>349</v>
      </c>
      <c r="CO157" s="16" t="s">
        <v>350</v>
      </c>
      <c r="CP157" s="3" t="s">
        <v>139</v>
      </c>
      <c r="CQ157" s="3" t="s">
        <v>120</v>
      </c>
      <c r="CR157" s="16" t="s">
        <v>121</v>
      </c>
      <c r="CS157" s="16" t="s">
        <v>122</v>
      </c>
      <c r="CT157" s="16" t="s">
        <v>1037</v>
      </c>
      <c r="CU157" s="16" t="s">
        <v>125</v>
      </c>
      <c r="CV157" s="16" t="s">
        <v>351</v>
      </c>
    </row>
    <row r="158" spans="1:100" ht="15" customHeight="1">
      <c r="A158" s="86" t="s">
        <v>1108</v>
      </c>
      <c r="B158" s="80" t="s">
        <v>1109</v>
      </c>
      <c r="C158" s="16" t="s">
        <v>97</v>
      </c>
      <c r="D158" s="80" t="s">
        <v>1110</v>
      </c>
      <c r="E158" s="16" t="s">
        <v>97</v>
      </c>
      <c r="F158" s="150" t="s">
        <v>1111</v>
      </c>
      <c r="I158" s="100" t="s">
        <v>342</v>
      </c>
      <c r="J158" s="16" t="s">
        <v>101</v>
      </c>
      <c r="K158" s="16"/>
      <c r="L158" s="3" t="s">
        <v>102</v>
      </c>
      <c r="M158" s="3" t="s">
        <v>103</v>
      </c>
      <c r="N158" s="3" t="s">
        <v>104</v>
      </c>
      <c r="O158" s="16" t="s">
        <v>343</v>
      </c>
      <c r="P158" s="80" t="s">
        <v>1112</v>
      </c>
      <c r="Q158" s="80" t="s">
        <v>1112</v>
      </c>
      <c r="R158" s="80" t="s">
        <v>1113</v>
      </c>
      <c r="S158" s="80" t="s">
        <v>1114</v>
      </c>
      <c r="T158" s="132" t="s">
        <v>107</v>
      </c>
      <c r="U158" s="6">
        <v>9</v>
      </c>
      <c r="X158" s="31" t="s">
        <v>108</v>
      </c>
      <c r="Y158" s="93">
        <f>IF(AD158=0, 0, IF(OR(H158="", H158&lt;&gt;0), 1, 0))</f>
        <v>1</v>
      </c>
      <c r="Z158" s="3">
        <v>0</v>
      </c>
      <c r="AA158" s="3" t="s">
        <v>1115</v>
      </c>
      <c r="AD158" s="6">
        <f>ROUND((AG158*(1+AJ158)),2)</f>
        <v>238.96</v>
      </c>
      <c r="AE158" s="67">
        <v>272.32444701000003</v>
      </c>
      <c r="AF158" s="17">
        <f>(AE158*1)</f>
        <v>272.32444701000003</v>
      </c>
      <c r="AG158" s="6">
        <f>ROUND((AE158*AI158),2)</f>
        <v>177.01</v>
      </c>
      <c r="AH158" s="30" t="s">
        <v>110</v>
      </c>
      <c r="AI158" s="3">
        <v>0.65</v>
      </c>
      <c r="AJ158" s="18">
        <v>0.35</v>
      </c>
      <c r="AK158" s="6">
        <f>ROUND((AD158-(AD158*BG158)),2)</f>
        <v>236.57</v>
      </c>
      <c r="AL158" s="6">
        <f>ROUND((AD158-(AD158*BH158)),2)</f>
        <v>234.18</v>
      </c>
      <c r="AM158" s="6">
        <f>ROUND((AD158-(AD158*BI158)),2)</f>
        <v>231.79</v>
      </c>
      <c r="AN158" s="6">
        <f>ROUND((AD158-(AD158*BJ158)),2)</f>
        <v>231.79</v>
      </c>
      <c r="AO158" s="6">
        <f>ROUND((AD158-(AD158*BK158)),2)</f>
        <v>238.96</v>
      </c>
      <c r="BG158" s="12">
        <v>0.01</v>
      </c>
      <c r="BH158" s="12">
        <v>0.02</v>
      </c>
      <c r="BI158" s="12">
        <v>0.03</v>
      </c>
      <c r="BJ158" s="12">
        <v>0.03</v>
      </c>
      <c r="BK158" s="12"/>
      <c r="BQ158" s="24"/>
      <c r="BR158" s="24"/>
      <c r="BS158" s="24"/>
      <c r="BT158" s="24"/>
      <c r="BU158" s="24"/>
      <c r="BV158" s="24"/>
      <c r="BW158" s="24"/>
      <c r="BX158" s="24"/>
      <c r="BY158" s="24"/>
      <c r="BZ158" s="24"/>
      <c r="CA158" s="24"/>
      <c r="CB158" s="24"/>
      <c r="CC158" s="3" t="str">
        <f>IF(B158&lt;&gt;"",CONCATENATE(SUBSTITUTE(B158," ","-"),".jpg"),"")</f>
        <v>Allied-Moulded-AM1426HW.jpg</v>
      </c>
      <c r="CD158" s="16" t="s">
        <v>111</v>
      </c>
      <c r="CE158" s="3"/>
      <c r="CF158" s="3"/>
      <c r="CG158" s="3" t="s">
        <v>112</v>
      </c>
      <c r="CI158" s="3" t="s">
        <v>97</v>
      </c>
      <c r="CJ158" s="16" t="s">
        <v>348</v>
      </c>
      <c r="CK158" s="3" t="s">
        <v>114</v>
      </c>
      <c r="CL158" s="3" t="s">
        <v>115</v>
      </c>
      <c r="CM158" s="3" t="s">
        <v>116</v>
      </c>
      <c r="CN158" s="16" t="s">
        <v>349</v>
      </c>
      <c r="CO158" s="16" t="s">
        <v>350</v>
      </c>
      <c r="CP158" s="3" t="s">
        <v>139</v>
      </c>
      <c r="CQ158" s="3" t="s">
        <v>120</v>
      </c>
      <c r="CR158" s="16" t="s">
        <v>121</v>
      </c>
      <c r="CS158" s="16" t="s">
        <v>122</v>
      </c>
      <c r="CT158" s="16" t="s">
        <v>1037</v>
      </c>
      <c r="CU158" s="16" t="s">
        <v>125</v>
      </c>
      <c r="CV158" s="16" t="s">
        <v>351</v>
      </c>
    </row>
    <row r="159" spans="1:100" ht="15" customHeight="1">
      <c r="A159" s="86" t="s">
        <v>1116</v>
      </c>
      <c r="B159" s="80" t="s">
        <v>1117</v>
      </c>
      <c r="C159" s="16" t="s">
        <v>97</v>
      </c>
      <c r="D159" s="94" t="s">
        <v>1118</v>
      </c>
      <c r="E159" s="16" t="s">
        <v>97</v>
      </c>
      <c r="F159" s="132" t="s">
        <v>1119</v>
      </c>
      <c r="I159" s="100" t="s">
        <v>342</v>
      </c>
      <c r="J159" s="16" t="s">
        <v>101</v>
      </c>
      <c r="K159" s="16"/>
      <c r="L159" s="3" t="s">
        <v>102</v>
      </c>
      <c r="M159" s="3" t="s">
        <v>103</v>
      </c>
      <c r="N159" s="3" t="s">
        <v>104</v>
      </c>
      <c r="O159" s="16" t="s">
        <v>343</v>
      </c>
      <c r="P159" s="80" t="s">
        <v>1120</v>
      </c>
      <c r="Q159" s="80" t="s">
        <v>1120</v>
      </c>
      <c r="R159" s="80" t="s">
        <v>1121</v>
      </c>
      <c r="S159" s="80" t="s">
        <v>1122</v>
      </c>
      <c r="T159" s="132" t="s">
        <v>107</v>
      </c>
      <c r="U159" s="96">
        <v>9</v>
      </c>
      <c r="X159" s="31" t="s">
        <v>108</v>
      </c>
      <c r="Y159" s="93">
        <f>IF(AD159=0, 0, IF(OR(H159="", H159&lt;&gt;0), 1, 0))</f>
        <v>1</v>
      </c>
      <c r="Z159" s="3">
        <v>0</v>
      </c>
      <c r="AA159" s="3" t="s">
        <v>1123</v>
      </c>
      <c r="AD159" s="6">
        <f>ROUND((AG159*(1+AJ159)),2)</f>
        <v>261.63</v>
      </c>
      <c r="AE159" s="98">
        <v>298.15589528999999</v>
      </c>
      <c r="AF159" s="17">
        <f>(AE159*1)</f>
        <v>298.15589528999999</v>
      </c>
      <c r="AG159" s="6">
        <f>ROUND((AE159*AI159),2)</f>
        <v>193.8</v>
      </c>
      <c r="AH159" s="30" t="s">
        <v>110</v>
      </c>
      <c r="AI159" s="3">
        <v>0.65</v>
      </c>
      <c r="AJ159" s="18">
        <v>0.35</v>
      </c>
      <c r="AK159" s="6">
        <f>ROUND((AD159-(AD159*BG159)),2)</f>
        <v>259.01</v>
      </c>
      <c r="AL159" s="6">
        <f>ROUND((AD159-(AD159*BH159)),2)</f>
        <v>256.39999999999998</v>
      </c>
      <c r="AM159" s="6">
        <f>ROUND((AD159-(AD159*BI159)),2)</f>
        <v>253.78</v>
      </c>
      <c r="AN159" s="6">
        <f>ROUND((AD159-(AD159*BJ159)),2)</f>
        <v>253.78</v>
      </c>
      <c r="AO159" s="6">
        <f>ROUND((AD159-(AD159*BK159)),2)</f>
        <v>261.63</v>
      </c>
      <c r="BG159" s="12">
        <v>0.01</v>
      </c>
      <c r="BH159" s="12">
        <v>0.02</v>
      </c>
      <c r="BI159" s="12">
        <v>0.03</v>
      </c>
      <c r="BJ159" s="12">
        <v>0.03</v>
      </c>
      <c r="BK159" s="12"/>
      <c r="CC159" s="3" t="str">
        <f>IF(B159&lt;&gt;"",CONCATENATE(SUBSTITUTE(B159," ","-"),".jpg"),"")</f>
        <v>Allied-Moulded-AM1426LW.jpg</v>
      </c>
      <c r="CD159" s="16" t="s">
        <v>111</v>
      </c>
      <c r="CE159" s="3"/>
      <c r="CF159" s="3"/>
      <c r="CG159" s="3" t="s">
        <v>112</v>
      </c>
      <c r="CI159" s="3" t="s">
        <v>97</v>
      </c>
      <c r="CJ159" s="16" t="s">
        <v>348</v>
      </c>
      <c r="CK159" s="3" t="s">
        <v>114</v>
      </c>
      <c r="CL159" s="3" t="s">
        <v>115</v>
      </c>
      <c r="CM159" s="3" t="s">
        <v>116</v>
      </c>
      <c r="CN159" s="16" t="s">
        <v>368</v>
      </c>
      <c r="CO159" s="16" t="s">
        <v>350</v>
      </c>
      <c r="CP159" s="3" t="s">
        <v>139</v>
      </c>
      <c r="CQ159" s="3" t="s">
        <v>120</v>
      </c>
      <c r="CR159" s="16" t="s">
        <v>121</v>
      </c>
      <c r="CS159" s="16" t="s">
        <v>122</v>
      </c>
      <c r="CT159" s="16" t="s">
        <v>1037</v>
      </c>
      <c r="CU159" s="16" t="s">
        <v>125</v>
      </c>
      <c r="CV159" s="16" t="s">
        <v>351</v>
      </c>
    </row>
    <row r="160" spans="1:100" ht="15" customHeight="1">
      <c r="A160" s="86" t="s">
        <v>1124</v>
      </c>
      <c r="B160" s="80" t="s">
        <v>1125</v>
      </c>
      <c r="C160" s="16" t="s">
        <v>97</v>
      </c>
      <c r="D160" s="80" t="s">
        <v>1126</v>
      </c>
      <c r="E160" s="16" t="s">
        <v>97</v>
      </c>
      <c r="F160" s="150" t="s">
        <v>1127</v>
      </c>
      <c r="I160" s="100" t="s">
        <v>342</v>
      </c>
      <c r="J160" s="16" t="s">
        <v>101</v>
      </c>
      <c r="K160" s="16"/>
      <c r="L160" s="3" t="s">
        <v>102</v>
      </c>
      <c r="M160" s="3" t="s">
        <v>103</v>
      </c>
      <c r="N160" s="3" t="s">
        <v>104</v>
      </c>
      <c r="O160" s="16" t="s">
        <v>343</v>
      </c>
      <c r="P160" s="80" t="s">
        <v>1128</v>
      </c>
      <c r="Q160" s="80" t="s">
        <v>1128</v>
      </c>
      <c r="R160" s="80" t="s">
        <v>1129</v>
      </c>
      <c r="S160" s="80" t="s">
        <v>1130</v>
      </c>
      <c r="T160" s="132" t="s">
        <v>107</v>
      </c>
      <c r="U160" s="97">
        <v>9</v>
      </c>
      <c r="X160" s="31" t="s">
        <v>108</v>
      </c>
      <c r="Y160" s="93">
        <f>IF(AD160=0, 0, IF(OR(H160="", H160&lt;&gt;0), 1, 0))</f>
        <v>1</v>
      </c>
      <c r="Z160" s="3">
        <v>0</v>
      </c>
      <c r="AA160" s="3" t="s">
        <v>1131</v>
      </c>
      <c r="AD160" s="6">
        <f>ROUND((AG160*(1+AJ160)),2)</f>
        <v>261.63</v>
      </c>
      <c r="AE160" s="99">
        <v>298.15589528999999</v>
      </c>
      <c r="AF160" s="17">
        <f>(AE160*1)</f>
        <v>298.15589528999999</v>
      </c>
      <c r="AG160" s="6">
        <f>ROUND((AE160*AI160),2)</f>
        <v>193.8</v>
      </c>
      <c r="AH160" s="30" t="s">
        <v>110</v>
      </c>
      <c r="AI160" s="3">
        <v>0.65</v>
      </c>
      <c r="AJ160" s="18">
        <v>0.35</v>
      </c>
      <c r="AK160" s="6">
        <f>ROUND((AD160-(AD160*BG160)),2)</f>
        <v>259.01</v>
      </c>
      <c r="AL160" s="6">
        <f>ROUND((AD160-(AD160*BH160)),2)</f>
        <v>256.39999999999998</v>
      </c>
      <c r="AM160" s="6">
        <f>ROUND((AD160-(AD160*BI160)),2)</f>
        <v>253.78</v>
      </c>
      <c r="AN160" s="6">
        <f>ROUND((AD160-(AD160*BJ160)),2)</f>
        <v>253.78</v>
      </c>
      <c r="AO160" s="6">
        <f>ROUND((AD160-(AD160*BK160)),2)</f>
        <v>261.63</v>
      </c>
      <c r="BG160" s="12">
        <v>0.01</v>
      </c>
      <c r="BH160" s="12">
        <v>0.02</v>
      </c>
      <c r="BI160" s="12">
        <v>0.03</v>
      </c>
      <c r="BJ160" s="12">
        <v>0.03</v>
      </c>
      <c r="BK160" s="12"/>
      <c r="CC160" s="3" t="str">
        <f>IF(B160&lt;&gt;"",CONCATENATE(SUBSTITUTE(B160," ","-"),".jpg"),"")</f>
        <v>Allied-Moulded-AM1426TW.jpg</v>
      </c>
      <c r="CD160" s="16" t="s">
        <v>111</v>
      </c>
      <c r="CE160" s="3"/>
      <c r="CF160" s="3"/>
      <c r="CG160" s="3" t="s">
        <v>112</v>
      </c>
      <c r="CI160" s="3" t="s">
        <v>97</v>
      </c>
      <c r="CJ160" s="16" t="s">
        <v>348</v>
      </c>
      <c r="CK160" s="3" t="s">
        <v>114</v>
      </c>
      <c r="CL160" s="3" t="s">
        <v>115</v>
      </c>
      <c r="CM160" s="3" t="s">
        <v>116</v>
      </c>
      <c r="CN160" s="16" t="s">
        <v>132</v>
      </c>
      <c r="CO160" s="16" t="s">
        <v>350</v>
      </c>
      <c r="CP160" s="3" t="s">
        <v>139</v>
      </c>
      <c r="CQ160" s="3" t="s">
        <v>120</v>
      </c>
      <c r="CR160" s="16" t="s">
        <v>121</v>
      </c>
      <c r="CS160" s="16" t="s">
        <v>122</v>
      </c>
      <c r="CT160" s="16" t="s">
        <v>1037</v>
      </c>
      <c r="CU160" s="16" t="s">
        <v>125</v>
      </c>
      <c r="CV160" s="16" t="s">
        <v>351</v>
      </c>
    </row>
    <row r="161" spans="1:100" ht="15" customHeight="1">
      <c r="A161" t="s">
        <v>1132</v>
      </c>
      <c r="B161" s="3" t="s">
        <v>1133</v>
      </c>
      <c r="C161" s="16" t="s">
        <v>97</v>
      </c>
      <c r="D161" s="39" t="s">
        <v>1134</v>
      </c>
      <c r="E161" s="16" t="s">
        <v>97</v>
      </c>
      <c r="F161" s="131" t="s">
        <v>1135</v>
      </c>
      <c r="I161" s="100" t="s">
        <v>342</v>
      </c>
      <c r="J161" s="16" t="s">
        <v>101</v>
      </c>
      <c r="K161" s="16"/>
      <c r="L161" s="3" t="s">
        <v>102</v>
      </c>
      <c r="M161" s="3" t="s">
        <v>103</v>
      </c>
      <c r="N161" s="3" t="s">
        <v>104</v>
      </c>
      <c r="O161" s="16" t="s">
        <v>105</v>
      </c>
      <c r="P161" s="3" t="s">
        <v>1136</v>
      </c>
      <c r="Q161" s="3" t="s">
        <v>1136</v>
      </c>
      <c r="R161" s="3" t="s">
        <v>1136</v>
      </c>
      <c r="S161" t="s">
        <v>1132</v>
      </c>
      <c r="T161" s="130" t="s">
        <v>107</v>
      </c>
      <c r="U161" s="50">
        <v>9</v>
      </c>
      <c r="V161" s="54"/>
      <c r="W161" s="54"/>
      <c r="X161" s="59" t="s">
        <v>108</v>
      </c>
      <c r="Y161" s="93">
        <f>IF(AD161=0, 0, IF(OR(H161="", H161&lt;&gt;0), 1, 0))</f>
        <v>1</v>
      </c>
      <c r="Z161" s="3">
        <v>0</v>
      </c>
      <c r="AA161" s="3" t="s">
        <v>1137</v>
      </c>
      <c r="AD161" s="6">
        <f>ROUND((AG161*(1+AJ161)),2)</f>
        <v>133.34</v>
      </c>
      <c r="AE161" s="69">
        <v>151.94853550000002</v>
      </c>
      <c r="AF161" s="17">
        <f>(AE161*1)</f>
        <v>151.94853550000002</v>
      </c>
      <c r="AG161" s="6">
        <f>ROUND((AE161*AI161),2)</f>
        <v>98.77</v>
      </c>
      <c r="AH161" s="30" t="s">
        <v>110</v>
      </c>
      <c r="AI161" s="3">
        <v>0.65</v>
      </c>
      <c r="AJ161" s="18">
        <v>0.35</v>
      </c>
      <c r="AK161" s="6">
        <f>ROUND((AD161-(AD161*BG161)),2)</f>
        <v>132.01</v>
      </c>
      <c r="AL161" s="6">
        <f>ROUND((AD161-(AD161*BH161)),2)</f>
        <v>130.66999999999999</v>
      </c>
      <c r="AM161" s="6">
        <f>ROUND((AD161-(AD161*BI161)),2)</f>
        <v>129.34</v>
      </c>
      <c r="AN161" s="6">
        <f>ROUND((AD161-(AD161*BJ161)),2)</f>
        <v>129.34</v>
      </c>
      <c r="AO161" s="6">
        <f>ROUND((AD161-(AD161*BK161)),2)</f>
        <v>133.34</v>
      </c>
      <c r="BG161" s="12">
        <v>0.01</v>
      </c>
      <c r="BH161" s="12">
        <v>0.02</v>
      </c>
      <c r="BI161" s="12">
        <v>0.03</v>
      </c>
      <c r="BJ161" s="12">
        <v>0.03</v>
      </c>
      <c r="CC161" s="3" t="str">
        <f>IF(B161&lt;&gt;"",CONCATENATE(SUBSTITUTE(B161," ","-"),".jpg"),"")</f>
        <v>Allied-Moulded-AM1426R.jpg</v>
      </c>
      <c r="CD161" s="16" t="s">
        <v>111</v>
      </c>
      <c r="CE161" s="3"/>
      <c r="CF161" s="3"/>
      <c r="CG161" s="3" t="s">
        <v>112</v>
      </c>
      <c r="CI161" s="3" t="s">
        <v>97</v>
      </c>
      <c r="CJ161" s="3" t="s">
        <v>383</v>
      </c>
      <c r="CK161" s="3" t="s">
        <v>114</v>
      </c>
      <c r="CL161" s="3" t="s">
        <v>115</v>
      </c>
      <c r="CM161" s="16"/>
      <c r="CN161" s="16" t="s">
        <v>349</v>
      </c>
      <c r="CO161" s="3" t="s">
        <v>118</v>
      </c>
      <c r="CP161" s="3" t="s">
        <v>139</v>
      </c>
      <c r="CQ161" s="3" t="s">
        <v>120</v>
      </c>
      <c r="CR161" s="3" t="s">
        <v>140</v>
      </c>
      <c r="CS161" s="3" t="s">
        <v>384</v>
      </c>
      <c r="CT161" s="16" t="s">
        <v>1037</v>
      </c>
      <c r="CU161" s="16" t="s">
        <v>125</v>
      </c>
      <c r="CV161" s="16" t="s">
        <v>385</v>
      </c>
    </row>
    <row r="162" spans="1:100" ht="15" customHeight="1">
      <c r="A162" t="s">
        <v>1138</v>
      </c>
      <c r="B162" s="3" t="s">
        <v>1139</v>
      </c>
      <c r="C162" s="16" t="s">
        <v>97</v>
      </c>
      <c r="D162" s="39" t="s">
        <v>1140</v>
      </c>
      <c r="E162" s="16" t="s">
        <v>97</v>
      </c>
      <c r="F162" s="131" t="s">
        <v>1141</v>
      </c>
      <c r="I162" s="100" t="s">
        <v>342</v>
      </c>
      <c r="J162" s="16" t="s">
        <v>101</v>
      </c>
      <c r="K162" s="16"/>
      <c r="L162" s="3" t="s">
        <v>102</v>
      </c>
      <c r="M162" s="3" t="s">
        <v>103</v>
      </c>
      <c r="N162" s="3" t="s">
        <v>104</v>
      </c>
      <c r="O162" s="16" t="s">
        <v>105</v>
      </c>
      <c r="P162" s="3" t="s">
        <v>1142</v>
      </c>
      <c r="Q162" s="3" t="s">
        <v>1142</v>
      </c>
      <c r="R162" s="3" t="s">
        <v>1142</v>
      </c>
      <c r="S162" t="s">
        <v>1138</v>
      </c>
      <c r="T162" s="130" t="s">
        <v>107</v>
      </c>
      <c r="U162" s="50">
        <v>9</v>
      </c>
      <c r="V162" s="54"/>
      <c r="W162" s="54"/>
      <c r="X162" s="59" t="s">
        <v>108</v>
      </c>
      <c r="Y162" s="93">
        <f>IF(AD162=0, 0, IF(OR(H162="", H162&lt;&gt;0), 1, 0))</f>
        <v>1</v>
      </c>
      <c r="Z162" s="3">
        <v>0</v>
      </c>
      <c r="AA162" s="3" t="s">
        <v>1143</v>
      </c>
      <c r="AD162" s="6">
        <f>ROUND((AG162*(1+AJ162)),2)</f>
        <v>141.83000000000001</v>
      </c>
      <c r="AE162" s="69">
        <v>161.62678732999998</v>
      </c>
      <c r="AF162" s="17">
        <f>(AE162*1)</f>
        <v>161.62678732999998</v>
      </c>
      <c r="AG162" s="6">
        <f>ROUND((AE162*AI162),2)</f>
        <v>105.06</v>
      </c>
      <c r="AH162" s="30" t="s">
        <v>110</v>
      </c>
      <c r="AI162" s="3">
        <v>0.65</v>
      </c>
      <c r="AJ162" s="18">
        <v>0.35</v>
      </c>
      <c r="AK162" s="6">
        <f>ROUND((AD162-(AD162*BG162)),2)</f>
        <v>140.41</v>
      </c>
      <c r="AL162" s="6">
        <f>ROUND((AD162-(AD162*BH162)),2)</f>
        <v>138.99</v>
      </c>
      <c r="AM162" s="6">
        <f>ROUND((AD162-(AD162*BI162)),2)</f>
        <v>137.58000000000001</v>
      </c>
      <c r="AN162" s="6">
        <f>ROUND((AD162-(AD162*BJ162)),2)</f>
        <v>137.58000000000001</v>
      </c>
      <c r="AO162" s="6">
        <f>ROUND((AD162-(AD162*BK162)),2)</f>
        <v>141.83000000000001</v>
      </c>
      <c r="BG162" s="12">
        <v>0.01</v>
      </c>
      <c r="BH162" s="12">
        <v>0.02</v>
      </c>
      <c r="BI162" s="12">
        <v>0.03</v>
      </c>
      <c r="BJ162" s="12">
        <v>0.03</v>
      </c>
      <c r="CC162" s="3" t="str">
        <f>IF(B162&lt;&gt;"",CONCATENATE(SUBSTITUTE(B162," ","-"),".jpg"),"")</f>
        <v>Allied-Moulded-AM1426RH.jpg</v>
      </c>
      <c r="CD162" s="16" t="s">
        <v>111</v>
      </c>
      <c r="CE162" s="3"/>
      <c r="CF162" s="3"/>
      <c r="CG162" s="3" t="s">
        <v>112</v>
      </c>
      <c r="CI162" s="3" t="s">
        <v>97</v>
      </c>
      <c r="CJ162" s="3" t="s">
        <v>383</v>
      </c>
      <c r="CK162" s="3" t="s">
        <v>114</v>
      </c>
      <c r="CL162" s="3" t="s">
        <v>115</v>
      </c>
      <c r="CO162" s="3" t="s">
        <v>118</v>
      </c>
      <c r="CP162" s="3" t="s">
        <v>139</v>
      </c>
      <c r="CQ162" s="3" t="s">
        <v>120</v>
      </c>
      <c r="CR162" s="3" t="s">
        <v>140</v>
      </c>
      <c r="CS162" s="3" t="s">
        <v>384</v>
      </c>
      <c r="CT162" s="16" t="s">
        <v>1037</v>
      </c>
      <c r="CU162" s="16" t="s">
        <v>125</v>
      </c>
      <c r="CV162" s="16" t="s">
        <v>385</v>
      </c>
    </row>
    <row r="163" spans="1:100" ht="15" customHeight="1">
      <c r="A163" t="s">
        <v>1144</v>
      </c>
      <c r="B163" s="3" t="s">
        <v>1145</v>
      </c>
      <c r="C163" s="16" t="s">
        <v>97</v>
      </c>
      <c r="D163" s="40" t="s">
        <v>1146</v>
      </c>
      <c r="E163" s="16" t="s">
        <v>97</v>
      </c>
      <c r="F163" s="131" t="s">
        <v>1147</v>
      </c>
      <c r="I163" s="100" t="s">
        <v>342</v>
      </c>
      <c r="J163" s="16" t="s">
        <v>101</v>
      </c>
      <c r="K163" s="16"/>
      <c r="L163" s="3" t="s">
        <v>102</v>
      </c>
      <c r="M163" s="3" t="s">
        <v>103</v>
      </c>
      <c r="N163" s="3" t="s">
        <v>104</v>
      </c>
      <c r="O163" s="16" t="s">
        <v>478</v>
      </c>
      <c r="P163" s="3" t="s">
        <v>1148</v>
      </c>
      <c r="Q163" s="3" t="s">
        <v>1148</v>
      </c>
      <c r="R163" s="3" t="s">
        <v>1148</v>
      </c>
      <c r="S163" t="s">
        <v>1144</v>
      </c>
      <c r="T163" s="130" t="s">
        <v>465</v>
      </c>
      <c r="U163" s="51">
        <v>9</v>
      </c>
      <c r="V163" s="58"/>
      <c r="W163" s="58"/>
      <c r="X163" s="59" t="s">
        <v>108</v>
      </c>
      <c r="Y163" s="93">
        <f>IF(AD163=0, 0, IF(OR(H163="", H163&lt;&gt;0), 1, 0))</f>
        <v>1</v>
      </c>
      <c r="Z163" s="3">
        <v>0</v>
      </c>
      <c r="AA163" s="3" t="s">
        <v>1149</v>
      </c>
      <c r="AD163" s="6">
        <f>ROUND((AG163*(1+AJ163)),2)</f>
        <v>144.29</v>
      </c>
      <c r="AE163" s="69">
        <v>164.43012390000001</v>
      </c>
      <c r="AF163" s="17">
        <f>(AE163*1)</f>
        <v>164.43012390000001</v>
      </c>
      <c r="AG163" s="6">
        <f>ROUND((AE163*AI163),2)</f>
        <v>106.88</v>
      </c>
      <c r="AH163" s="30" t="s">
        <v>110</v>
      </c>
      <c r="AI163" s="3">
        <v>0.65</v>
      </c>
      <c r="AJ163" s="18">
        <v>0.35</v>
      </c>
      <c r="AK163" s="6">
        <f>ROUND((AD163-(AD163*BG163)),2)</f>
        <v>142.85</v>
      </c>
      <c r="AL163" s="6">
        <f>ROUND((AD163-(AD163*BH163)),2)</f>
        <v>141.4</v>
      </c>
      <c r="AM163" s="6">
        <f>ROUND((AD163-(AD163*BI163)),2)</f>
        <v>139.96</v>
      </c>
      <c r="AN163" s="6">
        <f>ROUND((AD163-(AD163*BJ163)),2)</f>
        <v>139.96</v>
      </c>
      <c r="AO163" s="6">
        <f>ROUND((AD163-(AD163*BK163)),2)</f>
        <v>144.29</v>
      </c>
      <c r="BG163" s="12">
        <v>0.01</v>
      </c>
      <c r="BH163" s="12">
        <v>0.02</v>
      </c>
      <c r="BI163" s="12">
        <v>0.03</v>
      </c>
      <c r="BJ163" s="12">
        <v>0.03</v>
      </c>
      <c r="CC163" s="3" t="str">
        <f>IF(B163&lt;&gt;"",CONCATENATE(SUBSTITUTE(B163," ","-"),".jpg"),"")</f>
        <v>Allied-Moulded-AMP1648CCNL.jpg</v>
      </c>
      <c r="CD163" s="16" t="s">
        <v>111</v>
      </c>
      <c r="CE163" s="3"/>
      <c r="CF163" s="3"/>
      <c r="CG163" s="3" t="s">
        <v>112</v>
      </c>
      <c r="CI163" s="3" t="s">
        <v>97</v>
      </c>
      <c r="CJ163" s="3" t="s">
        <v>481</v>
      </c>
      <c r="CK163" s="3" t="s">
        <v>114</v>
      </c>
      <c r="CL163" s="3" t="s">
        <v>115</v>
      </c>
      <c r="CM163" s="3" t="s">
        <v>116</v>
      </c>
      <c r="CN163" t="s">
        <v>117</v>
      </c>
      <c r="CO163" s="3" t="s">
        <v>482</v>
      </c>
      <c r="CP163" s="3" t="s">
        <v>139</v>
      </c>
      <c r="CQ163" s="3" t="s">
        <v>120</v>
      </c>
      <c r="CR163" s="16" t="s">
        <v>121</v>
      </c>
      <c r="CS163" s="16" t="s">
        <v>122</v>
      </c>
      <c r="CT163" s="16" t="s">
        <v>1037</v>
      </c>
      <c r="CU163" s="16" t="s">
        <v>125</v>
      </c>
      <c r="CV163" s="16" t="s">
        <v>351</v>
      </c>
    </row>
    <row r="164" spans="1:100" ht="15" customHeight="1">
      <c r="A164" t="s">
        <v>1150</v>
      </c>
      <c r="B164" s="3" t="s">
        <v>1151</v>
      </c>
      <c r="C164" s="16" t="s">
        <v>97</v>
      </c>
      <c r="D164" s="40" t="s">
        <v>1152</v>
      </c>
      <c r="E164" s="16" t="s">
        <v>97</v>
      </c>
      <c r="F164" s="131" t="s">
        <v>1153</v>
      </c>
      <c r="I164" s="100" t="s">
        <v>342</v>
      </c>
      <c r="J164" s="16" t="s">
        <v>101</v>
      </c>
      <c r="K164" s="16"/>
      <c r="L164" s="3" t="s">
        <v>102</v>
      </c>
      <c r="M164" s="3" t="s">
        <v>103</v>
      </c>
      <c r="N164" s="3" t="s">
        <v>104</v>
      </c>
      <c r="O164" s="16" t="s">
        <v>105</v>
      </c>
      <c r="P164" s="3" t="s">
        <v>1154</v>
      </c>
      <c r="Q164" s="3" t="s">
        <v>1154</v>
      </c>
      <c r="R164" s="3" t="s">
        <v>1154</v>
      </c>
      <c r="S164" t="s">
        <v>1150</v>
      </c>
      <c r="T164" s="130" t="s">
        <v>465</v>
      </c>
      <c r="U164" s="35">
        <v>8</v>
      </c>
      <c r="V164" s="40"/>
      <c r="W164" s="40"/>
      <c r="X164" s="59" t="s">
        <v>108</v>
      </c>
      <c r="Y164" s="93">
        <f>IF(AD164=0, 0, IF(OR(H164="", H164&lt;&gt;0), 1, 0))</f>
        <v>1</v>
      </c>
      <c r="Z164" s="3">
        <v>0</v>
      </c>
      <c r="AA164" s="3" t="s">
        <v>1155</v>
      </c>
      <c r="AD164" s="6">
        <f>ROUND((AG164*(1+AJ164)),2)</f>
        <v>138.43</v>
      </c>
      <c r="AE164" s="69">
        <v>157.75548701</v>
      </c>
      <c r="AF164" s="17">
        <f>(AE164*1)</f>
        <v>157.75548701</v>
      </c>
      <c r="AG164" s="6">
        <f>ROUND((AE164*AI164),2)</f>
        <v>102.54</v>
      </c>
      <c r="AH164" s="30" t="s">
        <v>110</v>
      </c>
      <c r="AI164" s="3">
        <v>0.65</v>
      </c>
      <c r="AJ164" s="18">
        <v>0.35</v>
      </c>
      <c r="AK164" s="6">
        <f>ROUND((AD164-(AD164*BG164)),2)</f>
        <v>137.05000000000001</v>
      </c>
      <c r="AL164" s="6">
        <f>ROUND((AD164-(AD164*BH164)),2)</f>
        <v>135.66</v>
      </c>
      <c r="AM164" s="6">
        <f>ROUND((AD164-(AD164*BI164)),2)</f>
        <v>134.28</v>
      </c>
      <c r="AN164" s="6">
        <f>ROUND((AD164-(AD164*BJ164)),2)</f>
        <v>134.28</v>
      </c>
      <c r="AO164" s="6">
        <f>ROUND((AD164-(AD164*BK164)),2)</f>
        <v>138.43</v>
      </c>
      <c r="BG164" s="12">
        <v>0.01</v>
      </c>
      <c r="BH164" s="12">
        <v>0.02</v>
      </c>
      <c r="BI164" s="12">
        <v>0.03</v>
      </c>
      <c r="BJ164" s="12">
        <v>0.03</v>
      </c>
      <c r="CC164" s="3" t="str">
        <f>IF(B164&lt;&gt;"",CONCATENATE(SUBSTITUTE(B164," ","-"),".jpg"),"")</f>
        <v>Allied-Moulded-AMU1426.jpg</v>
      </c>
      <c r="CD164" s="16" t="s">
        <v>111</v>
      </c>
      <c r="CE164" s="3"/>
      <c r="CF164" s="3"/>
      <c r="CG164" s="3" t="s">
        <v>112</v>
      </c>
      <c r="CI164" s="3" t="s">
        <v>97</v>
      </c>
      <c r="CJ164" s="3" t="s">
        <v>467</v>
      </c>
      <c r="CK164" s="3" t="s">
        <v>114</v>
      </c>
      <c r="CL164" s="3" t="s">
        <v>115</v>
      </c>
      <c r="CM164" s="16"/>
      <c r="CN164" s="16" t="s">
        <v>349</v>
      </c>
      <c r="CO164" s="3" t="s">
        <v>118</v>
      </c>
      <c r="CP164" s="3" t="s">
        <v>139</v>
      </c>
      <c r="CQ164" s="3" t="s">
        <v>120</v>
      </c>
      <c r="CR164" s="3" t="s">
        <v>140</v>
      </c>
      <c r="CS164" s="3" t="s">
        <v>384</v>
      </c>
      <c r="CT164" s="16" t="s">
        <v>1037</v>
      </c>
      <c r="CU164" s="16" t="s">
        <v>125</v>
      </c>
      <c r="CV164" s="16" t="s">
        <v>351</v>
      </c>
    </row>
    <row r="165" spans="1:100" ht="15" customHeight="1">
      <c r="A165" t="s">
        <v>1156</v>
      </c>
      <c r="B165" s="3" t="s">
        <v>1157</v>
      </c>
      <c r="C165" s="16" t="s">
        <v>97</v>
      </c>
      <c r="D165" s="39" t="s">
        <v>1158</v>
      </c>
      <c r="E165" s="16" t="s">
        <v>97</v>
      </c>
      <c r="F165" s="131" t="s">
        <v>1159</v>
      </c>
      <c r="I165" s="100" t="s">
        <v>342</v>
      </c>
      <c r="J165" s="16" t="s">
        <v>101</v>
      </c>
      <c r="K165" s="16"/>
      <c r="L165" s="3" t="s">
        <v>102</v>
      </c>
      <c r="M165" s="3" t="s">
        <v>103</v>
      </c>
      <c r="N165" s="3" t="s">
        <v>104</v>
      </c>
      <c r="O165" s="16" t="s">
        <v>105</v>
      </c>
      <c r="P165" s="3" t="s">
        <v>1160</v>
      </c>
      <c r="Q165" s="3" t="s">
        <v>1160</v>
      </c>
      <c r="R165" s="3" t="s">
        <v>1160</v>
      </c>
      <c r="S165" t="s">
        <v>1156</v>
      </c>
      <c r="T165" s="130" t="s">
        <v>465</v>
      </c>
      <c r="U165" s="34">
        <v>8</v>
      </c>
      <c r="V165" s="39"/>
      <c r="W165" s="39"/>
      <c r="X165" s="59" t="s">
        <v>108</v>
      </c>
      <c r="Y165" s="93">
        <f>IF(AD165=0, 0, IF(OR(H165="", H165&lt;&gt;0), 1, 0))</f>
        <v>1</v>
      </c>
      <c r="Z165" s="3">
        <v>0</v>
      </c>
      <c r="AA165" s="3" t="s">
        <v>1161</v>
      </c>
      <c r="AD165" s="6">
        <f>ROUND((AG165*(1+AJ165)),2)</f>
        <v>142.22</v>
      </c>
      <c r="AE165" s="69">
        <v>162.08430200000001</v>
      </c>
      <c r="AF165" s="17">
        <f>(AE165*1)</f>
        <v>162.08430200000001</v>
      </c>
      <c r="AG165" s="6">
        <f>ROUND((AE165*AI165),2)</f>
        <v>105.35</v>
      </c>
      <c r="AH165" s="30" t="s">
        <v>110</v>
      </c>
      <c r="AI165" s="3">
        <v>0.65</v>
      </c>
      <c r="AJ165" s="18">
        <v>0.35</v>
      </c>
      <c r="AK165" s="6">
        <f>ROUND((AD165-(AD165*BG165)),2)</f>
        <v>140.80000000000001</v>
      </c>
      <c r="AL165" s="6">
        <f>ROUND((AD165-(AD165*BH165)),2)</f>
        <v>139.38</v>
      </c>
      <c r="AM165" s="6">
        <f>ROUND((AD165-(AD165*BI165)),2)</f>
        <v>137.94999999999999</v>
      </c>
      <c r="AN165" s="6">
        <f>ROUND((AD165-(AD165*BJ165)),2)</f>
        <v>137.94999999999999</v>
      </c>
      <c r="AO165" s="6">
        <f>ROUND((AD165-(AD165*BK165)),2)</f>
        <v>142.22</v>
      </c>
      <c r="BG165" s="12">
        <v>0.01</v>
      </c>
      <c r="BH165" s="12">
        <v>0.02</v>
      </c>
      <c r="BI165" s="12">
        <v>0.03</v>
      </c>
      <c r="BJ165" s="12">
        <v>0.03</v>
      </c>
      <c r="CC165" s="3" t="str">
        <f>IF(B165&lt;&gt;"",CONCATENATE(SUBSTITUTE(B165," ","-"),".jpg"),"")</f>
        <v>Allied-Moulded-AMU1426F.jpg</v>
      </c>
      <c r="CD165" s="16" t="s">
        <v>111</v>
      </c>
      <c r="CE165" s="3"/>
      <c r="CF165" s="3"/>
      <c r="CG165" s="3" t="s">
        <v>112</v>
      </c>
      <c r="CI165" s="3" t="s">
        <v>97</v>
      </c>
      <c r="CJ165" s="3" t="s">
        <v>467</v>
      </c>
      <c r="CK165" s="3" t="s">
        <v>114</v>
      </c>
      <c r="CL165" s="3" t="s">
        <v>115</v>
      </c>
      <c r="CM165" s="16"/>
      <c r="CN165" s="16" t="s">
        <v>349</v>
      </c>
      <c r="CO165" s="3" t="s">
        <v>118</v>
      </c>
      <c r="CP165" s="3" t="s">
        <v>139</v>
      </c>
      <c r="CQ165" s="3" t="s">
        <v>120</v>
      </c>
      <c r="CR165" s="3" t="s">
        <v>140</v>
      </c>
      <c r="CS165" s="3" t="s">
        <v>384</v>
      </c>
      <c r="CT165" s="16" t="s">
        <v>1037</v>
      </c>
      <c r="CU165" s="16" t="s">
        <v>125</v>
      </c>
      <c r="CV165" s="16" t="s">
        <v>351</v>
      </c>
    </row>
    <row r="166" spans="1:100" ht="15" customHeight="1">
      <c r="A166" t="s">
        <v>1162</v>
      </c>
      <c r="B166" s="3" t="s">
        <v>1163</v>
      </c>
      <c r="C166" s="16" t="s">
        <v>97</v>
      </c>
      <c r="D166" s="39" t="s">
        <v>1164</v>
      </c>
      <c r="E166" s="16" t="s">
        <v>97</v>
      </c>
      <c r="F166" s="131" t="s">
        <v>1165</v>
      </c>
      <c r="I166" s="100" t="s">
        <v>342</v>
      </c>
      <c r="J166" s="16" t="s">
        <v>101</v>
      </c>
      <c r="K166" s="16"/>
      <c r="L166" s="3" t="s">
        <v>102</v>
      </c>
      <c r="M166" s="3" t="s">
        <v>103</v>
      </c>
      <c r="N166" s="3" t="s">
        <v>104</v>
      </c>
      <c r="O166" s="16" t="s">
        <v>105</v>
      </c>
      <c r="P166" s="3" t="s">
        <v>1166</v>
      </c>
      <c r="Q166" s="3" t="s">
        <v>1166</v>
      </c>
      <c r="R166" s="3" t="s">
        <v>1166</v>
      </c>
      <c r="S166" t="s">
        <v>1162</v>
      </c>
      <c r="T166" s="130" t="s">
        <v>465</v>
      </c>
      <c r="U166" s="34">
        <v>8</v>
      </c>
      <c r="V166" s="39"/>
      <c r="W166" s="39"/>
      <c r="X166" s="59" t="s">
        <v>108</v>
      </c>
      <c r="Y166" s="93">
        <f>IF(AD166=0, 0, IF(OR(H166="", H166&lt;&gt;0), 1, 0))</f>
        <v>1</v>
      </c>
      <c r="Z166" s="3">
        <v>0</v>
      </c>
      <c r="AA166" s="3" t="s">
        <v>1167</v>
      </c>
      <c r="AD166" s="6">
        <f>ROUND((AG166*(1+AJ166)),2)</f>
        <v>146.43</v>
      </c>
      <c r="AE166" s="69">
        <v>166.87063784</v>
      </c>
      <c r="AF166" s="17">
        <f>(AE166*1)</f>
        <v>166.87063784</v>
      </c>
      <c r="AG166" s="6">
        <f>ROUND((AE166*AI166),2)</f>
        <v>108.47</v>
      </c>
      <c r="AH166" s="30" t="s">
        <v>110</v>
      </c>
      <c r="AI166" s="3">
        <v>0.65</v>
      </c>
      <c r="AJ166" s="18">
        <v>0.35</v>
      </c>
      <c r="AK166" s="6">
        <f>ROUND((AD166-(AD166*BG166)),2)</f>
        <v>144.97</v>
      </c>
      <c r="AL166" s="6">
        <f>ROUND((AD166-(AD166*BH166)),2)</f>
        <v>143.5</v>
      </c>
      <c r="AM166" s="6">
        <f>ROUND((AD166-(AD166*BI166)),2)</f>
        <v>142.04</v>
      </c>
      <c r="AN166" s="6">
        <f>ROUND((AD166-(AD166*BJ166)),2)</f>
        <v>142.04</v>
      </c>
      <c r="AO166" s="6">
        <f>ROUND((AD166-(AD166*BK166)),2)</f>
        <v>146.43</v>
      </c>
      <c r="BG166" s="12">
        <v>0.01</v>
      </c>
      <c r="BH166" s="12">
        <v>0.02</v>
      </c>
      <c r="BI166" s="12">
        <v>0.03</v>
      </c>
      <c r="BJ166" s="12">
        <v>0.03</v>
      </c>
      <c r="CC166" s="3" t="str">
        <f>IF(B166&lt;&gt;"",CONCATENATE(SUBSTITUTE(B166," ","-"),".jpg"),"")</f>
        <v>Allied-Moulded-AMU1426H.jpg</v>
      </c>
      <c r="CD166" s="16" t="s">
        <v>111</v>
      </c>
      <c r="CE166" s="3"/>
      <c r="CF166" s="3"/>
      <c r="CG166" s="3" t="s">
        <v>112</v>
      </c>
      <c r="CI166" s="3" t="s">
        <v>97</v>
      </c>
      <c r="CJ166" s="3" t="s">
        <v>467</v>
      </c>
      <c r="CK166" s="3" t="s">
        <v>114</v>
      </c>
      <c r="CL166" s="3" t="s">
        <v>115</v>
      </c>
      <c r="CM166" s="3" t="s">
        <v>116</v>
      </c>
      <c r="CN166" s="16" t="s">
        <v>349</v>
      </c>
      <c r="CO166" s="3" t="s">
        <v>118</v>
      </c>
      <c r="CP166" s="3" t="s">
        <v>139</v>
      </c>
      <c r="CQ166" s="3" t="s">
        <v>120</v>
      </c>
      <c r="CR166" s="3" t="s">
        <v>140</v>
      </c>
      <c r="CS166" s="3" t="s">
        <v>384</v>
      </c>
      <c r="CT166" s="16" t="s">
        <v>1037</v>
      </c>
      <c r="CU166" s="16" t="s">
        <v>125</v>
      </c>
      <c r="CV166" s="16" t="s">
        <v>351</v>
      </c>
    </row>
    <row r="167" spans="1:100" ht="15" customHeight="1">
      <c r="A167" t="s">
        <v>1168</v>
      </c>
      <c r="B167" s="3" t="s">
        <v>1169</v>
      </c>
      <c r="C167" s="16" t="s">
        <v>97</v>
      </c>
      <c r="D167" s="40" t="s">
        <v>1170</v>
      </c>
      <c r="E167" s="16" t="s">
        <v>97</v>
      </c>
      <c r="F167" s="131" t="s">
        <v>1171</v>
      </c>
      <c r="I167" s="100" t="s">
        <v>342</v>
      </c>
      <c r="J167" s="16" t="s">
        <v>101</v>
      </c>
      <c r="K167" s="16"/>
      <c r="L167" s="3" t="s">
        <v>102</v>
      </c>
      <c r="M167" s="3" t="s">
        <v>103</v>
      </c>
      <c r="N167" s="3" t="s">
        <v>104</v>
      </c>
      <c r="O167" s="16" t="s">
        <v>105</v>
      </c>
      <c r="P167" s="3" t="s">
        <v>1172</v>
      </c>
      <c r="Q167" s="3" t="s">
        <v>1172</v>
      </c>
      <c r="R167" s="3" t="s">
        <v>1172</v>
      </c>
      <c r="S167" t="s">
        <v>1168</v>
      </c>
      <c r="T167" s="130" t="s">
        <v>465</v>
      </c>
      <c r="U167" s="35">
        <v>8</v>
      </c>
      <c r="V167" s="40"/>
      <c r="W167" s="40"/>
      <c r="X167" s="59" t="s">
        <v>108</v>
      </c>
      <c r="Y167" s="93">
        <f>IF(AD167=0, 0, IF(OR(H167="", H167&lt;&gt;0), 1, 0))</f>
        <v>1</v>
      </c>
      <c r="Z167" s="3">
        <v>0</v>
      </c>
      <c r="AA167" s="3" t="s">
        <v>1173</v>
      </c>
      <c r="AD167" s="6">
        <f>ROUND((AG167*(1+AJ167)),2)</f>
        <v>150.41999999999999</v>
      </c>
      <c r="AE167" s="69">
        <v>171.41061828000002</v>
      </c>
      <c r="AF167" s="17">
        <f>(AE167*1)</f>
        <v>171.41061828000002</v>
      </c>
      <c r="AG167" s="6">
        <f>ROUND((AE167*AI167),2)</f>
        <v>111.42</v>
      </c>
      <c r="AH167" s="30" t="s">
        <v>110</v>
      </c>
      <c r="AI167" s="3">
        <v>0.65</v>
      </c>
      <c r="AJ167" s="18">
        <v>0.35</v>
      </c>
      <c r="AK167" s="6">
        <f>ROUND((AD167-(AD167*BG167)),2)</f>
        <v>148.91999999999999</v>
      </c>
      <c r="AL167" s="6">
        <f>ROUND((AD167-(AD167*BH167)),2)</f>
        <v>147.41</v>
      </c>
      <c r="AM167" s="6">
        <f>ROUND((AD167-(AD167*BI167)),2)</f>
        <v>145.91</v>
      </c>
      <c r="AN167" s="6">
        <f>ROUND((AD167-(AD167*BJ167)),2)</f>
        <v>145.91</v>
      </c>
      <c r="AO167" s="6">
        <f>ROUND((AD167-(AD167*BK167)),2)</f>
        <v>150.41999999999999</v>
      </c>
      <c r="BG167" s="12">
        <v>0.01</v>
      </c>
      <c r="BH167" s="12">
        <v>0.02</v>
      </c>
      <c r="BI167" s="12">
        <v>0.03</v>
      </c>
      <c r="BJ167" s="12">
        <v>0.03</v>
      </c>
      <c r="CC167" s="3" t="str">
        <f>IF(B167&lt;&gt;"",CONCATENATE(SUBSTITUTE(B167," ","-"),".jpg"),"")</f>
        <v>Allied-Moulded-AMU1426HF.jpg</v>
      </c>
      <c r="CD167" s="16" t="s">
        <v>111</v>
      </c>
      <c r="CE167" s="3"/>
      <c r="CF167" s="3"/>
      <c r="CG167" s="3" t="s">
        <v>112</v>
      </c>
      <c r="CI167" s="3" t="s">
        <v>97</v>
      </c>
      <c r="CJ167" s="3" t="s">
        <v>467</v>
      </c>
      <c r="CK167" s="3" t="s">
        <v>114</v>
      </c>
      <c r="CL167" s="3" t="s">
        <v>115</v>
      </c>
      <c r="CM167" s="3" t="s">
        <v>116</v>
      </c>
      <c r="CN167" s="16" t="s">
        <v>349</v>
      </c>
      <c r="CO167" s="3" t="s">
        <v>118</v>
      </c>
      <c r="CP167" s="3" t="s">
        <v>139</v>
      </c>
      <c r="CQ167" s="3" t="s">
        <v>120</v>
      </c>
      <c r="CR167" s="3" t="s">
        <v>140</v>
      </c>
      <c r="CS167" s="3" t="s">
        <v>384</v>
      </c>
      <c r="CT167" s="16" t="s">
        <v>1037</v>
      </c>
      <c r="CU167" s="16" t="s">
        <v>125</v>
      </c>
      <c r="CV167" s="16" t="s">
        <v>351</v>
      </c>
    </row>
    <row r="168" spans="1:100" ht="15" customHeight="1">
      <c r="A168" t="s">
        <v>1174</v>
      </c>
      <c r="B168" s="3" t="s">
        <v>1175</v>
      </c>
      <c r="C168" s="16" t="s">
        <v>97</v>
      </c>
      <c r="D168" s="40" t="s">
        <v>1176</v>
      </c>
      <c r="E168" s="16" t="s">
        <v>97</v>
      </c>
      <c r="F168" s="131" t="s">
        <v>1177</v>
      </c>
      <c r="I168" s="100" t="s">
        <v>342</v>
      </c>
      <c r="J168" s="16" t="s">
        <v>101</v>
      </c>
      <c r="K168" s="16"/>
      <c r="L168" s="3" t="s">
        <v>102</v>
      </c>
      <c r="M168" s="3" t="s">
        <v>103</v>
      </c>
      <c r="N168" s="3" t="s">
        <v>104</v>
      </c>
      <c r="O168" s="16" t="s">
        <v>105</v>
      </c>
      <c r="P168" s="3" t="s">
        <v>1178</v>
      </c>
      <c r="Q168" s="3" t="s">
        <v>1178</v>
      </c>
      <c r="R168" s="3" t="s">
        <v>1178</v>
      </c>
      <c r="S168" t="s">
        <v>1174</v>
      </c>
      <c r="T168" s="130" t="s">
        <v>465</v>
      </c>
      <c r="U168" s="35">
        <v>8</v>
      </c>
      <c r="V168" s="40"/>
      <c r="W168" s="40"/>
      <c r="X168" s="59" t="s">
        <v>108</v>
      </c>
      <c r="Y168" s="93">
        <f>IF(AD168=0, 0, IF(OR(H168="", H168&lt;&gt;0), 1, 0))</f>
        <v>1</v>
      </c>
      <c r="Z168" s="3">
        <v>0</v>
      </c>
      <c r="AA168" s="3" t="s">
        <v>1179</v>
      </c>
      <c r="AD168" s="6">
        <f>ROUND((AG168*(1+AJ168)),2)</f>
        <v>171.71</v>
      </c>
      <c r="AE168" s="69">
        <v>195.67663032999999</v>
      </c>
      <c r="AF168" s="17">
        <f>(AE168*1)</f>
        <v>195.67663032999999</v>
      </c>
      <c r="AG168" s="6">
        <f>ROUND((AE168*AI168),2)</f>
        <v>127.19</v>
      </c>
      <c r="AH168" s="30" t="s">
        <v>110</v>
      </c>
      <c r="AI168" s="3">
        <v>0.65</v>
      </c>
      <c r="AJ168" s="18">
        <v>0.35</v>
      </c>
      <c r="AK168" s="6">
        <f>ROUND((AD168-(AD168*BG168)),2)</f>
        <v>169.99</v>
      </c>
      <c r="AL168" s="6">
        <f>ROUND((AD168-(AD168*BH168)),2)</f>
        <v>168.28</v>
      </c>
      <c r="AM168" s="6">
        <f>ROUND((AD168-(AD168*BI168)),2)</f>
        <v>166.56</v>
      </c>
      <c r="AN168" s="6">
        <f>ROUND((AD168-(AD168*BJ168)),2)</f>
        <v>166.56</v>
      </c>
      <c r="AO168" s="6">
        <f>ROUND((AD168-(AD168*BK168)),2)</f>
        <v>171.71</v>
      </c>
      <c r="BG168" s="12">
        <v>0.01</v>
      </c>
      <c r="BH168" s="12">
        <v>0.02</v>
      </c>
      <c r="BI168" s="12">
        <v>0.03</v>
      </c>
      <c r="BJ168" s="12">
        <v>0.03</v>
      </c>
      <c r="CC168" s="3" t="str">
        <f>IF(B168&lt;&gt;"",CONCATENATE(SUBSTITUTE(B168," ","-"),".jpg"),"")</f>
        <v>Allied-Moulded-AMU1426L.jpg</v>
      </c>
      <c r="CD168" s="16" t="s">
        <v>111</v>
      </c>
      <c r="CE168" s="3"/>
      <c r="CF168" s="3"/>
      <c r="CG168" s="3" t="s">
        <v>112</v>
      </c>
      <c r="CI168" s="3" t="s">
        <v>97</v>
      </c>
      <c r="CJ168" s="3" t="s">
        <v>467</v>
      </c>
      <c r="CK168" s="3" t="s">
        <v>114</v>
      </c>
      <c r="CL168" s="3" t="s">
        <v>115</v>
      </c>
      <c r="CM168" s="3" t="s">
        <v>116</v>
      </c>
      <c r="CN168" t="s">
        <v>117</v>
      </c>
      <c r="CO168" s="3" t="s">
        <v>118</v>
      </c>
      <c r="CP168" s="3" t="s">
        <v>139</v>
      </c>
      <c r="CQ168" s="3" t="s">
        <v>120</v>
      </c>
      <c r="CR168" s="3" t="s">
        <v>140</v>
      </c>
      <c r="CS168" s="16" t="s">
        <v>122</v>
      </c>
      <c r="CT168" s="16" t="s">
        <v>1037</v>
      </c>
      <c r="CU168" s="16" t="s">
        <v>125</v>
      </c>
      <c r="CV168" s="16" t="s">
        <v>351</v>
      </c>
    </row>
    <row r="169" spans="1:100" ht="15" customHeight="1">
      <c r="A169" t="s">
        <v>1180</v>
      </c>
      <c r="B169" s="3" t="s">
        <v>1181</v>
      </c>
      <c r="C169" s="16" t="s">
        <v>97</v>
      </c>
      <c r="D169" s="39" t="s">
        <v>1182</v>
      </c>
      <c r="E169" s="16" t="s">
        <v>97</v>
      </c>
      <c r="F169" s="131" t="s">
        <v>1183</v>
      </c>
      <c r="I169" s="100" t="s">
        <v>342</v>
      </c>
      <c r="J169" s="16" t="s">
        <v>101</v>
      </c>
      <c r="K169" s="16"/>
      <c r="L169" s="3" t="s">
        <v>102</v>
      </c>
      <c r="M169" s="3" t="s">
        <v>103</v>
      </c>
      <c r="N169" s="3" t="s">
        <v>104</v>
      </c>
      <c r="O169" s="16" t="s">
        <v>105</v>
      </c>
      <c r="P169" s="3" t="s">
        <v>1184</v>
      </c>
      <c r="Q169" s="3" t="s">
        <v>1184</v>
      </c>
      <c r="R169" s="3" t="s">
        <v>1184</v>
      </c>
      <c r="S169" t="s">
        <v>1180</v>
      </c>
      <c r="T169" s="130" t="s">
        <v>465</v>
      </c>
      <c r="U169" s="34">
        <v>8</v>
      </c>
      <c r="V169" s="39"/>
      <c r="W169" s="39"/>
      <c r="X169" s="59" t="s">
        <v>108</v>
      </c>
      <c r="Y169" s="93">
        <f>IF(AD169=0, 0, IF(OR(H169="", H169&lt;&gt;0), 1, 0))</f>
        <v>1</v>
      </c>
      <c r="Z169" s="3">
        <v>0</v>
      </c>
      <c r="AA169" s="3" t="s">
        <v>1185</v>
      </c>
      <c r="AD169" s="6">
        <f>ROUND((AG169*(1+AJ169)),2)</f>
        <v>176.32</v>
      </c>
      <c r="AE169" s="69">
        <v>200.93808045</v>
      </c>
      <c r="AF169" s="17">
        <f>(AE169*1)</f>
        <v>200.93808045</v>
      </c>
      <c r="AG169" s="6">
        <f>ROUND((AE169*AI169),2)</f>
        <v>130.61000000000001</v>
      </c>
      <c r="AH169" s="30" t="s">
        <v>110</v>
      </c>
      <c r="AI169" s="3">
        <v>0.65</v>
      </c>
      <c r="AJ169" s="18">
        <v>0.35</v>
      </c>
      <c r="AK169" s="6">
        <f>ROUND((AD169-(AD169*BG169)),2)</f>
        <v>174.56</v>
      </c>
      <c r="AL169" s="6">
        <f>ROUND((AD169-(AD169*BH169)),2)</f>
        <v>172.79</v>
      </c>
      <c r="AM169" s="6">
        <f>ROUND((AD169-(AD169*BI169)),2)</f>
        <v>171.03</v>
      </c>
      <c r="AN169" s="6">
        <f>ROUND((AD169-(AD169*BJ169)),2)</f>
        <v>171.03</v>
      </c>
      <c r="AO169" s="6">
        <f>ROUND((AD169-(AD169*BK169)),2)</f>
        <v>176.32</v>
      </c>
      <c r="BG169" s="12">
        <v>0.01</v>
      </c>
      <c r="BH169" s="12">
        <v>0.02</v>
      </c>
      <c r="BI169" s="12">
        <v>0.03</v>
      </c>
      <c r="BJ169" s="12">
        <v>0.03</v>
      </c>
      <c r="CC169" s="3" t="str">
        <f>IF(B169&lt;&gt;"",CONCATENATE(SUBSTITUTE(B169," ","-"),".jpg"),"")</f>
        <v>Allied-Moulded-AMU1426LF.jpg</v>
      </c>
      <c r="CD169" s="16" t="s">
        <v>111</v>
      </c>
      <c r="CE169" s="3"/>
      <c r="CF169" s="3"/>
      <c r="CG169" s="3" t="s">
        <v>112</v>
      </c>
      <c r="CI169" s="3" t="s">
        <v>97</v>
      </c>
      <c r="CJ169" s="3" t="s">
        <v>467</v>
      </c>
      <c r="CK169" s="3" t="s">
        <v>114</v>
      </c>
      <c r="CL169" s="3" t="s">
        <v>115</v>
      </c>
      <c r="CM169" s="3" t="s">
        <v>116</v>
      </c>
      <c r="CN169" t="s">
        <v>117</v>
      </c>
      <c r="CO169" s="3" t="s">
        <v>118</v>
      </c>
      <c r="CP169" s="3" t="s">
        <v>139</v>
      </c>
      <c r="CQ169" s="3" t="s">
        <v>120</v>
      </c>
      <c r="CR169" s="3" t="s">
        <v>140</v>
      </c>
      <c r="CS169" s="16" t="s">
        <v>122</v>
      </c>
      <c r="CT169" s="16" t="s">
        <v>1037</v>
      </c>
      <c r="CU169" s="16" t="s">
        <v>125</v>
      </c>
      <c r="CV169" s="16" t="s">
        <v>351</v>
      </c>
    </row>
    <row r="170" spans="1:100" ht="15" customHeight="1">
      <c r="A170" t="s">
        <v>1186</v>
      </c>
      <c r="B170" s="3" t="s">
        <v>1187</v>
      </c>
      <c r="C170" s="16" t="s">
        <v>97</v>
      </c>
      <c r="D170" s="41" t="s">
        <v>1188</v>
      </c>
      <c r="E170" s="16" t="s">
        <v>97</v>
      </c>
      <c r="F170" s="131" t="s">
        <v>1189</v>
      </c>
      <c r="I170" s="100" t="s">
        <v>342</v>
      </c>
      <c r="J170" s="16" t="s">
        <v>101</v>
      </c>
      <c r="K170" s="16"/>
      <c r="L170" s="3" t="s">
        <v>102</v>
      </c>
      <c r="M170" s="3" t="s">
        <v>103</v>
      </c>
      <c r="N170" s="3" t="s">
        <v>104</v>
      </c>
      <c r="O170" s="16" t="s">
        <v>105</v>
      </c>
      <c r="P170" s="3" t="s">
        <v>1190</v>
      </c>
      <c r="Q170" s="3" t="s">
        <v>1190</v>
      </c>
      <c r="R170" s="3" t="s">
        <v>1190</v>
      </c>
      <c r="S170" t="s">
        <v>1186</v>
      </c>
      <c r="T170" s="130" t="s">
        <v>465</v>
      </c>
      <c r="U170" s="36">
        <v>8</v>
      </c>
      <c r="V170" s="39"/>
      <c r="W170" s="39"/>
      <c r="X170" s="59" t="s">
        <v>108</v>
      </c>
      <c r="Y170" s="93">
        <f>IF(AD170=0, 0, IF(OR(H170="", H170&lt;&gt;0), 1, 0))</f>
        <v>1</v>
      </c>
      <c r="Z170" s="3">
        <v>0</v>
      </c>
      <c r="AA170" s="3" t="s">
        <v>1191</v>
      </c>
      <c r="AD170" s="6">
        <f>ROUND((AG170*(1+AJ170)),2)</f>
        <v>163.12</v>
      </c>
      <c r="AE170" s="68">
        <v>185.89279937999999</v>
      </c>
      <c r="AF170" s="17">
        <f>(AE170*1)</f>
        <v>185.89279937999999</v>
      </c>
      <c r="AG170" s="6">
        <f>ROUND((AE170*AI170),2)</f>
        <v>120.83</v>
      </c>
      <c r="AH170" s="30" t="s">
        <v>110</v>
      </c>
      <c r="AI170" s="3">
        <v>0.65</v>
      </c>
      <c r="AJ170" s="18">
        <v>0.35</v>
      </c>
      <c r="AK170" s="6">
        <f>ROUND((AD170-(AD170*BG170)),2)</f>
        <v>161.49</v>
      </c>
      <c r="AL170" s="6">
        <f>ROUND((AD170-(AD170*BH170)),2)</f>
        <v>159.86000000000001</v>
      </c>
      <c r="AM170" s="6">
        <f>ROUND((AD170-(AD170*BI170)),2)</f>
        <v>158.22999999999999</v>
      </c>
      <c r="AN170" s="6">
        <f>ROUND((AD170-(AD170*BJ170)),2)</f>
        <v>158.22999999999999</v>
      </c>
      <c r="AO170" s="6">
        <f>ROUND((AD170-(AD170*BK170)),2)</f>
        <v>163.12</v>
      </c>
      <c r="BG170" s="12">
        <v>0.01</v>
      </c>
      <c r="BH170" s="12">
        <v>0.02</v>
      </c>
      <c r="BI170" s="12">
        <v>0.03</v>
      </c>
      <c r="BJ170" s="12">
        <v>0.03</v>
      </c>
      <c r="CC170" s="3" t="str">
        <f>IF(B170&lt;&gt;"",CONCATENATE(SUBSTITUTE(B170," ","-"),".jpg"),"")</f>
        <v>Allied-Moulded-AMU1426NL.jpg</v>
      </c>
      <c r="CD170" s="16" t="s">
        <v>111</v>
      </c>
      <c r="CE170" s="3"/>
      <c r="CF170" s="3"/>
      <c r="CG170" s="3" t="s">
        <v>112</v>
      </c>
      <c r="CI170" s="3" t="s">
        <v>97</v>
      </c>
      <c r="CJ170" s="3" t="s">
        <v>467</v>
      </c>
      <c r="CK170" s="3" t="s">
        <v>114</v>
      </c>
      <c r="CL170" s="3" t="s">
        <v>115</v>
      </c>
      <c r="CM170" s="3" t="s">
        <v>116</v>
      </c>
      <c r="CN170" t="s">
        <v>117</v>
      </c>
      <c r="CO170" s="3" t="s">
        <v>118</v>
      </c>
      <c r="CP170" s="3" t="s">
        <v>139</v>
      </c>
      <c r="CQ170" s="3" t="s">
        <v>120</v>
      </c>
      <c r="CR170" s="3" t="s">
        <v>140</v>
      </c>
      <c r="CS170" s="16" t="s">
        <v>122</v>
      </c>
      <c r="CT170" s="16" t="s">
        <v>1037</v>
      </c>
      <c r="CU170" s="16" t="s">
        <v>125</v>
      </c>
      <c r="CV170" s="16" t="s">
        <v>351</v>
      </c>
    </row>
    <row r="171" spans="1:100" ht="15" customHeight="1">
      <c r="A171" t="s">
        <v>1192</v>
      </c>
      <c r="B171" s="3" t="s">
        <v>1193</v>
      </c>
      <c r="C171" s="16" t="s">
        <v>97</v>
      </c>
      <c r="D171" s="40" t="s">
        <v>1194</v>
      </c>
      <c r="E171" s="16" t="s">
        <v>97</v>
      </c>
      <c r="F171" s="131" t="s">
        <v>1195</v>
      </c>
      <c r="I171" s="100" t="s">
        <v>342</v>
      </c>
      <c r="J171" s="16" t="s">
        <v>101</v>
      </c>
      <c r="K171" s="16"/>
      <c r="L171" s="3" t="s">
        <v>102</v>
      </c>
      <c r="M171" s="3" t="s">
        <v>103</v>
      </c>
      <c r="N171" s="3" t="s">
        <v>104</v>
      </c>
      <c r="O171" s="16" t="s">
        <v>105</v>
      </c>
      <c r="P171" s="3" t="s">
        <v>1196</v>
      </c>
      <c r="Q171" s="3" t="s">
        <v>1196</v>
      </c>
      <c r="R171" s="3" t="s">
        <v>1196</v>
      </c>
      <c r="S171" t="s">
        <v>1192</v>
      </c>
      <c r="T171" s="130" t="s">
        <v>465</v>
      </c>
      <c r="U171" s="35">
        <v>8</v>
      </c>
      <c r="V171" s="40"/>
      <c r="W171" s="40"/>
      <c r="X171" s="59" t="s">
        <v>108</v>
      </c>
      <c r="Y171" s="93">
        <f>IF(AD171=0, 0, IF(OR(H171="", H171&lt;&gt;0), 1, 0))</f>
        <v>1</v>
      </c>
      <c r="Z171" s="3">
        <v>0</v>
      </c>
      <c r="AA171" s="3" t="s">
        <v>1197</v>
      </c>
      <c r="AD171" s="6">
        <f>ROUND((AG171*(1+AJ171)),2)</f>
        <v>167.51</v>
      </c>
      <c r="AE171" s="69">
        <v>190.89029757999998</v>
      </c>
      <c r="AF171" s="17">
        <f>(AE171*1)</f>
        <v>190.89029757999998</v>
      </c>
      <c r="AG171" s="6">
        <f>ROUND((AE171*AI171),2)</f>
        <v>124.08</v>
      </c>
      <c r="AH171" s="30" t="s">
        <v>110</v>
      </c>
      <c r="AI171" s="3">
        <v>0.65</v>
      </c>
      <c r="AJ171" s="18">
        <v>0.35</v>
      </c>
      <c r="AK171" s="6">
        <f>ROUND((AD171-(AD171*BG171)),2)</f>
        <v>165.83</v>
      </c>
      <c r="AL171" s="6">
        <f>ROUND((AD171-(AD171*BH171)),2)</f>
        <v>164.16</v>
      </c>
      <c r="AM171" s="6">
        <f>ROUND((AD171-(AD171*BI171)),2)</f>
        <v>162.47999999999999</v>
      </c>
      <c r="AN171" s="6">
        <f>ROUND((AD171-(AD171*BJ171)),2)</f>
        <v>162.47999999999999</v>
      </c>
      <c r="AO171" s="6">
        <f>ROUND((AD171-(AD171*BK171)),2)</f>
        <v>167.51</v>
      </c>
      <c r="BG171" s="12">
        <v>0.01</v>
      </c>
      <c r="BH171" s="12">
        <v>0.02</v>
      </c>
      <c r="BI171" s="12">
        <v>0.03</v>
      </c>
      <c r="BJ171" s="12">
        <v>0.03</v>
      </c>
      <c r="CC171" s="3" t="str">
        <f>IF(B171&lt;&gt;"",CONCATENATE(SUBSTITUTE(B171," ","-"),".jpg"),"")</f>
        <v>Allied-Moulded-AMU1426NLF.jpg</v>
      </c>
      <c r="CD171" s="16" t="s">
        <v>111</v>
      </c>
      <c r="CE171" s="3"/>
      <c r="CF171" s="3"/>
      <c r="CG171" s="3" t="s">
        <v>112</v>
      </c>
      <c r="CI171" s="3" t="s">
        <v>97</v>
      </c>
      <c r="CJ171" s="3" t="s">
        <v>467</v>
      </c>
      <c r="CK171" s="3" t="s">
        <v>114</v>
      </c>
      <c r="CL171" s="3" t="s">
        <v>115</v>
      </c>
      <c r="CM171" s="3" t="s">
        <v>116</v>
      </c>
      <c r="CN171" t="s">
        <v>117</v>
      </c>
      <c r="CO171" s="3" t="s">
        <v>118</v>
      </c>
      <c r="CP171" s="3" t="s">
        <v>139</v>
      </c>
      <c r="CQ171" s="3" t="s">
        <v>120</v>
      </c>
      <c r="CR171" s="3" t="s">
        <v>140</v>
      </c>
      <c r="CS171" s="16" t="s">
        <v>122</v>
      </c>
      <c r="CT171" s="16" t="s">
        <v>1037</v>
      </c>
      <c r="CU171" s="16" t="s">
        <v>125</v>
      </c>
      <c r="CV171" s="16" t="s">
        <v>351</v>
      </c>
    </row>
    <row r="172" spans="1:100" ht="15" customHeight="1">
      <c r="A172" t="s">
        <v>1198</v>
      </c>
      <c r="B172" s="3" t="s">
        <v>1199</v>
      </c>
      <c r="C172" s="16" t="s">
        <v>97</v>
      </c>
      <c r="D172" s="40" t="s">
        <v>1200</v>
      </c>
      <c r="E172" s="16" t="s">
        <v>97</v>
      </c>
      <c r="F172" s="131" t="s">
        <v>1201</v>
      </c>
      <c r="I172" s="100" t="s">
        <v>342</v>
      </c>
      <c r="J172" s="16" t="s">
        <v>101</v>
      </c>
      <c r="K172" s="16"/>
      <c r="L172" s="3" t="s">
        <v>102</v>
      </c>
      <c r="M172" s="3" t="s">
        <v>103</v>
      </c>
      <c r="N172" s="3" t="s">
        <v>104</v>
      </c>
      <c r="O172" s="16" t="s">
        <v>105</v>
      </c>
      <c r="P172" s="3" t="s">
        <v>1202</v>
      </c>
      <c r="Q172" s="3" t="s">
        <v>1202</v>
      </c>
      <c r="R172" s="3" t="s">
        <v>1202</v>
      </c>
      <c r="S172" t="s">
        <v>1198</v>
      </c>
      <c r="T172" s="130" t="s">
        <v>465</v>
      </c>
      <c r="U172" s="51">
        <v>8</v>
      </c>
      <c r="V172" s="58"/>
      <c r="W172" s="58"/>
      <c r="X172" s="59" t="s">
        <v>108</v>
      </c>
      <c r="Y172" s="93">
        <f>IF(AD172=0, 0, IF(OR(H172="", H172&lt;&gt;0), 1, 0))</f>
        <v>1</v>
      </c>
      <c r="Z172" s="3">
        <v>0</v>
      </c>
      <c r="AA172" s="3" t="s">
        <v>1203</v>
      </c>
      <c r="AD172" s="6">
        <f>ROUND((AG172*(1+AJ172)),2)</f>
        <v>171.71</v>
      </c>
      <c r="AE172" s="69">
        <v>195.67663032999999</v>
      </c>
      <c r="AF172" s="17">
        <f>(AE172*1)</f>
        <v>195.67663032999999</v>
      </c>
      <c r="AG172" s="6">
        <f>ROUND((AE172*AI172),2)</f>
        <v>127.19</v>
      </c>
      <c r="AH172" s="30" t="s">
        <v>110</v>
      </c>
      <c r="AI172" s="3">
        <v>0.65</v>
      </c>
      <c r="AJ172" s="18">
        <v>0.35</v>
      </c>
      <c r="AK172" s="6">
        <f>ROUND((AD172-(AD172*BG172)),2)</f>
        <v>169.99</v>
      </c>
      <c r="AL172" s="6">
        <f>ROUND((AD172-(AD172*BH172)),2)</f>
        <v>168.28</v>
      </c>
      <c r="AM172" s="6">
        <f>ROUND((AD172-(AD172*BI172)),2)</f>
        <v>166.56</v>
      </c>
      <c r="AN172" s="6">
        <f>ROUND((AD172-(AD172*BJ172)),2)</f>
        <v>166.56</v>
      </c>
      <c r="AO172" s="6">
        <f>ROUND((AD172-(AD172*BK172)),2)</f>
        <v>171.71</v>
      </c>
      <c r="BG172" s="12">
        <v>0.01</v>
      </c>
      <c r="BH172" s="12">
        <v>0.02</v>
      </c>
      <c r="BI172" s="12">
        <v>0.03</v>
      </c>
      <c r="BJ172" s="12">
        <v>0.03</v>
      </c>
      <c r="CC172" s="3" t="str">
        <f>IF(B172&lt;&gt;"",CONCATENATE(SUBSTITUTE(B172," ","-"),".jpg"),"")</f>
        <v>Allied-Moulded-AMU1426T.jpg</v>
      </c>
      <c r="CD172" s="16" t="s">
        <v>111</v>
      </c>
      <c r="CE172" s="3"/>
      <c r="CF172" s="3"/>
      <c r="CG172" s="3" t="s">
        <v>112</v>
      </c>
      <c r="CI172" s="3" t="s">
        <v>97</v>
      </c>
      <c r="CJ172" s="3" t="s">
        <v>467</v>
      </c>
      <c r="CK172" s="3" t="s">
        <v>114</v>
      </c>
      <c r="CL172" s="3" t="s">
        <v>115</v>
      </c>
      <c r="CM172" s="3" t="s">
        <v>116</v>
      </c>
      <c r="CN172" s="16" t="s">
        <v>132</v>
      </c>
      <c r="CO172" s="3" t="s">
        <v>118</v>
      </c>
      <c r="CP172" s="3" t="s">
        <v>139</v>
      </c>
      <c r="CQ172" s="3" t="s">
        <v>120</v>
      </c>
      <c r="CR172" s="3" t="s">
        <v>140</v>
      </c>
      <c r="CS172" s="16" t="s">
        <v>122</v>
      </c>
      <c r="CT172" s="16" t="s">
        <v>1037</v>
      </c>
      <c r="CU172" s="16" t="s">
        <v>125</v>
      </c>
      <c r="CV172" s="16" t="s">
        <v>351</v>
      </c>
    </row>
    <row r="173" spans="1:100" ht="15" customHeight="1">
      <c r="A173" t="s">
        <v>1204</v>
      </c>
      <c r="B173" s="3" t="s">
        <v>1205</v>
      </c>
      <c r="C173" s="16" t="s">
        <v>97</v>
      </c>
      <c r="D173" s="39" t="s">
        <v>1206</v>
      </c>
      <c r="E173" s="16" t="s">
        <v>97</v>
      </c>
      <c r="F173" s="131" t="s">
        <v>1207</v>
      </c>
      <c r="I173" s="100" t="s">
        <v>342</v>
      </c>
      <c r="J173" s="16" t="s">
        <v>101</v>
      </c>
      <c r="K173" s="16"/>
      <c r="L173" s="3" t="s">
        <v>102</v>
      </c>
      <c r="M173" s="3" t="s">
        <v>103</v>
      </c>
      <c r="N173" s="3" t="s">
        <v>104</v>
      </c>
      <c r="O173" s="16" t="s">
        <v>105</v>
      </c>
      <c r="P173" s="3" t="s">
        <v>1208</v>
      </c>
      <c r="Q173" s="3" t="s">
        <v>1208</v>
      </c>
      <c r="R173" s="3" t="s">
        <v>1208</v>
      </c>
      <c r="S173" t="s">
        <v>1204</v>
      </c>
      <c r="T173" s="130" t="s">
        <v>465</v>
      </c>
      <c r="U173" s="50">
        <v>8</v>
      </c>
      <c r="V173" s="54"/>
      <c r="W173" s="54"/>
      <c r="X173" s="59" t="s">
        <v>108</v>
      </c>
      <c r="Y173" s="93">
        <f>IF(AD173=0, 0, IF(OR(H173="", H173&lt;&gt;0), 1, 0))</f>
        <v>1</v>
      </c>
      <c r="Z173" s="3">
        <v>0</v>
      </c>
      <c r="AA173" s="3" t="s">
        <v>1209</v>
      </c>
      <c r="AD173" s="6">
        <f>ROUND((AG173*(1+AJ173)),2)</f>
        <v>176.32</v>
      </c>
      <c r="AE173" s="69">
        <v>200.93808045</v>
      </c>
      <c r="AF173" s="17">
        <f>(AE173*1)</f>
        <v>200.93808045</v>
      </c>
      <c r="AG173" s="6">
        <f>ROUND((AE173*AI173),2)</f>
        <v>130.61000000000001</v>
      </c>
      <c r="AH173" s="30" t="s">
        <v>110</v>
      </c>
      <c r="AI173" s="3">
        <v>0.65</v>
      </c>
      <c r="AJ173" s="18">
        <v>0.35</v>
      </c>
      <c r="AK173" s="6">
        <f>ROUND((AD173-(AD173*BG173)),2)</f>
        <v>174.56</v>
      </c>
      <c r="AL173" s="6">
        <f>ROUND((AD173-(AD173*BH173)),2)</f>
        <v>172.79</v>
      </c>
      <c r="AM173" s="6">
        <f>ROUND((AD173-(AD173*BI173)),2)</f>
        <v>171.03</v>
      </c>
      <c r="AN173" s="6">
        <f>ROUND((AD173-(AD173*BJ173)),2)</f>
        <v>171.03</v>
      </c>
      <c r="AO173" s="6">
        <f>ROUND((AD173-(AD173*BK173)),2)</f>
        <v>176.32</v>
      </c>
      <c r="BG173" s="12">
        <v>0.01</v>
      </c>
      <c r="BH173" s="12">
        <v>0.02</v>
      </c>
      <c r="BI173" s="12">
        <v>0.03</v>
      </c>
      <c r="BJ173" s="12">
        <v>0.03</v>
      </c>
      <c r="CC173" s="3" t="str">
        <f>IF(B173&lt;&gt;"",CONCATENATE(SUBSTITUTE(B173," ","-"),".jpg"),"")</f>
        <v>Allied-Moulded-AMU1426TF.jpg</v>
      </c>
      <c r="CD173" s="16" t="s">
        <v>111</v>
      </c>
      <c r="CE173" s="3"/>
      <c r="CF173" s="3"/>
      <c r="CG173" s="3" t="s">
        <v>112</v>
      </c>
      <c r="CI173" s="3" t="s">
        <v>97</v>
      </c>
      <c r="CJ173" s="3" t="s">
        <v>467</v>
      </c>
      <c r="CK173" s="3" t="s">
        <v>114</v>
      </c>
      <c r="CL173" s="3" t="s">
        <v>115</v>
      </c>
      <c r="CM173" s="3" t="s">
        <v>116</v>
      </c>
      <c r="CN173" s="16" t="s">
        <v>132</v>
      </c>
      <c r="CO173" s="3" t="s">
        <v>118</v>
      </c>
      <c r="CP173" s="3" t="s">
        <v>139</v>
      </c>
      <c r="CQ173" s="3" t="s">
        <v>120</v>
      </c>
      <c r="CR173" s="3" t="s">
        <v>140</v>
      </c>
      <c r="CS173" s="16" t="s">
        <v>122</v>
      </c>
      <c r="CT173" s="16" t="s">
        <v>1037</v>
      </c>
      <c r="CU173" s="16" t="s">
        <v>125</v>
      </c>
      <c r="CV173" s="16" t="s">
        <v>351</v>
      </c>
    </row>
    <row r="174" spans="1:100" ht="15" customHeight="1">
      <c r="A174" t="s">
        <v>1210</v>
      </c>
      <c r="B174" s="3" t="s">
        <v>1211</v>
      </c>
      <c r="C174" s="16" t="s">
        <v>97</v>
      </c>
      <c r="D174" s="40" t="s">
        <v>1212</v>
      </c>
      <c r="E174" s="16" t="s">
        <v>97</v>
      </c>
      <c r="F174" s="131" t="s">
        <v>1213</v>
      </c>
      <c r="I174" s="100" t="s">
        <v>342</v>
      </c>
      <c r="J174" s="16" t="s">
        <v>101</v>
      </c>
      <c r="K174" s="16"/>
      <c r="L174" s="3" t="s">
        <v>102</v>
      </c>
      <c r="M174" s="3" t="s">
        <v>103</v>
      </c>
      <c r="N174" s="3" t="s">
        <v>104</v>
      </c>
      <c r="O174" s="16" t="s">
        <v>105</v>
      </c>
      <c r="P174" s="3" t="s">
        <v>1214</v>
      </c>
      <c r="Q174" s="3" t="s">
        <v>1214</v>
      </c>
      <c r="R174" s="3" t="s">
        <v>1214</v>
      </c>
      <c r="S174" t="s">
        <v>1210</v>
      </c>
      <c r="T174" s="130" t="s">
        <v>465</v>
      </c>
      <c r="U174" s="51">
        <v>8</v>
      </c>
      <c r="V174" s="58"/>
      <c r="W174" s="58"/>
      <c r="X174" s="59" t="s">
        <v>108</v>
      </c>
      <c r="Y174" s="93">
        <f>IF(AD174=0, 0, IF(OR(H174="", H174&lt;&gt;0), 1, 0))</f>
        <v>1</v>
      </c>
      <c r="Z174" s="3">
        <v>0</v>
      </c>
      <c r="AA174" s="3" t="s">
        <v>1215</v>
      </c>
      <c r="AD174" s="6">
        <f>ROUND((AG174*(1+AJ174)),2)</f>
        <v>252.1</v>
      </c>
      <c r="AE174" s="69">
        <v>287.28567493000003</v>
      </c>
      <c r="AF174" s="17">
        <f>(AE174*1)</f>
        <v>287.28567493000003</v>
      </c>
      <c r="AG174" s="6">
        <f>ROUND((AE174*AI174),2)</f>
        <v>186.74</v>
      </c>
      <c r="AH174" s="30" t="s">
        <v>110</v>
      </c>
      <c r="AI174" s="3">
        <v>0.65</v>
      </c>
      <c r="AJ174" s="18">
        <v>0.35</v>
      </c>
      <c r="AK174" s="6">
        <f>ROUND((AD174-(AD174*BG174)),2)</f>
        <v>249.58</v>
      </c>
      <c r="AL174" s="6">
        <f>ROUND((AD174-(AD174*BH174)),2)</f>
        <v>247.06</v>
      </c>
      <c r="AM174" s="6">
        <f>ROUND((AD174-(AD174*BI174)),2)</f>
        <v>244.54</v>
      </c>
      <c r="AN174" s="6">
        <f>ROUND((AD174-(AD174*BJ174)),2)</f>
        <v>244.54</v>
      </c>
      <c r="AO174" s="6">
        <f>ROUND((AD174-(AD174*BK174)),2)</f>
        <v>252.1</v>
      </c>
      <c r="BG174" s="12">
        <v>0.01</v>
      </c>
      <c r="BH174" s="12">
        <v>0.02</v>
      </c>
      <c r="BI174" s="12">
        <v>0.03</v>
      </c>
      <c r="BJ174" s="12">
        <v>0.03</v>
      </c>
      <c r="CC174" s="3" t="str">
        <f>IF(B174&lt;&gt;"",CONCATENATE(SUBSTITUTE(B174," ","-"),".jpg"),"")</f>
        <v>Allied-Moulded-AMU1426W.jpg</v>
      </c>
      <c r="CD174" s="16" t="s">
        <v>111</v>
      </c>
      <c r="CE174" s="3"/>
      <c r="CF174" s="3"/>
      <c r="CG174" s="3" t="s">
        <v>112</v>
      </c>
      <c r="CI174" s="3" t="s">
        <v>97</v>
      </c>
      <c r="CJ174" s="3" t="s">
        <v>467</v>
      </c>
      <c r="CK174" s="3" t="s">
        <v>114</v>
      </c>
      <c r="CL174" s="3" t="s">
        <v>115</v>
      </c>
      <c r="CM174" s="16"/>
      <c r="CN174" s="16" t="s">
        <v>349</v>
      </c>
      <c r="CO174" s="3" t="s">
        <v>118</v>
      </c>
      <c r="CP174" s="3" t="s">
        <v>139</v>
      </c>
      <c r="CQ174" s="3" t="s">
        <v>120</v>
      </c>
      <c r="CR174" s="3" t="s">
        <v>140</v>
      </c>
      <c r="CS174" s="3" t="s">
        <v>384</v>
      </c>
      <c r="CT174" s="16" t="s">
        <v>1037</v>
      </c>
      <c r="CU174" s="16" t="s">
        <v>125</v>
      </c>
      <c r="CV174" s="16" t="s">
        <v>351</v>
      </c>
    </row>
    <row r="175" spans="1:100" ht="15" customHeight="1">
      <c r="A175" t="s">
        <v>1216</v>
      </c>
      <c r="B175" s="3" t="s">
        <v>1217</v>
      </c>
      <c r="C175" s="16" t="s">
        <v>97</v>
      </c>
      <c r="D175" s="39" t="s">
        <v>1218</v>
      </c>
      <c r="E175" s="16" t="s">
        <v>97</v>
      </c>
      <c r="F175" s="131" t="s">
        <v>1219</v>
      </c>
      <c r="I175" s="100" t="s">
        <v>342</v>
      </c>
      <c r="J175" s="16" t="s">
        <v>101</v>
      </c>
      <c r="K175" s="16"/>
      <c r="L175" s="3" t="s">
        <v>102</v>
      </c>
      <c r="M175" s="3" t="s">
        <v>103</v>
      </c>
      <c r="N175" s="3" t="s">
        <v>104</v>
      </c>
      <c r="O175" s="16" t="s">
        <v>105</v>
      </c>
      <c r="P175" s="3" t="s">
        <v>1220</v>
      </c>
      <c r="Q175" s="3" t="s">
        <v>1220</v>
      </c>
      <c r="R175" s="3" t="s">
        <v>1220</v>
      </c>
      <c r="S175" t="s">
        <v>1216</v>
      </c>
      <c r="T175" s="130" t="s">
        <v>465</v>
      </c>
      <c r="U175" s="50">
        <v>8</v>
      </c>
      <c r="V175" s="54"/>
      <c r="W175" s="54"/>
      <c r="X175" s="59" t="s">
        <v>108</v>
      </c>
      <c r="Y175" s="93">
        <f>IF(AD175=0, 0, IF(OR(H175="", H175&lt;&gt;0), 1, 0))</f>
        <v>1</v>
      </c>
      <c r="Z175" s="3">
        <v>0</v>
      </c>
      <c r="AA175" s="3" t="s">
        <v>1221</v>
      </c>
      <c r="AD175" s="6">
        <f>ROUND((AG175*(1+AJ175)),2)</f>
        <v>258.92</v>
      </c>
      <c r="AE175" s="69">
        <v>295.06346654999999</v>
      </c>
      <c r="AF175" s="17">
        <f>(AE175*1)</f>
        <v>295.06346654999999</v>
      </c>
      <c r="AG175" s="6">
        <f>ROUND((AE175*AI175),2)</f>
        <v>191.79</v>
      </c>
      <c r="AH175" s="30" t="s">
        <v>110</v>
      </c>
      <c r="AI175" s="3">
        <v>0.65</v>
      </c>
      <c r="AJ175" s="18">
        <v>0.35</v>
      </c>
      <c r="AK175" s="6">
        <f>ROUND((AD175-(AD175*BG175)),2)</f>
        <v>256.33</v>
      </c>
      <c r="AL175" s="6">
        <f>ROUND((AD175-(AD175*BH175)),2)</f>
        <v>253.74</v>
      </c>
      <c r="AM175" s="6">
        <f>ROUND((AD175-(AD175*BI175)),2)</f>
        <v>251.15</v>
      </c>
      <c r="AN175" s="6">
        <f>ROUND((AD175-(AD175*BJ175)),2)</f>
        <v>251.15</v>
      </c>
      <c r="AO175" s="6">
        <f>ROUND((AD175-(AD175*BK175)),2)</f>
        <v>258.92</v>
      </c>
      <c r="BG175" s="12">
        <v>0.01</v>
      </c>
      <c r="BH175" s="12">
        <v>0.02</v>
      </c>
      <c r="BI175" s="12">
        <v>0.03</v>
      </c>
      <c r="BJ175" s="12">
        <v>0.03</v>
      </c>
      <c r="CC175" s="3" t="str">
        <f>IF(B175&lt;&gt;"",CONCATENATE(SUBSTITUTE(B175," ","-"),".jpg"),"")</f>
        <v>Allied-Moulded-AMU1426WF.jpg</v>
      </c>
      <c r="CD175" s="16" t="s">
        <v>111</v>
      </c>
      <c r="CE175" s="3"/>
      <c r="CF175" s="3"/>
      <c r="CG175" s="3" t="s">
        <v>112</v>
      </c>
      <c r="CI175" s="3" t="s">
        <v>97</v>
      </c>
      <c r="CJ175" s="3" t="s">
        <v>467</v>
      </c>
      <c r="CK175" s="3" t="s">
        <v>114</v>
      </c>
      <c r="CL175" s="3" t="s">
        <v>115</v>
      </c>
      <c r="CM175" s="16"/>
      <c r="CN175" s="16" t="s">
        <v>349</v>
      </c>
      <c r="CO175" s="3" t="s">
        <v>118</v>
      </c>
      <c r="CP175" s="3" t="s">
        <v>139</v>
      </c>
      <c r="CQ175" s="3" t="s">
        <v>120</v>
      </c>
      <c r="CR175" s="3" t="s">
        <v>140</v>
      </c>
      <c r="CS175" s="3" t="s">
        <v>384</v>
      </c>
      <c r="CT175" s="16" t="s">
        <v>1037</v>
      </c>
      <c r="CU175" s="16" t="s">
        <v>125</v>
      </c>
      <c r="CV175" s="16" t="s">
        <v>351</v>
      </c>
    </row>
    <row r="176" spans="1:100" ht="15" customHeight="1">
      <c r="A176" t="s">
        <v>1222</v>
      </c>
      <c r="B176" s="3" t="s">
        <v>1223</v>
      </c>
      <c r="C176" s="16" t="s">
        <v>97</v>
      </c>
      <c r="D176" s="40" t="s">
        <v>1224</v>
      </c>
      <c r="E176" s="16" t="s">
        <v>97</v>
      </c>
      <c r="F176" s="131" t="s">
        <v>1225</v>
      </c>
      <c r="I176" s="100" t="s">
        <v>342</v>
      </c>
      <c r="J176" s="16" t="s">
        <v>101</v>
      </c>
      <c r="K176" s="16"/>
      <c r="L176" s="3" t="s">
        <v>102</v>
      </c>
      <c r="M176" s="3" t="s">
        <v>103</v>
      </c>
      <c r="N176" s="3" t="s">
        <v>104</v>
      </c>
      <c r="O176" s="16" t="s">
        <v>105</v>
      </c>
      <c r="P176" s="3" t="s">
        <v>1226</v>
      </c>
      <c r="Q176" s="3" t="s">
        <v>1226</v>
      </c>
      <c r="R176" s="3" t="s">
        <v>1226</v>
      </c>
      <c r="S176" t="s">
        <v>1222</v>
      </c>
      <c r="T176" s="130" t="s">
        <v>465</v>
      </c>
      <c r="U176" s="35">
        <v>8</v>
      </c>
      <c r="V176" s="40"/>
      <c r="W176" s="40"/>
      <c r="X176" s="59" t="s">
        <v>108</v>
      </c>
      <c r="Y176" s="93">
        <f>IF(AD176=0, 0, IF(OR(H176="", H176&lt;&gt;0), 1, 0))</f>
        <v>1</v>
      </c>
      <c r="Z176" s="3">
        <v>0</v>
      </c>
      <c r="AA176" s="3" t="s">
        <v>1227</v>
      </c>
      <c r="AD176" s="6">
        <f>ROUND((AG176*(1+AJ176)),2)</f>
        <v>254.29</v>
      </c>
      <c r="AE176" s="69">
        <v>289.78442094000002</v>
      </c>
      <c r="AF176" s="17">
        <f>(AE176*1)</f>
        <v>289.78442094000002</v>
      </c>
      <c r="AG176" s="6">
        <f>ROUND((AE176*AI176),2)</f>
        <v>188.36</v>
      </c>
      <c r="AH176" s="30" t="s">
        <v>110</v>
      </c>
      <c r="AI176" s="3">
        <v>0.65</v>
      </c>
      <c r="AJ176" s="18">
        <v>0.35</v>
      </c>
      <c r="AK176" s="6">
        <f>ROUND((AD176-(AD176*BG176)),2)</f>
        <v>251.75</v>
      </c>
      <c r="AL176" s="6">
        <f>ROUND((AD176-(AD176*BH176)),2)</f>
        <v>249.2</v>
      </c>
      <c r="AM176" s="6">
        <f>ROUND((AD176-(AD176*BI176)),2)</f>
        <v>246.66</v>
      </c>
      <c r="AN176" s="6">
        <f>ROUND((AD176-(AD176*BJ176)),2)</f>
        <v>246.66</v>
      </c>
      <c r="AO176" s="6">
        <f>ROUND((AD176-(AD176*BK176)),2)</f>
        <v>254.29</v>
      </c>
      <c r="BG176" s="12">
        <v>0.01</v>
      </c>
      <c r="BH176" s="12">
        <v>0.02</v>
      </c>
      <c r="BI176" s="12">
        <v>0.03</v>
      </c>
      <c r="BJ176" s="12">
        <v>0.03</v>
      </c>
      <c r="CC176" s="3" t="str">
        <f>IF(B176&lt;&gt;"",CONCATENATE(SUBSTITUTE(B176," ","-"),".jpg"),"")</f>
        <v>Allied-Moulded-AMU1426HW.jpg</v>
      </c>
      <c r="CD176" s="16" t="s">
        <v>111</v>
      </c>
      <c r="CE176" s="3"/>
      <c r="CF176" s="3"/>
      <c r="CG176" s="3" t="s">
        <v>112</v>
      </c>
      <c r="CI176" s="3" t="s">
        <v>97</v>
      </c>
      <c r="CJ176" s="3" t="s">
        <v>467</v>
      </c>
      <c r="CK176" s="3" t="s">
        <v>114</v>
      </c>
      <c r="CL176" s="3" t="s">
        <v>115</v>
      </c>
      <c r="CM176" s="3" t="s">
        <v>116</v>
      </c>
      <c r="CN176" s="16" t="s">
        <v>349</v>
      </c>
      <c r="CO176" s="3" t="s">
        <v>118</v>
      </c>
      <c r="CP176" s="3" t="s">
        <v>139</v>
      </c>
      <c r="CQ176" s="3" t="s">
        <v>120</v>
      </c>
      <c r="CR176" s="3" t="s">
        <v>140</v>
      </c>
      <c r="CS176" s="3" t="s">
        <v>384</v>
      </c>
      <c r="CT176" s="16" t="s">
        <v>1037</v>
      </c>
      <c r="CU176" s="16" t="s">
        <v>125</v>
      </c>
      <c r="CV176" s="16" t="s">
        <v>351</v>
      </c>
    </row>
    <row r="177" spans="1:100" ht="15" customHeight="1">
      <c r="A177" t="s">
        <v>1228</v>
      </c>
      <c r="B177" s="3" t="s">
        <v>1229</v>
      </c>
      <c r="C177" s="16" t="s">
        <v>97</v>
      </c>
      <c r="D177" s="39" t="s">
        <v>1230</v>
      </c>
      <c r="E177" s="16" t="s">
        <v>97</v>
      </c>
      <c r="F177" s="131" t="s">
        <v>1231</v>
      </c>
      <c r="I177" s="100" t="s">
        <v>342</v>
      </c>
      <c r="J177" s="16" t="s">
        <v>101</v>
      </c>
      <c r="K177" s="16"/>
      <c r="L177" s="3" t="s">
        <v>102</v>
      </c>
      <c r="M177" s="3" t="s">
        <v>103</v>
      </c>
      <c r="N177" s="3" t="s">
        <v>104</v>
      </c>
      <c r="O177" s="16" t="s">
        <v>105</v>
      </c>
      <c r="P177" s="3" t="s">
        <v>1232</v>
      </c>
      <c r="Q177" s="3" t="s">
        <v>1232</v>
      </c>
      <c r="R177" s="3" t="s">
        <v>1232</v>
      </c>
      <c r="S177" t="s">
        <v>1228</v>
      </c>
      <c r="T177" s="130" t="s">
        <v>465</v>
      </c>
      <c r="U177" s="34">
        <v>8</v>
      </c>
      <c r="V177" s="39"/>
      <c r="W177" s="39"/>
      <c r="X177" s="59" t="s">
        <v>108</v>
      </c>
      <c r="Y177" s="93">
        <f>IF(AD177=0, 0, IF(OR(H177="", H177&lt;&gt;0), 1, 0))</f>
        <v>1</v>
      </c>
      <c r="Z177" s="3">
        <v>0</v>
      </c>
      <c r="AA177" s="3" t="s">
        <v>1233</v>
      </c>
      <c r="AD177" s="6">
        <f>ROUND((AG177*(1+AJ177)),2)</f>
        <v>261.36</v>
      </c>
      <c r="AE177" s="69">
        <v>297.84376408999998</v>
      </c>
      <c r="AF177" s="17">
        <f>(AE177*1)</f>
        <v>297.84376408999998</v>
      </c>
      <c r="AG177" s="6">
        <f>ROUND((AE177*AI177),2)</f>
        <v>193.6</v>
      </c>
      <c r="AH177" s="30" t="s">
        <v>110</v>
      </c>
      <c r="AI177" s="3">
        <v>0.65</v>
      </c>
      <c r="AJ177" s="18">
        <v>0.35</v>
      </c>
      <c r="AK177" s="6">
        <f>ROUND((AD177-(AD177*BG177)),2)</f>
        <v>258.75</v>
      </c>
      <c r="AL177" s="6">
        <f>ROUND((AD177-(AD177*BH177)),2)</f>
        <v>256.13</v>
      </c>
      <c r="AM177" s="6">
        <f>ROUND((AD177-(AD177*BI177)),2)</f>
        <v>253.52</v>
      </c>
      <c r="AN177" s="6">
        <f>ROUND((AD177-(AD177*BJ177)),2)</f>
        <v>253.52</v>
      </c>
      <c r="AO177" s="6">
        <f>ROUND((AD177-(AD177*BK177)),2)</f>
        <v>261.36</v>
      </c>
      <c r="BG177" s="12">
        <v>0.01</v>
      </c>
      <c r="BH177" s="12">
        <v>0.02</v>
      </c>
      <c r="BI177" s="12">
        <v>0.03</v>
      </c>
      <c r="BJ177" s="12">
        <v>0.03</v>
      </c>
      <c r="CC177" s="3" t="str">
        <f>IF(B177&lt;&gt;"",CONCATENATE(SUBSTITUTE(B177," ","-"),".jpg"),"")</f>
        <v>Allied-Moulded-AMU1426HWF.jpg</v>
      </c>
      <c r="CD177" s="16" t="s">
        <v>111</v>
      </c>
      <c r="CE177" s="3"/>
      <c r="CF177" s="3"/>
      <c r="CG177" s="3" t="s">
        <v>112</v>
      </c>
      <c r="CI177" s="3" t="s">
        <v>97</v>
      </c>
      <c r="CJ177" s="3" t="s">
        <v>467</v>
      </c>
      <c r="CK177" s="3" t="s">
        <v>114</v>
      </c>
      <c r="CL177" s="3" t="s">
        <v>115</v>
      </c>
      <c r="CM177" s="3" t="s">
        <v>116</v>
      </c>
      <c r="CN177" s="16" t="s">
        <v>349</v>
      </c>
      <c r="CO177" s="3" t="s">
        <v>118</v>
      </c>
      <c r="CP177" s="3" t="s">
        <v>139</v>
      </c>
      <c r="CQ177" s="3" t="s">
        <v>120</v>
      </c>
      <c r="CR177" s="3" t="s">
        <v>140</v>
      </c>
      <c r="CS177" s="3" t="s">
        <v>384</v>
      </c>
      <c r="CT177" s="16" t="s">
        <v>1037</v>
      </c>
      <c r="CU177" s="16" t="s">
        <v>125</v>
      </c>
      <c r="CV177" s="16" t="s">
        <v>351</v>
      </c>
    </row>
    <row r="178" spans="1:100" ht="15" customHeight="1">
      <c r="A178" t="s">
        <v>1234</v>
      </c>
      <c r="B178" s="3" t="s">
        <v>1235</v>
      </c>
      <c r="C178" s="16" t="s">
        <v>97</v>
      </c>
      <c r="D178" s="39" t="s">
        <v>1236</v>
      </c>
      <c r="E178" s="16" t="s">
        <v>97</v>
      </c>
      <c r="F178" s="131" t="s">
        <v>1237</v>
      </c>
      <c r="I178" s="100" t="s">
        <v>342</v>
      </c>
      <c r="J178" s="16" t="s">
        <v>101</v>
      </c>
      <c r="K178" s="16"/>
      <c r="L178" s="3" t="s">
        <v>102</v>
      </c>
      <c r="M178" s="3" t="s">
        <v>103</v>
      </c>
      <c r="N178" s="3" t="s">
        <v>104</v>
      </c>
      <c r="O178" s="16" t="s">
        <v>105</v>
      </c>
      <c r="P178" s="3" t="s">
        <v>1238</v>
      </c>
      <c r="Q178" s="3" t="s">
        <v>1238</v>
      </c>
      <c r="R178" s="3" t="s">
        <v>1238</v>
      </c>
      <c r="S178" t="s">
        <v>1234</v>
      </c>
      <c r="T178" s="130" t="s">
        <v>465</v>
      </c>
      <c r="U178" s="34">
        <v>8</v>
      </c>
      <c r="V178" s="39"/>
      <c r="W178" s="39"/>
      <c r="X178" s="59" t="s">
        <v>108</v>
      </c>
      <c r="Y178" s="93">
        <f>IF(AD178=0, 0, IF(OR(H178="", H178&lt;&gt;0), 1, 0))</f>
        <v>1</v>
      </c>
      <c r="Z178" s="3">
        <v>0</v>
      </c>
      <c r="AA178" s="3" t="s">
        <v>1239</v>
      </c>
      <c r="AD178" s="6">
        <f>ROUND((AG178*(1+AJ178)),2)</f>
        <v>278.44</v>
      </c>
      <c r="AE178" s="69">
        <v>317.30584790000006</v>
      </c>
      <c r="AF178" s="17">
        <f>(AE178*1)</f>
        <v>317.30584790000006</v>
      </c>
      <c r="AG178" s="6">
        <f>ROUND((AE178*AI178),2)</f>
        <v>206.25</v>
      </c>
      <c r="AH178" s="30" t="s">
        <v>110</v>
      </c>
      <c r="AI178" s="3">
        <v>0.65</v>
      </c>
      <c r="AJ178" s="18">
        <v>0.35</v>
      </c>
      <c r="AK178" s="6">
        <f>ROUND((AD178-(AD178*BG178)),2)</f>
        <v>275.66000000000003</v>
      </c>
      <c r="AL178" s="6">
        <f>ROUND((AD178-(AD178*BH178)),2)</f>
        <v>272.87</v>
      </c>
      <c r="AM178" s="6">
        <f>ROUND((AD178-(AD178*BI178)),2)</f>
        <v>270.08999999999997</v>
      </c>
      <c r="AN178" s="6">
        <f>ROUND((AD178-(AD178*BJ178)),2)</f>
        <v>270.08999999999997</v>
      </c>
      <c r="AO178" s="6">
        <f>ROUND((AD178-(AD178*BK178)),2)</f>
        <v>278.44</v>
      </c>
      <c r="BG178" s="12">
        <v>0.01</v>
      </c>
      <c r="BH178" s="12">
        <v>0.02</v>
      </c>
      <c r="BI178" s="12">
        <v>0.03</v>
      </c>
      <c r="BJ178" s="12">
        <v>0.03</v>
      </c>
      <c r="CC178" s="3" t="str">
        <f>IF(B178&lt;&gt;"",CONCATENATE(SUBSTITUTE(B178," ","-"),".jpg"),"")</f>
        <v>Allied-Moulded-AMU1426LW.jpg</v>
      </c>
      <c r="CD178" s="16" t="s">
        <v>111</v>
      </c>
      <c r="CE178" s="3"/>
      <c r="CF178" s="3"/>
      <c r="CG178" s="3" t="s">
        <v>112</v>
      </c>
      <c r="CI178" s="3" t="s">
        <v>97</v>
      </c>
      <c r="CJ178" s="3" t="s">
        <v>467</v>
      </c>
      <c r="CK178" s="3" t="s">
        <v>114</v>
      </c>
      <c r="CL178" s="3" t="s">
        <v>115</v>
      </c>
      <c r="CM178" s="3" t="s">
        <v>116</v>
      </c>
      <c r="CN178" t="s">
        <v>117</v>
      </c>
      <c r="CO178" s="3" t="s">
        <v>118</v>
      </c>
      <c r="CP178" s="3" t="s">
        <v>139</v>
      </c>
      <c r="CQ178" s="3" t="s">
        <v>120</v>
      </c>
      <c r="CR178" s="3" t="s">
        <v>140</v>
      </c>
      <c r="CS178" s="16" t="s">
        <v>122</v>
      </c>
      <c r="CT178" s="16" t="s">
        <v>1037</v>
      </c>
      <c r="CU178" s="16" t="s">
        <v>125</v>
      </c>
      <c r="CV178" s="16" t="s">
        <v>351</v>
      </c>
    </row>
    <row r="179" spans="1:100" ht="15" customHeight="1">
      <c r="A179" t="s">
        <v>1240</v>
      </c>
      <c r="B179" s="3" t="s">
        <v>1241</v>
      </c>
      <c r="C179" s="16" t="s">
        <v>97</v>
      </c>
      <c r="D179" s="40" t="s">
        <v>1242</v>
      </c>
      <c r="E179" s="16" t="s">
        <v>97</v>
      </c>
      <c r="F179" s="131" t="s">
        <v>1243</v>
      </c>
      <c r="I179" s="100" t="s">
        <v>342</v>
      </c>
      <c r="J179" s="16" t="s">
        <v>101</v>
      </c>
      <c r="K179" s="16"/>
      <c r="L179" s="3" t="s">
        <v>102</v>
      </c>
      <c r="M179" s="3" t="s">
        <v>103</v>
      </c>
      <c r="N179" s="3" t="s">
        <v>104</v>
      </c>
      <c r="O179" s="16" t="s">
        <v>105</v>
      </c>
      <c r="P179" s="3" t="s">
        <v>1244</v>
      </c>
      <c r="Q179" s="3" t="s">
        <v>1244</v>
      </c>
      <c r="R179" s="3" t="s">
        <v>1244</v>
      </c>
      <c r="S179" t="s">
        <v>1240</v>
      </c>
      <c r="T179" s="130" t="s">
        <v>465</v>
      </c>
      <c r="U179" s="35">
        <v>8</v>
      </c>
      <c r="V179" s="40"/>
      <c r="W179" s="40"/>
      <c r="X179" s="59" t="s">
        <v>108</v>
      </c>
      <c r="Y179" s="93">
        <f>IF(AD179=0, 0, IF(OR(H179="", H179&lt;&gt;0), 1, 0))</f>
        <v>1</v>
      </c>
      <c r="Z179" s="3">
        <v>0</v>
      </c>
      <c r="AA179" s="3" t="s">
        <v>1245</v>
      </c>
      <c r="AD179" s="6">
        <f>ROUND((AG179*(1+AJ179)),2)</f>
        <v>286.11</v>
      </c>
      <c r="AE179" s="69">
        <v>326.05146666000002</v>
      </c>
      <c r="AF179" s="17">
        <f>(AE179*1)</f>
        <v>326.05146666000002</v>
      </c>
      <c r="AG179" s="6">
        <f>ROUND((AE179*AI179),2)</f>
        <v>211.93</v>
      </c>
      <c r="AH179" s="30" t="s">
        <v>110</v>
      </c>
      <c r="AI179" s="3">
        <v>0.65</v>
      </c>
      <c r="AJ179" s="18">
        <v>0.35</v>
      </c>
      <c r="AK179" s="6">
        <f>ROUND((AD179-(AD179*BG179)),2)</f>
        <v>283.25</v>
      </c>
      <c r="AL179" s="6">
        <f>ROUND((AD179-(AD179*BH179)),2)</f>
        <v>280.39</v>
      </c>
      <c r="AM179" s="6">
        <f>ROUND((AD179-(AD179*BI179)),2)</f>
        <v>277.52999999999997</v>
      </c>
      <c r="AN179" s="6">
        <f>ROUND((AD179-(AD179*BJ179)),2)</f>
        <v>277.52999999999997</v>
      </c>
      <c r="AO179" s="6">
        <f>ROUND((AD179-(AD179*BK179)),2)</f>
        <v>286.11</v>
      </c>
      <c r="BG179" s="12">
        <v>0.01</v>
      </c>
      <c r="BH179" s="12">
        <v>0.02</v>
      </c>
      <c r="BI179" s="12">
        <v>0.03</v>
      </c>
      <c r="BJ179" s="12">
        <v>0.03</v>
      </c>
      <c r="CC179" s="3" t="str">
        <f>IF(B179&lt;&gt;"",CONCATENATE(SUBSTITUTE(B179," ","-"),".jpg"),"")</f>
        <v>Allied-Moulded-AMU1426LWF.jpg</v>
      </c>
      <c r="CD179" s="16" t="s">
        <v>111</v>
      </c>
      <c r="CE179" s="3"/>
      <c r="CF179" s="3"/>
      <c r="CG179" s="3" t="s">
        <v>112</v>
      </c>
      <c r="CI179" s="3" t="s">
        <v>97</v>
      </c>
      <c r="CJ179" s="3" t="s">
        <v>467</v>
      </c>
      <c r="CK179" s="3" t="s">
        <v>114</v>
      </c>
      <c r="CL179" s="3" t="s">
        <v>115</v>
      </c>
      <c r="CM179" s="3" t="s">
        <v>116</v>
      </c>
      <c r="CN179" t="s">
        <v>117</v>
      </c>
      <c r="CO179" s="3" t="s">
        <v>118</v>
      </c>
      <c r="CP179" s="3" t="s">
        <v>139</v>
      </c>
      <c r="CQ179" s="3" t="s">
        <v>120</v>
      </c>
      <c r="CR179" s="3" t="s">
        <v>140</v>
      </c>
      <c r="CS179" s="16" t="s">
        <v>122</v>
      </c>
      <c r="CT179" s="16" t="s">
        <v>1037</v>
      </c>
      <c r="CU179" s="16" t="s">
        <v>125</v>
      </c>
      <c r="CV179" s="16" t="s">
        <v>351</v>
      </c>
    </row>
    <row r="180" spans="1:100" ht="15" customHeight="1">
      <c r="A180" t="s">
        <v>1246</v>
      </c>
      <c r="B180" s="3" t="s">
        <v>1247</v>
      </c>
      <c r="C180" s="16" t="s">
        <v>97</v>
      </c>
      <c r="D180" s="40" t="s">
        <v>1248</v>
      </c>
      <c r="E180" s="16" t="s">
        <v>97</v>
      </c>
      <c r="F180" s="131" t="s">
        <v>1249</v>
      </c>
      <c r="I180" s="100" t="s">
        <v>342</v>
      </c>
      <c r="J180" s="16" t="s">
        <v>101</v>
      </c>
      <c r="K180" s="16"/>
      <c r="L180" s="3" t="s">
        <v>102</v>
      </c>
      <c r="M180" s="3" t="s">
        <v>103</v>
      </c>
      <c r="N180" s="3" t="s">
        <v>104</v>
      </c>
      <c r="O180" s="16" t="s">
        <v>105</v>
      </c>
      <c r="P180" s="3" t="s">
        <v>1250</v>
      </c>
      <c r="Q180" s="3" t="s">
        <v>1250</v>
      </c>
      <c r="R180" s="3" t="s">
        <v>1250</v>
      </c>
      <c r="S180" t="s">
        <v>1246</v>
      </c>
      <c r="T180" s="130" t="s">
        <v>465</v>
      </c>
      <c r="U180" s="35">
        <v>8</v>
      </c>
      <c r="V180" s="40"/>
      <c r="W180" s="40"/>
      <c r="X180" s="59" t="s">
        <v>108</v>
      </c>
      <c r="Y180" s="93">
        <f>IF(AD180=0, 0, IF(OR(H180="", H180&lt;&gt;0), 1, 0))</f>
        <v>1</v>
      </c>
      <c r="Z180" s="3">
        <v>0</v>
      </c>
      <c r="AA180" s="3" t="s">
        <v>1251</v>
      </c>
      <c r="AD180" s="6">
        <f>ROUND((AG180*(1+AJ180)),2)</f>
        <v>264.49</v>
      </c>
      <c r="AE180" s="69">
        <v>301.41591945000005</v>
      </c>
      <c r="AF180" s="17">
        <f>(AE180*1)</f>
        <v>301.41591945000005</v>
      </c>
      <c r="AG180" s="6">
        <f>ROUND((AE180*AI180),2)</f>
        <v>195.92</v>
      </c>
      <c r="AH180" s="30" t="s">
        <v>110</v>
      </c>
      <c r="AI180" s="3">
        <v>0.65</v>
      </c>
      <c r="AJ180" s="18">
        <v>0.35</v>
      </c>
      <c r="AK180" s="6">
        <f>ROUND((AD180-(AD180*BG180)),2)</f>
        <v>261.85000000000002</v>
      </c>
      <c r="AL180" s="6">
        <f>ROUND((AD180-(AD180*BH180)),2)</f>
        <v>259.2</v>
      </c>
      <c r="AM180" s="6">
        <f>ROUND((AD180-(AD180*BI180)),2)</f>
        <v>256.56</v>
      </c>
      <c r="AN180" s="6">
        <f>ROUND((AD180-(AD180*BJ180)),2)</f>
        <v>256.56</v>
      </c>
      <c r="AO180" s="6">
        <f>ROUND((AD180-(AD180*BK180)),2)</f>
        <v>264.49</v>
      </c>
      <c r="BG180" s="12">
        <v>0.01</v>
      </c>
      <c r="BH180" s="12">
        <v>0.02</v>
      </c>
      <c r="BI180" s="12">
        <v>0.03</v>
      </c>
      <c r="BJ180" s="12">
        <v>0.03</v>
      </c>
      <c r="CC180" s="3" t="str">
        <f>IF(B180&lt;&gt;"",CONCATENATE(SUBSTITUTE(B180," ","-"),".jpg"),"")</f>
        <v>Allied-Moulded-AMU1426NLW.jpg</v>
      </c>
      <c r="CD180" s="16" t="s">
        <v>111</v>
      </c>
      <c r="CE180" s="3"/>
      <c r="CF180" s="3"/>
      <c r="CG180" s="3" t="s">
        <v>112</v>
      </c>
      <c r="CI180" s="3" t="s">
        <v>97</v>
      </c>
      <c r="CJ180" s="3" t="s">
        <v>467</v>
      </c>
      <c r="CK180" s="3" t="s">
        <v>114</v>
      </c>
      <c r="CL180" s="3" t="s">
        <v>115</v>
      </c>
      <c r="CM180" s="3" t="s">
        <v>116</v>
      </c>
      <c r="CN180" t="s">
        <v>117</v>
      </c>
      <c r="CO180" s="3" t="s">
        <v>118</v>
      </c>
      <c r="CP180" s="3" t="s">
        <v>139</v>
      </c>
      <c r="CQ180" s="3" t="s">
        <v>120</v>
      </c>
      <c r="CR180" s="16" t="s">
        <v>121</v>
      </c>
      <c r="CS180" s="16" t="s">
        <v>122</v>
      </c>
      <c r="CT180" s="16" t="s">
        <v>1037</v>
      </c>
      <c r="CU180" s="16" t="s">
        <v>125</v>
      </c>
      <c r="CV180" s="16" t="s">
        <v>351</v>
      </c>
    </row>
    <row r="181" spans="1:100" ht="15" customHeight="1">
      <c r="A181" t="s">
        <v>1252</v>
      </c>
      <c r="B181" s="3" t="s">
        <v>1253</v>
      </c>
      <c r="C181" s="16" t="s">
        <v>97</v>
      </c>
      <c r="D181" s="41" t="s">
        <v>1254</v>
      </c>
      <c r="E181" s="16" t="s">
        <v>97</v>
      </c>
      <c r="F181" s="131" t="s">
        <v>1255</v>
      </c>
      <c r="I181" s="100" t="s">
        <v>342</v>
      </c>
      <c r="J181" s="16" t="s">
        <v>101</v>
      </c>
      <c r="K181" s="16"/>
      <c r="L181" s="3" t="s">
        <v>102</v>
      </c>
      <c r="M181" s="3" t="s">
        <v>103</v>
      </c>
      <c r="N181" s="3" t="s">
        <v>104</v>
      </c>
      <c r="O181" s="16" t="s">
        <v>105</v>
      </c>
      <c r="P181" s="3" t="s">
        <v>1256</v>
      </c>
      <c r="Q181" s="3" t="s">
        <v>1256</v>
      </c>
      <c r="R181" s="3" t="s">
        <v>1256</v>
      </c>
      <c r="S181" t="s">
        <v>1252</v>
      </c>
      <c r="T181" s="130" t="s">
        <v>465</v>
      </c>
      <c r="U181" s="36">
        <v>8</v>
      </c>
      <c r="V181" s="39"/>
      <c r="W181" s="39"/>
      <c r="X181" s="59" t="s">
        <v>108</v>
      </c>
      <c r="Y181" s="93">
        <f>IF(AD181=0, 0, IF(OR(H181="", H181&lt;&gt;0), 1, 0))</f>
        <v>1</v>
      </c>
      <c r="Z181" s="3">
        <v>0</v>
      </c>
      <c r="AA181" s="3" t="s">
        <v>1257</v>
      </c>
      <c r="AD181" s="6">
        <f>ROUND((AG181*(1+AJ181)),2)</f>
        <v>271.8</v>
      </c>
      <c r="AE181" s="68">
        <v>309.73921658</v>
      </c>
      <c r="AF181" s="17">
        <f>(AE181*1)</f>
        <v>309.73921658</v>
      </c>
      <c r="AG181" s="6">
        <f>ROUND((AE181*AI181),2)</f>
        <v>201.33</v>
      </c>
      <c r="AH181" s="30" t="s">
        <v>110</v>
      </c>
      <c r="AI181" s="3">
        <v>0.65</v>
      </c>
      <c r="AJ181" s="18">
        <v>0.35</v>
      </c>
      <c r="AK181" s="6">
        <f>ROUND((AD181-(AD181*BG181)),2)</f>
        <v>269.08</v>
      </c>
      <c r="AL181" s="6">
        <f>ROUND((AD181-(AD181*BH181)),2)</f>
        <v>266.36</v>
      </c>
      <c r="AM181" s="6">
        <f>ROUND((AD181-(AD181*BI181)),2)</f>
        <v>263.64999999999998</v>
      </c>
      <c r="AN181" s="6">
        <f>ROUND((AD181-(AD181*BJ181)),2)</f>
        <v>263.64999999999998</v>
      </c>
      <c r="AO181" s="6">
        <f>ROUND((AD181-(AD181*BK181)),2)</f>
        <v>271.8</v>
      </c>
      <c r="BG181" s="12">
        <v>0.01</v>
      </c>
      <c r="BH181" s="12">
        <v>0.02</v>
      </c>
      <c r="BI181" s="12">
        <v>0.03</v>
      </c>
      <c r="BJ181" s="12">
        <v>0.03</v>
      </c>
      <c r="CC181" s="3" t="str">
        <f>IF(B181&lt;&gt;"",CONCATENATE(SUBSTITUTE(B181," ","-"),".jpg"),"")</f>
        <v>Allied-Moulded-AMU1426NLWF.jpg</v>
      </c>
      <c r="CD181" s="16" t="s">
        <v>111</v>
      </c>
      <c r="CE181" s="3"/>
      <c r="CF181" s="3"/>
      <c r="CG181" s="3" t="s">
        <v>112</v>
      </c>
      <c r="CI181" s="3" t="s">
        <v>97</v>
      </c>
      <c r="CJ181" s="3" t="s">
        <v>467</v>
      </c>
      <c r="CK181" s="3" t="s">
        <v>114</v>
      </c>
      <c r="CL181" s="3" t="s">
        <v>115</v>
      </c>
      <c r="CM181" s="3" t="s">
        <v>116</v>
      </c>
      <c r="CN181" t="s">
        <v>117</v>
      </c>
      <c r="CO181" s="3" t="s">
        <v>118</v>
      </c>
      <c r="CP181" s="3" t="s">
        <v>139</v>
      </c>
      <c r="CQ181" s="3" t="s">
        <v>120</v>
      </c>
      <c r="CR181" s="16" t="s">
        <v>121</v>
      </c>
      <c r="CS181" s="16" t="s">
        <v>122</v>
      </c>
      <c r="CT181" s="16" t="s">
        <v>1037</v>
      </c>
      <c r="CU181" s="16" t="s">
        <v>125</v>
      </c>
      <c r="CV181" s="16" t="s">
        <v>351</v>
      </c>
    </row>
    <row r="182" spans="1:100" ht="15" customHeight="1">
      <c r="A182" t="s">
        <v>1258</v>
      </c>
      <c r="B182" s="3" t="s">
        <v>1259</v>
      </c>
      <c r="C182" s="16" t="s">
        <v>97</v>
      </c>
      <c r="D182" s="41" t="s">
        <v>1260</v>
      </c>
      <c r="E182" s="16" t="s">
        <v>97</v>
      </c>
      <c r="F182" s="131" t="s">
        <v>1261</v>
      </c>
      <c r="I182" s="100" t="s">
        <v>342</v>
      </c>
      <c r="J182" s="16" t="s">
        <v>101</v>
      </c>
      <c r="K182" s="16"/>
      <c r="L182" s="3" t="s">
        <v>102</v>
      </c>
      <c r="M182" s="3" t="s">
        <v>103</v>
      </c>
      <c r="N182" s="3" t="s">
        <v>104</v>
      </c>
      <c r="O182" s="16" t="s">
        <v>105</v>
      </c>
      <c r="P182" s="3" t="s">
        <v>1262</v>
      </c>
      <c r="Q182" s="3" t="s">
        <v>1262</v>
      </c>
      <c r="R182" s="3" t="s">
        <v>1262</v>
      </c>
      <c r="S182" t="s">
        <v>1258</v>
      </c>
      <c r="T182" s="130" t="s">
        <v>465</v>
      </c>
      <c r="U182" s="36">
        <v>8</v>
      </c>
      <c r="V182" s="39"/>
      <c r="W182" s="39"/>
      <c r="X182" s="59" t="s">
        <v>108</v>
      </c>
      <c r="Y182" s="93">
        <f>IF(AD182=0, 0, IF(OR(H182="", H182&lt;&gt;0), 1, 0))</f>
        <v>1</v>
      </c>
      <c r="Z182" s="3">
        <v>0</v>
      </c>
      <c r="AA182" s="3" t="s">
        <v>1263</v>
      </c>
      <c r="AD182" s="6">
        <f>ROUND((AG182*(1+AJ182)),2)</f>
        <v>278.44</v>
      </c>
      <c r="AE182" s="68">
        <v>317.30584790000006</v>
      </c>
      <c r="AF182" s="17">
        <f>(AE182*1)</f>
        <v>317.30584790000006</v>
      </c>
      <c r="AG182" s="6">
        <f>ROUND((AE182*AI182),2)</f>
        <v>206.25</v>
      </c>
      <c r="AH182" s="30" t="s">
        <v>110</v>
      </c>
      <c r="AI182" s="3">
        <v>0.65</v>
      </c>
      <c r="AJ182" s="18">
        <v>0.35</v>
      </c>
      <c r="AK182" s="6">
        <f>ROUND((AD182-(AD182*BG182)),2)</f>
        <v>275.66000000000003</v>
      </c>
      <c r="AL182" s="6">
        <f>ROUND((AD182-(AD182*BH182)),2)</f>
        <v>272.87</v>
      </c>
      <c r="AM182" s="6">
        <f>ROUND((AD182-(AD182*BI182)),2)</f>
        <v>270.08999999999997</v>
      </c>
      <c r="AN182" s="6">
        <f>ROUND((AD182-(AD182*BJ182)),2)</f>
        <v>270.08999999999997</v>
      </c>
      <c r="AO182" s="6">
        <f>ROUND((AD182-(AD182*BK182)),2)</f>
        <v>278.44</v>
      </c>
      <c r="BG182" s="12">
        <v>0.01</v>
      </c>
      <c r="BH182" s="12">
        <v>0.02</v>
      </c>
      <c r="BI182" s="12">
        <v>0.03</v>
      </c>
      <c r="BJ182" s="12">
        <v>0.03</v>
      </c>
      <c r="CC182" s="3" t="str">
        <f>IF(B182&lt;&gt;"",CONCATENATE(SUBSTITUTE(B182," ","-"),".jpg"),"")</f>
        <v>Allied-Moulded-AMU1426TW.jpg</v>
      </c>
      <c r="CD182" s="16" t="s">
        <v>111</v>
      </c>
      <c r="CE182" s="3"/>
      <c r="CF182" s="3"/>
      <c r="CG182" s="3" t="s">
        <v>112</v>
      </c>
      <c r="CI182" s="3" t="s">
        <v>97</v>
      </c>
      <c r="CJ182" s="3" t="s">
        <v>467</v>
      </c>
      <c r="CK182" s="3" t="s">
        <v>114</v>
      </c>
      <c r="CL182" s="3" t="s">
        <v>115</v>
      </c>
      <c r="CM182" s="3" t="s">
        <v>116</v>
      </c>
      <c r="CN182" s="16" t="s">
        <v>132</v>
      </c>
      <c r="CO182" s="3" t="s">
        <v>118</v>
      </c>
      <c r="CP182" s="3" t="s">
        <v>139</v>
      </c>
      <c r="CQ182" s="3" t="s">
        <v>120</v>
      </c>
      <c r="CR182" s="16" t="s">
        <v>121</v>
      </c>
      <c r="CS182" s="16" t="s">
        <v>122</v>
      </c>
      <c r="CT182" s="16" t="s">
        <v>1037</v>
      </c>
      <c r="CU182" s="16" t="s">
        <v>125</v>
      </c>
      <c r="CV182" s="16" t="s">
        <v>351</v>
      </c>
    </row>
    <row r="183" spans="1:100" ht="15" customHeight="1">
      <c r="A183" t="s">
        <v>1264</v>
      </c>
      <c r="B183" s="3" t="s">
        <v>1265</v>
      </c>
      <c r="C183" s="16" t="s">
        <v>97</v>
      </c>
      <c r="D183" s="40" t="s">
        <v>1266</v>
      </c>
      <c r="E183" s="16" t="s">
        <v>97</v>
      </c>
      <c r="F183" s="131" t="s">
        <v>1267</v>
      </c>
      <c r="I183" s="100" t="s">
        <v>342</v>
      </c>
      <c r="J183" s="16" t="s">
        <v>101</v>
      </c>
      <c r="K183" s="16"/>
      <c r="L183" s="3" t="s">
        <v>102</v>
      </c>
      <c r="M183" s="3" t="s">
        <v>103</v>
      </c>
      <c r="N183" s="3" t="s">
        <v>104</v>
      </c>
      <c r="O183" s="16" t="s">
        <v>105</v>
      </c>
      <c r="P183" s="3" t="s">
        <v>1268</v>
      </c>
      <c r="Q183" s="3" t="s">
        <v>1268</v>
      </c>
      <c r="R183" s="3" t="s">
        <v>1268</v>
      </c>
      <c r="S183" t="s">
        <v>1264</v>
      </c>
      <c r="T183" s="130" t="s">
        <v>465</v>
      </c>
      <c r="U183" s="35">
        <v>8</v>
      </c>
      <c r="V183" s="40"/>
      <c r="W183" s="40"/>
      <c r="X183" s="59" t="s">
        <v>108</v>
      </c>
      <c r="Y183" s="93">
        <f>IF(AD183=0, 0, IF(OR(H183="", H183&lt;&gt;0), 1, 0))</f>
        <v>1</v>
      </c>
      <c r="Z183" s="3">
        <v>0</v>
      </c>
      <c r="AA183" s="3" t="s">
        <v>1269</v>
      </c>
      <c r="AD183" s="6">
        <f>ROUND((AG183*(1+AJ183)),2)</f>
        <v>286.11</v>
      </c>
      <c r="AE183" s="69">
        <v>326.05146666000002</v>
      </c>
      <c r="AF183" s="17">
        <f>(AE183*1)</f>
        <v>326.05146666000002</v>
      </c>
      <c r="AG183" s="6">
        <f>ROUND((AE183*AI183),2)</f>
        <v>211.93</v>
      </c>
      <c r="AH183" s="30" t="s">
        <v>110</v>
      </c>
      <c r="AI183" s="3">
        <v>0.65</v>
      </c>
      <c r="AJ183" s="18">
        <v>0.35</v>
      </c>
      <c r="AK183" s="6">
        <f>ROUND((AD183-(AD183*BG183)),2)</f>
        <v>283.25</v>
      </c>
      <c r="AL183" s="6">
        <f>ROUND((AD183-(AD183*BH183)),2)</f>
        <v>280.39</v>
      </c>
      <c r="AM183" s="6">
        <f>ROUND((AD183-(AD183*BI183)),2)</f>
        <v>277.52999999999997</v>
      </c>
      <c r="AN183" s="6">
        <f>ROUND((AD183-(AD183*BJ183)),2)</f>
        <v>277.52999999999997</v>
      </c>
      <c r="AO183" s="6">
        <f>ROUND((AD183-(AD183*BK183)),2)</f>
        <v>286.11</v>
      </c>
      <c r="BG183" s="12">
        <v>0.01</v>
      </c>
      <c r="BH183" s="12">
        <v>0.02</v>
      </c>
      <c r="BI183" s="12">
        <v>0.03</v>
      </c>
      <c r="BJ183" s="12">
        <v>0.03</v>
      </c>
      <c r="CC183" s="3" t="str">
        <f>IF(B183&lt;&gt;"",CONCATENATE(SUBSTITUTE(B183," ","-"),".jpg"),"")</f>
        <v>Allied-Moulded-AMU1426TWF.jpg</v>
      </c>
      <c r="CD183" s="16" t="s">
        <v>111</v>
      </c>
      <c r="CE183" s="3"/>
      <c r="CF183" s="3"/>
      <c r="CG183" s="3" t="s">
        <v>112</v>
      </c>
      <c r="CI183" s="3" t="s">
        <v>97</v>
      </c>
      <c r="CJ183" s="3" t="s">
        <v>467</v>
      </c>
      <c r="CK183" s="3" t="s">
        <v>114</v>
      </c>
      <c r="CL183" s="3" t="s">
        <v>115</v>
      </c>
      <c r="CM183" s="3" t="s">
        <v>116</v>
      </c>
      <c r="CN183" s="16" t="s">
        <v>132</v>
      </c>
      <c r="CO183" s="3" t="s">
        <v>118</v>
      </c>
      <c r="CP183" s="3" t="s">
        <v>139</v>
      </c>
      <c r="CQ183" s="3" t="s">
        <v>120</v>
      </c>
      <c r="CR183" s="16" t="s">
        <v>121</v>
      </c>
      <c r="CS183" s="16" t="s">
        <v>122</v>
      </c>
      <c r="CT183" s="16" t="s">
        <v>1037</v>
      </c>
      <c r="CU183" s="16" t="s">
        <v>125</v>
      </c>
      <c r="CV183" s="16" t="s">
        <v>351</v>
      </c>
    </row>
    <row r="184" spans="1:100" ht="15" customHeight="1">
      <c r="A184" t="s">
        <v>1270</v>
      </c>
      <c r="B184" s="3" t="s">
        <v>1271</v>
      </c>
      <c r="C184" s="16" t="s">
        <v>97</v>
      </c>
      <c r="D184" s="40" t="s">
        <v>1272</v>
      </c>
      <c r="E184" s="16" t="s">
        <v>97</v>
      </c>
      <c r="F184" s="131" t="s">
        <v>1273</v>
      </c>
      <c r="I184" s="100" t="s">
        <v>342</v>
      </c>
      <c r="J184" s="16" t="s">
        <v>101</v>
      </c>
      <c r="K184" s="16"/>
      <c r="L184" s="3" t="s">
        <v>102</v>
      </c>
      <c r="M184" s="3" t="s">
        <v>103</v>
      </c>
      <c r="N184" s="3" t="s">
        <v>104</v>
      </c>
      <c r="O184" s="16" t="s">
        <v>105</v>
      </c>
      <c r="P184" s="3" t="s">
        <v>1274</v>
      </c>
      <c r="Q184" s="3" t="s">
        <v>1274</v>
      </c>
      <c r="R184" s="3" t="s">
        <v>1274</v>
      </c>
      <c r="S184" t="s">
        <v>1270</v>
      </c>
      <c r="T184" s="130" t="s">
        <v>465</v>
      </c>
      <c r="U184" s="35">
        <v>8</v>
      </c>
      <c r="V184" s="40"/>
      <c r="W184" s="40"/>
      <c r="X184" s="59" t="s">
        <v>108</v>
      </c>
      <c r="Y184" s="93">
        <f>IF(AD184=0, 0, IF(OR(H184="", H184&lt;&gt;0), 1, 0))</f>
        <v>1</v>
      </c>
      <c r="Z184" s="3">
        <v>0</v>
      </c>
      <c r="AA184" s="3" t="s">
        <v>1275</v>
      </c>
      <c r="AD184" s="6">
        <f>ROUND((AG184*(1+AJ184)),2)</f>
        <v>153.82</v>
      </c>
      <c r="AE184" s="69">
        <v>175.28482216999998</v>
      </c>
      <c r="AF184" s="17">
        <f>(AE184*1)</f>
        <v>175.28482216999998</v>
      </c>
      <c r="AG184" s="6">
        <f>ROUND((AE184*AI184),2)</f>
        <v>113.94</v>
      </c>
      <c r="AH184" s="30" t="s">
        <v>110</v>
      </c>
      <c r="AI184" s="3">
        <v>0.65</v>
      </c>
      <c r="AJ184" s="18">
        <v>0.35</v>
      </c>
      <c r="AK184" s="6">
        <f>ROUND((AD184-(AD184*BG184)),2)</f>
        <v>152.28</v>
      </c>
      <c r="AL184" s="6">
        <f>ROUND((AD184-(AD184*BH184)),2)</f>
        <v>150.74</v>
      </c>
      <c r="AM184" s="6">
        <f>ROUND((AD184-(AD184*BI184)),2)</f>
        <v>149.21</v>
      </c>
      <c r="AN184" s="6">
        <f>ROUND((AD184-(AD184*BJ184)),2)</f>
        <v>149.21</v>
      </c>
      <c r="AO184" s="6">
        <f>ROUND((AD184-(AD184*BK184)),2)</f>
        <v>153.82</v>
      </c>
      <c r="BG184" s="12">
        <v>0.01</v>
      </c>
      <c r="BH184" s="12">
        <v>0.02</v>
      </c>
      <c r="BI184" s="12">
        <v>0.03</v>
      </c>
      <c r="BJ184" s="12">
        <v>0.03</v>
      </c>
      <c r="CC184" s="3" t="str">
        <f>IF(B184&lt;&gt;"",CONCATENATE(SUBSTITUTE(B184," ","-"),".jpg"),"")</f>
        <v>Allied-Moulded-AMU1426CC.jpg</v>
      </c>
      <c r="CD184" s="16" t="s">
        <v>111</v>
      </c>
      <c r="CE184" s="3"/>
      <c r="CF184" s="3"/>
      <c r="CG184" s="3" t="s">
        <v>112</v>
      </c>
      <c r="CI184" s="3" t="s">
        <v>97</v>
      </c>
      <c r="CJ184" s="3" t="s">
        <v>467</v>
      </c>
      <c r="CK184" s="3" t="s">
        <v>114</v>
      </c>
      <c r="CL184" s="3" t="s">
        <v>115</v>
      </c>
      <c r="CM184" s="16"/>
      <c r="CN184" s="16" t="s">
        <v>349</v>
      </c>
      <c r="CO184" s="3" t="s">
        <v>118</v>
      </c>
      <c r="CP184" s="3" t="s">
        <v>139</v>
      </c>
      <c r="CQ184" s="3" t="s">
        <v>120</v>
      </c>
      <c r="CR184" s="16" t="s">
        <v>121</v>
      </c>
      <c r="CS184" s="3" t="s">
        <v>384</v>
      </c>
      <c r="CT184" s="16" t="s">
        <v>1037</v>
      </c>
      <c r="CU184" s="16" t="s">
        <v>125</v>
      </c>
      <c r="CV184" s="16" t="s">
        <v>351</v>
      </c>
    </row>
    <row r="185" spans="1:100" ht="15" customHeight="1">
      <c r="A185" t="s">
        <v>1276</v>
      </c>
      <c r="B185" s="3" t="s">
        <v>1277</v>
      </c>
      <c r="C185" s="16" t="s">
        <v>97</v>
      </c>
      <c r="D185" s="39" t="s">
        <v>1278</v>
      </c>
      <c r="E185" s="16" t="s">
        <v>97</v>
      </c>
      <c r="F185" s="131" t="s">
        <v>1279</v>
      </c>
      <c r="I185" s="100" t="s">
        <v>342</v>
      </c>
      <c r="J185" s="16" t="s">
        <v>101</v>
      </c>
      <c r="K185" s="16"/>
      <c r="L185" s="3" t="s">
        <v>102</v>
      </c>
      <c r="M185" s="3" t="s">
        <v>103</v>
      </c>
      <c r="N185" s="3" t="s">
        <v>104</v>
      </c>
      <c r="O185" s="16" t="s">
        <v>105</v>
      </c>
      <c r="P185" s="3" t="s">
        <v>1280</v>
      </c>
      <c r="Q185" s="3" t="s">
        <v>1280</v>
      </c>
      <c r="R185" s="3" t="s">
        <v>1280</v>
      </c>
      <c r="S185" t="s">
        <v>1276</v>
      </c>
      <c r="T185" s="130" t="s">
        <v>465</v>
      </c>
      <c r="U185" s="34">
        <v>8</v>
      </c>
      <c r="V185" s="39"/>
      <c r="W185" s="39"/>
      <c r="X185" s="59" t="s">
        <v>108</v>
      </c>
      <c r="Y185" s="93">
        <f>IF(AD185=0, 0, IF(OR(H185="", H185&lt;&gt;0), 1, 0))</f>
        <v>1</v>
      </c>
      <c r="Z185" s="3">
        <v>0</v>
      </c>
      <c r="AA185" s="3" t="s">
        <v>1281</v>
      </c>
      <c r="AD185" s="6">
        <f>ROUND((AG185*(1+AJ185)),2)</f>
        <v>157.4</v>
      </c>
      <c r="AE185" s="69">
        <v>179.36796774000004</v>
      </c>
      <c r="AF185" s="17">
        <f>(AE185*1)</f>
        <v>179.36796774000004</v>
      </c>
      <c r="AG185" s="6">
        <f>ROUND((AE185*AI185),2)</f>
        <v>116.59</v>
      </c>
      <c r="AH185" s="30" t="s">
        <v>110</v>
      </c>
      <c r="AI185" s="3">
        <v>0.65</v>
      </c>
      <c r="AJ185" s="18">
        <v>0.35</v>
      </c>
      <c r="AK185" s="6">
        <f>ROUND((AD185-(AD185*BG185)),2)</f>
        <v>155.83000000000001</v>
      </c>
      <c r="AL185" s="6">
        <f>ROUND((AD185-(AD185*BH185)),2)</f>
        <v>154.25</v>
      </c>
      <c r="AM185" s="6">
        <f>ROUND((AD185-(AD185*BI185)),2)</f>
        <v>152.68</v>
      </c>
      <c r="AN185" s="6">
        <f>ROUND((AD185-(AD185*BJ185)),2)</f>
        <v>152.68</v>
      </c>
      <c r="AO185" s="6">
        <f>ROUND((AD185-(AD185*BK185)),2)</f>
        <v>157.4</v>
      </c>
      <c r="BG185" s="12">
        <v>0.01</v>
      </c>
      <c r="BH185" s="12">
        <v>0.02</v>
      </c>
      <c r="BI185" s="12">
        <v>0.03</v>
      </c>
      <c r="BJ185" s="12">
        <v>0.03</v>
      </c>
      <c r="CC185" s="3" t="str">
        <f>IF(B185&lt;&gt;"",CONCATENATE(SUBSTITUTE(B185," ","-"),".jpg"),"")</f>
        <v>Allied-Moulded-AMU1426CCF.jpg</v>
      </c>
      <c r="CD185" s="16" t="s">
        <v>111</v>
      </c>
      <c r="CE185" s="3"/>
      <c r="CF185" s="3"/>
      <c r="CG185" s="3" t="s">
        <v>112</v>
      </c>
      <c r="CI185" s="3" t="s">
        <v>97</v>
      </c>
      <c r="CJ185" s="3" t="s">
        <v>467</v>
      </c>
      <c r="CK185" s="3" t="s">
        <v>114</v>
      </c>
      <c r="CL185" s="3" t="s">
        <v>115</v>
      </c>
      <c r="CM185" s="16"/>
      <c r="CN185" s="16" t="s">
        <v>349</v>
      </c>
      <c r="CO185" s="3" t="s">
        <v>118</v>
      </c>
      <c r="CP185" s="3" t="s">
        <v>139</v>
      </c>
      <c r="CQ185" s="3" t="s">
        <v>120</v>
      </c>
      <c r="CR185" s="16" t="s">
        <v>121</v>
      </c>
      <c r="CS185" s="3" t="s">
        <v>384</v>
      </c>
      <c r="CT185" s="16" t="s">
        <v>1037</v>
      </c>
      <c r="CU185" s="16" t="s">
        <v>125</v>
      </c>
      <c r="CV185" s="16" t="s">
        <v>351</v>
      </c>
    </row>
    <row r="186" spans="1:100" ht="15" customHeight="1">
      <c r="A186" t="s">
        <v>1282</v>
      </c>
      <c r="B186" s="3" t="s">
        <v>1283</v>
      </c>
      <c r="C186" s="16" t="s">
        <v>97</v>
      </c>
      <c r="D186" s="39" t="s">
        <v>1284</v>
      </c>
      <c r="E186" s="16" t="s">
        <v>97</v>
      </c>
      <c r="F186" s="131" t="s">
        <v>1285</v>
      </c>
      <c r="I186" s="100" t="s">
        <v>342</v>
      </c>
      <c r="J186" s="16" t="s">
        <v>101</v>
      </c>
      <c r="K186" s="16"/>
      <c r="L186" s="3" t="s">
        <v>102</v>
      </c>
      <c r="M186" s="3" t="s">
        <v>103</v>
      </c>
      <c r="N186" s="3" t="s">
        <v>104</v>
      </c>
      <c r="O186" s="16" t="s">
        <v>105</v>
      </c>
      <c r="P186" s="3" t="s">
        <v>1286</v>
      </c>
      <c r="Q186" s="3" t="s">
        <v>1286</v>
      </c>
      <c r="R186" s="3" t="s">
        <v>1286</v>
      </c>
      <c r="S186" t="s">
        <v>1282</v>
      </c>
      <c r="T186" s="130" t="s">
        <v>465</v>
      </c>
      <c r="U186" s="34">
        <v>8</v>
      </c>
      <c r="V186" s="39"/>
      <c r="W186" s="39"/>
      <c r="X186" s="59" t="s">
        <v>108</v>
      </c>
      <c r="Y186" s="93">
        <f>IF(AD186=0, 0, IF(OR(H186="", H186&lt;&gt;0), 1, 0))</f>
        <v>1</v>
      </c>
      <c r="Z186" s="3">
        <v>0</v>
      </c>
      <c r="AA186" s="3" t="s">
        <v>1287</v>
      </c>
      <c r="AD186" s="6">
        <f>ROUND((AG186*(1+AJ186)),2)</f>
        <v>162.78</v>
      </c>
      <c r="AE186" s="69">
        <v>185.50122737000001</v>
      </c>
      <c r="AF186" s="17">
        <f>(AE186*1)</f>
        <v>185.50122737000001</v>
      </c>
      <c r="AG186" s="6">
        <f>ROUND((AE186*AI186),2)</f>
        <v>120.58</v>
      </c>
      <c r="AH186" s="30" t="s">
        <v>110</v>
      </c>
      <c r="AI186" s="3">
        <v>0.65</v>
      </c>
      <c r="AJ186" s="18">
        <v>0.35</v>
      </c>
      <c r="AK186" s="6">
        <f>ROUND((AD186-(AD186*BG186)),2)</f>
        <v>161.15</v>
      </c>
      <c r="AL186" s="6">
        <f>ROUND((AD186-(AD186*BH186)),2)</f>
        <v>159.52000000000001</v>
      </c>
      <c r="AM186" s="6">
        <f>ROUND((AD186-(AD186*BI186)),2)</f>
        <v>157.9</v>
      </c>
      <c r="AN186" s="6">
        <f>ROUND((AD186-(AD186*BJ186)),2)</f>
        <v>157.9</v>
      </c>
      <c r="AO186" s="6">
        <f>ROUND((AD186-(AD186*BK186)),2)</f>
        <v>162.78</v>
      </c>
      <c r="BG186" s="12">
        <v>0.01</v>
      </c>
      <c r="BH186" s="12">
        <v>0.02</v>
      </c>
      <c r="BI186" s="12">
        <v>0.03</v>
      </c>
      <c r="BJ186" s="12">
        <v>0.03</v>
      </c>
      <c r="CC186" s="3" t="str">
        <f>IF(B186&lt;&gt;"",CONCATENATE(SUBSTITUTE(B186," ","-"),".jpg"),"")</f>
        <v>Allied-Moulded-AMU1426CCH.jpg</v>
      </c>
      <c r="CD186" s="16" t="s">
        <v>111</v>
      </c>
      <c r="CE186" s="3"/>
      <c r="CF186" s="3"/>
      <c r="CG186" s="3" t="s">
        <v>112</v>
      </c>
      <c r="CI186" s="3" t="s">
        <v>97</v>
      </c>
      <c r="CJ186" s="3" t="s">
        <v>467</v>
      </c>
      <c r="CK186" s="3" t="s">
        <v>114</v>
      </c>
      <c r="CL186" s="3" t="s">
        <v>115</v>
      </c>
      <c r="CM186" s="3" t="s">
        <v>116</v>
      </c>
      <c r="CN186" s="16" t="s">
        <v>349</v>
      </c>
      <c r="CO186" s="3" t="s">
        <v>118</v>
      </c>
      <c r="CP186" s="3" t="s">
        <v>139</v>
      </c>
      <c r="CQ186" s="3" t="s">
        <v>120</v>
      </c>
      <c r="CR186" s="16" t="s">
        <v>121</v>
      </c>
      <c r="CS186" s="3" t="s">
        <v>384</v>
      </c>
      <c r="CT186" s="16" t="s">
        <v>1037</v>
      </c>
      <c r="CU186" s="16" t="s">
        <v>125</v>
      </c>
      <c r="CV186" s="16" t="s">
        <v>351</v>
      </c>
    </row>
    <row r="187" spans="1:100" ht="15" customHeight="1">
      <c r="A187" t="s">
        <v>1288</v>
      </c>
      <c r="B187" s="3" t="s">
        <v>1289</v>
      </c>
      <c r="C187" s="16" t="s">
        <v>97</v>
      </c>
      <c r="D187" s="40" t="s">
        <v>1290</v>
      </c>
      <c r="E187" s="16" t="s">
        <v>97</v>
      </c>
      <c r="F187" s="131" t="s">
        <v>1291</v>
      </c>
      <c r="I187" s="100" t="s">
        <v>342</v>
      </c>
      <c r="J187" s="16" t="s">
        <v>101</v>
      </c>
      <c r="K187" s="16"/>
      <c r="L187" s="3" t="s">
        <v>102</v>
      </c>
      <c r="M187" s="3" t="s">
        <v>103</v>
      </c>
      <c r="N187" s="3" t="s">
        <v>104</v>
      </c>
      <c r="O187" s="16" t="s">
        <v>105</v>
      </c>
      <c r="P187" s="3" t="s">
        <v>1292</v>
      </c>
      <c r="Q187" s="3" t="s">
        <v>1292</v>
      </c>
      <c r="R187" s="3" t="s">
        <v>1292</v>
      </c>
      <c r="S187" t="s">
        <v>1288</v>
      </c>
      <c r="T187" s="130" t="s">
        <v>465</v>
      </c>
      <c r="U187" s="35">
        <v>8</v>
      </c>
      <c r="V187" s="40"/>
      <c r="W187" s="40"/>
      <c r="X187" s="59" t="s">
        <v>108</v>
      </c>
      <c r="Y187" s="93">
        <f>IF(AD187=0, 0, IF(OR(H187="", H187&lt;&gt;0), 1, 0))</f>
        <v>1</v>
      </c>
      <c r="Z187" s="3">
        <v>0</v>
      </c>
      <c r="AA187" s="3" t="s">
        <v>1293</v>
      </c>
      <c r="AD187" s="6">
        <f>ROUND((AG187*(1+AJ187)),2)</f>
        <v>166.52</v>
      </c>
      <c r="AE187" s="69">
        <v>189.77230056000002</v>
      </c>
      <c r="AF187" s="17">
        <f>(AE187*1)</f>
        <v>189.77230056000002</v>
      </c>
      <c r="AG187" s="6">
        <f>ROUND((AE187*AI187),2)</f>
        <v>123.35</v>
      </c>
      <c r="AH187" s="30" t="s">
        <v>110</v>
      </c>
      <c r="AI187" s="3">
        <v>0.65</v>
      </c>
      <c r="AJ187" s="18">
        <v>0.35</v>
      </c>
      <c r="AK187" s="6">
        <f>ROUND((AD187-(AD187*BG187)),2)</f>
        <v>164.85</v>
      </c>
      <c r="AL187" s="6">
        <f>ROUND((AD187-(AD187*BH187)),2)</f>
        <v>163.19</v>
      </c>
      <c r="AM187" s="6">
        <f>ROUND((AD187-(AD187*BI187)),2)</f>
        <v>161.52000000000001</v>
      </c>
      <c r="AN187" s="6">
        <f>ROUND((AD187-(AD187*BJ187)),2)</f>
        <v>161.52000000000001</v>
      </c>
      <c r="AO187" s="6">
        <f>ROUND((AD187-(AD187*BK187)),2)</f>
        <v>166.52</v>
      </c>
      <c r="BG187" s="12">
        <v>0.01</v>
      </c>
      <c r="BH187" s="12">
        <v>0.02</v>
      </c>
      <c r="BI187" s="12">
        <v>0.03</v>
      </c>
      <c r="BJ187" s="12">
        <v>0.03</v>
      </c>
      <c r="CC187" s="3" t="str">
        <f>IF(B187&lt;&gt;"",CONCATENATE(SUBSTITUTE(B187," ","-"),".jpg"),"")</f>
        <v>Allied-Moulded-AMU1426CCHF.jpg</v>
      </c>
      <c r="CD187" s="16" t="s">
        <v>111</v>
      </c>
      <c r="CE187" s="3"/>
      <c r="CF187" s="3"/>
      <c r="CG187" s="3" t="s">
        <v>112</v>
      </c>
      <c r="CI187" s="3" t="s">
        <v>97</v>
      </c>
      <c r="CJ187" s="3" t="s">
        <v>467</v>
      </c>
      <c r="CK187" s="3" t="s">
        <v>114</v>
      </c>
      <c r="CL187" s="3" t="s">
        <v>115</v>
      </c>
      <c r="CM187" s="3" t="s">
        <v>116</v>
      </c>
      <c r="CN187" s="16" t="s">
        <v>349</v>
      </c>
      <c r="CO187" s="3" t="s">
        <v>118</v>
      </c>
      <c r="CP187" s="3" t="s">
        <v>139</v>
      </c>
      <c r="CQ187" s="3" t="s">
        <v>120</v>
      </c>
      <c r="CR187" s="16" t="s">
        <v>121</v>
      </c>
      <c r="CS187" s="3" t="s">
        <v>384</v>
      </c>
      <c r="CT187" s="16" t="s">
        <v>1037</v>
      </c>
      <c r="CU187" s="16" t="s">
        <v>125</v>
      </c>
      <c r="CV187" s="16" t="s">
        <v>351</v>
      </c>
    </row>
    <row r="188" spans="1:100" ht="15" customHeight="1">
      <c r="A188" t="s">
        <v>1294</v>
      </c>
      <c r="B188" s="3" t="s">
        <v>1295</v>
      </c>
      <c r="C188" s="16" t="s">
        <v>97</v>
      </c>
      <c r="D188" s="38" t="s">
        <v>1296</v>
      </c>
      <c r="E188" s="16" t="s">
        <v>97</v>
      </c>
      <c r="F188" s="131" t="s">
        <v>1297</v>
      </c>
      <c r="I188" s="100" t="s">
        <v>342</v>
      </c>
      <c r="J188" s="16" t="s">
        <v>101</v>
      </c>
      <c r="K188" s="16"/>
      <c r="L188" s="3" t="s">
        <v>102</v>
      </c>
      <c r="M188" s="3" t="s">
        <v>103</v>
      </c>
      <c r="N188" s="3" t="s">
        <v>104</v>
      </c>
      <c r="O188" s="16" t="s">
        <v>105</v>
      </c>
      <c r="P188" s="3" t="s">
        <v>1298</v>
      </c>
      <c r="Q188" s="3" t="s">
        <v>1298</v>
      </c>
      <c r="R188" s="3" t="s">
        <v>1298</v>
      </c>
      <c r="S188" t="s">
        <v>1294</v>
      </c>
      <c r="T188" s="130" t="s">
        <v>465</v>
      </c>
      <c r="U188" s="33">
        <v>8</v>
      </c>
      <c r="V188" s="40"/>
      <c r="W188" s="40"/>
      <c r="X188" s="59" t="s">
        <v>108</v>
      </c>
      <c r="Y188" s="93">
        <f>IF(AD188=0, 0, IF(OR(H188="", H188&lt;&gt;0), 1, 0))</f>
        <v>1</v>
      </c>
      <c r="Z188" s="3">
        <v>0</v>
      </c>
      <c r="AA188" s="3" t="s">
        <v>1299</v>
      </c>
      <c r="AD188" s="6">
        <f>ROUND((AG188*(1+AJ188)),2)</f>
        <v>190.86</v>
      </c>
      <c r="AE188" s="68">
        <v>217.50010347</v>
      </c>
      <c r="AF188" s="17">
        <f>(AE188*1)</f>
        <v>217.50010347</v>
      </c>
      <c r="AG188" s="6">
        <f>ROUND((AE188*AI188),2)</f>
        <v>141.38</v>
      </c>
      <c r="AH188" s="30" t="s">
        <v>110</v>
      </c>
      <c r="AI188" s="3">
        <v>0.65</v>
      </c>
      <c r="AJ188" s="18">
        <v>0.35</v>
      </c>
      <c r="AK188" s="6">
        <f>ROUND((AD188-(AD188*BG188)),2)</f>
        <v>188.95</v>
      </c>
      <c r="AL188" s="6">
        <f>ROUND((AD188-(AD188*BH188)),2)</f>
        <v>187.04</v>
      </c>
      <c r="AM188" s="6">
        <f>ROUND((AD188-(AD188*BI188)),2)</f>
        <v>185.13</v>
      </c>
      <c r="AN188" s="6">
        <f>ROUND((AD188-(AD188*BJ188)),2)</f>
        <v>185.13</v>
      </c>
      <c r="AO188" s="6">
        <f>ROUND((AD188-(AD188*BK188)),2)</f>
        <v>190.86</v>
      </c>
      <c r="BG188" s="12">
        <v>0.01</v>
      </c>
      <c r="BH188" s="12">
        <v>0.02</v>
      </c>
      <c r="BI188" s="12">
        <v>0.03</v>
      </c>
      <c r="BJ188" s="12">
        <v>0.03</v>
      </c>
      <c r="CC188" s="3" t="str">
        <f>IF(B188&lt;&gt;"",CONCATENATE(SUBSTITUTE(B188," ","-"),".jpg"),"")</f>
        <v>Allied-Moulded-AMU1426CCL.jpg</v>
      </c>
      <c r="CD188" s="16" t="s">
        <v>111</v>
      </c>
      <c r="CE188" s="3"/>
      <c r="CF188" s="3"/>
      <c r="CG188" s="3" t="s">
        <v>112</v>
      </c>
      <c r="CI188" s="3" t="s">
        <v>97</v>
      </c>
      <c r="CJ188" s="3" t="s">
        <v>467</v>
      </c>
      <c r="CK188" s="3" t="s">
        <v>114</v>
      </c>
      <c r="CL188" s="3" t="s">
        <v>115</v>
      </c>
      <c r="CM188" s="3" t="s">
        <v>116</v>
      </c>
      <c r="CN188" t="s">
        <v>117</v>
      </c>
      <c r="CO188" s="3" t="s">
        <v>118</v>
      </c>
      <c r="CP188" s="3" t="s">
        <v>139</v>
      </c>
      <c r="CQ188" s="3" t="s">
        <v>120</v>
      </c>
      <c r="CR188" s="16" t="s">
        <v>121</v>
      </c>
      <c r="CS188" s="16" t="s">
        <v>122</v>
      </c>
      <c r="CT188" s="16" t="s">
        <v>1037</v>
      </c>
      <c r="CU188" s="16" t="s">
        <v>125</v>
      </c>
      <c r="CV188" s="16" t="s">
        <v>351</v>
      </c>
    </row>
    <row r="189" spans="1:100" ht="15" customHeight="1">
      <c r="A189" t="s">
        <v>1300</v>
      </c>
      <c r="B189" s="3" t="s">
        <v>1301</v>
      </c>
      <c r="C189" s="16" t="s">
        <v>97</v>
      </c>
      <c r="D189" s="39" t="s">
        <v>1302</v>
      </c>
      <c r="E189" s="16" t="s">
        <v>97</v>
      </c>
      <c r="F189" s="131" t="s">
        <v>1303</v>
      </c>
      <c r="I189" s="100" t="s">
        <v>342</v>
      </c>
      <c r="J189" s="16" t="s">
        <v>101</v>
      </c>
      <c r="K189" s="16"/>
      <c r="L189" s="3" t="s">
        <v>102</v>
      </c>
      <c r="M189" s="3" t="s">
        <v>103</v>
      </c>
      <c r="N189" s="3" t="s">
        <v>104</v>
      </c>
      <c r="O189" s="16" t="s">
        <v>105</v>
      </c>
      <c r="P189" s="3" t="s">
        <v>1304</v>
      </c>
      <c r="Q189" s="3" t="s">
        <v>1304</v>
      </c>
      <c r="R189" s="3" t="s">
        <v>1304</v>
      </c>
      <c r="S189" t="s">
        <v>1300</v>
      </c>
      <c r="T189" s="130" t="s">
        <v>465</v>
      </c>
      <c r="U189" s="34">
        <v>8</v>
      </c>
      <c r="V189" s="39"/>
      <c r="W189" s="39"/>
      <c r="X189" s="59" t="s">
        <v>108</v>
      </c>
      <c r="Y189" s="93">
        <f>IF(AD189=0, 0, IF(OR(H189="", H189&lt;&gt;0), 1, 0))</f>
        <v>1</v>
      </c>
      <c r="Z189" s="3">
        <v>0</v>
      </c>
      <c r="AA189" s="3" t="s">
        <v>1305</v>
      </c>
      <c r="AD189" s="6">
        <f>ROUND((AG189*(1+AJ189)),2)</f>
        <v>195.18</v>
      </c>
      <c r="AE189" s="69">
        <v>222.43746512000001</v>
      </c>
      <c r="AF189" s="17">
        <f>(AE189*1)</f>
        <v>222.43746512000001</v>
      </c>
      <c r="AG189" s="6">
        <f>ROUND((AE189*AI189),2)</f>
        <v>144.58000000000001</v>
      </c>
      <c r="AH189" s="30" t="s">
        <v>110</v>
      </c>
      <c r="AI189" s="3">
        <v>0.65</v>
      </c>
      <c r="AJ189" s="18">
        <v>0.35</v>
      </c>
      <c r="AK189" s="6">
        <f>ROUND((AD189-(AD189*BG189)),2)</f>
        <v>193.23</v>
      </c>
      <c r="AL189" s="6">
        <f>ROUND((AD189-(AD189*BH189)),2)</f>
        <v>191.28</v>
      </c>
      <c r="AM189" s="6">
        <f>ROUND((AD189-(AD189*BI189)),2)</f>
        <v>189.32</v>
      </c>
      <c r="AN189" s="6">
        <f>ROUND((AD189-(AD189*BJ189)),2)</f>
        <v>189.32</v>
      </c>
      <c r="AO189" s="6">
        <f>ROUND((AD189-(AD189*BK189)),2)</f>
        <v>195.18</v>
      </c>
      <c r="BG189" s="12">
        <v>0.01</v>
      </c>
      <c r="BH189" s="12">
        <v>0.02</v>
      </c>
      <c r="BI189" s="12">
        <v>0.03</v>
      </c>
      <c r="BJ189" s="12">
        <v>0.03</v>
      </c>
      <c r="CC189" s="3" t="str">
        <f>IF(B189&lt;&gt;"",CONCATENATE(SUBSTITUTE(B189," ","-"),".jpg"),"")</f>
        <v>Allied-Moulded-AMU1426CCLF.jpg</v>
      </c>
      <c r="CD189" s="16" t="s">
        <v>111</v>
      </c>
      <c r="CE189" s="3"/>
      <c r="CF189" s="3"/>
      <c r="CG189" s="3" t="s">
        <v>112</v>
      </c>
      <c r="CI189" s="3" t="s">
        <v>97</v>
      </c>
      <c r="CJ189" s="3" t="s">
        <v>467</v>
      </c>
      <c r="CK189" s="3" t="s">
        <v>114</v>
      </c>
      <c r="CL189" s="3" t="s">
        <v>115</v>
      </c>
      <c r="CM189" s="3" t="s">
        <v>116</v>
      </c>
      <c r="CN189" t="s">
        <v>117</v>
      </c>
      <c r="CO189" s="3" t="s">
        <v>118</v>
      </c>
      <c r="CP189" s="3" t="s">
        <v>139</v>
      </c>
      <c r="CQ189" s="3" t="s">
        <v>120</v>
      </c>
      <c r="CR189" s="16" t="s">
        <v>121</v>
      </c>
      <c r="CS189" s="16" t="s">
        <v>122</v>
      </c>
      <c r="CT189" s="16" t="s">
        <v>1037</v>
      </c>
      <c r="CU189" s="16" t="s">
        <v>125</v>
      </c>
      <c r="CV189" s="16" t="s">
        <v>351</v>
      </c>
    </row>
    <row r="190" spans="1:100" ht="15" customHeight="1">
      <c r="A190" t="s">
        <v>1306</v>
      </c>
      <c r="B190" s="3" t="s">
        <v>1307</v>
      </c>
      <c r="C190" s="16" t="s">
        <v>97</v>
      </c>
      <c r="D190" s="39" t="s">
        <v>1308</v>
      </c>
      <c r="E190" s="16" t="s">
        <v>97</v>
      </c>
      <c r="F190" s="131" t="s">
        <v>1309</v>
      </c>
      <c r="I190" s="100" t="s">
        <v>342</v>
      </c>
      <c r="J190" s="16" t="s">
        <v>101</v>
      </c>
      <c r="K190" s="16"/>
      <c r="L190" s="3" t="s">
        <v>102</v>
      </c>
      <c r="M190" s="3" t="s">
        <v>103</v>
      </c>
      <c r="N190" s="3" t="s">
        <v>104</v>
      </c>
      <c r="O190" s="16" t="s">
        <v>105</v>
      </c>
      <c r="P190" s="3" t="s">
        <v>1310</v>
      </c>
      <c r="Q190" s="3" t="s">
        <v>1310</v>
      </c>
      <c r="R190" s="3" t="s">
        <v>1310</v>
      </c>
      <c r="S190" t="s">
        <v>1306</v>
      </c>
      <c r="T190" s="130" t="s">
        <v>465</v>
      </c>
      <c r="U190" s="34">
        <v>8</v>
      </c>
      <c r="V190" s="39"/>
      <c r="W190" s="39"/>
      <c r="X190" s="59" t="s">
        <v>108</v>
      </c>
      <c r="Y190" s="93">
        <f>IF(AD190=0, 0, IF(OR(H190="", H190&lt;&gt;0), 1, 0))</f>
        <v>1</v>
      </c>
      <c r="Z190" s="3">
        <v>0</v>
      </c>
      <c r="AA190" s="3" t="s">
        <v>1311</v>
      </c>
      <c r="AD190" s="6">
        <f>ROUND((AG190*(1+AJ190)),2)</f>
        <v>181.32</v>
      </c>
      <c r="AE190" s="69">
        <v>206.63449751000002</v>
      </c>
      <c r="AF190" s="17">
        <f>(AE190*1)</f>
        <v>206.63449751000002</v>
      </c>
      <c r="AG190" s="6">
        <f>ROUND((AE190*AI190),2)</f>
        <v>134.31</v>
      </c>
      <c r="AH190" s="30" t="s">
        <v>110</v>
      </c>
      <c r="AI190" s="3">
        <v>0.65</v>
      </c>
      <c r="AJ190" s="18">
        <v>0.35</v>
      </c>
      <c r="AK190" s="6">
        <f>ROUND((AD190-(AD190*BG190)),2)</f>
        <v>179.51</v>
      </c>
      <c r="AL190" s="6">
        <f>ROUND((AD190-(AD190*BH190)),2)</f>
        <v>177.69</v>
      </c>
      <c r="AM190" s="6">
        <f>ROUND((AD190-(AD190*BI190)),2)</f>
        <v>175.88</v>
      </c>
      <c r="AN190" s="6">
        <f>ROUND((AD190-(AD190*BJ190)),2)</f>
        <v>175.88</v>
      </c>
      <c r="AO190" s="6">
        <f>ROUND((AD190-(AD190*BK190)),2)</f>
        <v>181.32</v>
      </c>
      <c r="BG190" s="12">
        <v>0.01</v>
      </c>
      <c r="BH190" s="12">
        <v>0.02</v>
      </c>
      <c r="BI190" s="12">
        <v>0.03</v>
      </c>
      <c r="BJ190" s="12">
        <v>0.03</v>
      </c>
      <c r="CC190" s="3" t="str">
        <f>IF(B190&lt;&gt;"",CONCATENATE(SUBSTITUTE(B190," ","-"),".jpg"),"")</f>
        <v>Allied-Moulded-AMU1426CCNL.jpg</v>
      </c>
      <c r="CD190" s="16" t="s">
        <v>111</v>
      </c>
      <c r="CE190" s="3"/>
      <c r="CF190" s="3"/>
      <c r="CG190" s="3" t="s">
        <v>112</v>
      </c>
      <c r="CI190" s="3" t="s">
        <v>97</v>
      </c>
      <c r="CJ190" s="3" t="s">
        <v>467</v>
      </c>
      <c r="CK190" s="3" t="s">
        <v>114</v>
      </c>
      <c r="CL190" s="3" t="s">
        <v>115</v>
      </c>
      <c r="CM190" s="3" t="s">
        <v>116</v>
      </c>
      <c r="CN190" t="s">
        <v>117</v>
      </c>
      <c r="CO190" s="3" t="s">
        <v>118</v>
      </c>
      <c r="CP190" s="3" t="s">
        <v>139</v>
      </c>
      <c r="CQ190" s="3" t="s">
        <v>120</v>
      </c>
      <c r="CR190" s="16" t="s">
        <v>121</v>
      </c>
      <c r="CS190" s="16" t="s">
        <v>122</v>
      </c>
      <c r="CT190" s="16" t="s">
        <v>1037</v>
      </c>
      <c r="CU190" s="16" t="s">
        <v>125</v>
      </c>
      <c r="CV190" s="16" t="s">
        <v>351</v>
      </c>
    </row>
    <row r="191" spans="1:100" ht="15" customHeight="1">
      <c r="A191" t="s">
        <v>1312</v>
      </c>
      <c r="B191" s="3" t="s">
        <v>1313</v>
      </c>
      <c r="C191" s="16" t="s">
        <v>97</v>
      </c>
      <c r="D191" s="40" t="s">
        <v>1314</v>
      </c>
      <c r="E191" s="16" t="s">
        <v>97</v>
      </c>
      <c r="F191" s="131" t="s">
        <v>1315</v>
      </c>
      <c r="I191" s="100" t="s">
        <v>342</v>
      </c>
      <c r="J191" s="16" t="s">
        <v>101</v>
      </c>
      <c r="K191" s="16"/>
      <c r="L191" s="3" t="s">
        <v>102</v>
      </c>
      <c r="M191" s="3" t="s">
        <v>103</v>
      </c>
      <c r="N191" s="3" t="s">
        <v>104</v>
      </c>
      <c r="O191" s="16" t="s">
        <v>105</v>
      </c>
      <c r="P191" s="3" t="s">
        <v>1316</v>
      </c>
      <c r="Q191" s="3" t="s">
        <v>1316</v>
      </c>
      <c r="R191" s="3" t="s">
        <v>1316</v>
      </c>
      <c r="S191" t="s">
        <v>1312</v>
      </c>
      <c r="T191" s="130" t="s">
        <v>465</v>
      </c>
      <c r="U191" s="35">
        <v>8</v>
      </c>
      <c r="V191" s="40"/>
      <c r="W191" s="40"/>
      <c r="X191" s="59" t="s">
        <v>108</v>
      </c>
      <c r="Y191" s="93">
        <f>IF(AD191=0, 0, IF(OR(H191="", H191&lt;&gt;0), 1, 0))</f>
        <v>1</v>
      </c>
      <c r="Z191" s="3">
        <v>0</v>
      </c>
      <c r="AA191" s="3" t="s">
        <v>1317</v>
      </c>
      <c r="AD191" s="6">
        <f>ROUND((AG191*(1+AJ191)),2)</f>
        <v>185.45</v>
      </c>
      <c r="AE191" s="69">
        <v>211.33267564999997</v>
      </c>
      <c r="AF191" s="17">
        <f>(AE191*1)</f>
        <v>211.33267564999997</v>
      </c>
      <c r="AG191" s="6">
        <f>ROUND((AE191*AI191),2)</f>
        <v>137.37</v>
      </c>
      <c r="AH191" s="30" t="s">
        <v>110</v>
      </c>
      <c r="AI191" s="3">
        <v>0.65</v>
      </c>
      <c r="AJ191" s="18">
        <v>0.35</v>
      </c>
      <c r="AK191" s="6">
        <f>ROUND((AD191-(AD191*BG191)),2)</f>
        <v>183.6</v>
      </c>
      <c r="AL191" s="6">
        <f>ROUND((AD191-(AD191*BH191)),2)</f>
        <v>181.74</v>
      </c>
      <c r="AM191" s="6">
        <f>ROUND((AD191-(AD191*BI191)),2)</f>
        <v>179.89</v>
      </c>
      <c r="AN191" s="6">
        <f>ROUND((AD191-(AD191*BJ191)),2)</f>
        <v>179.89</v>
      </c>
      <c r="AO191" s="6">
        <f>ROUND((AD191-(AD191*BK191)),2)</f>
        <v>185.45</v>
      </c>
      <c r="BG191" s="12">
        <v>0.01</v>
      </c>
      <c r="BH191" s="12">
        <v>0.02</v>
      </c>
      <c r="BI191" s="12">
        <v>0.03</v>
      </c>
      <c r="BJ191" s="12">
        <v>0.03</v>
      </c>
      <c r="CC191" s="3" t="str">
        <f>IF(B191&lt;&gt;"",CONCATENATE(SUBSTITUTE(B191," ","-"),".jpg"),"")</f>
        <v>Allied-Moulded-AMU1426CCNLF.jpg</v>
      </c>
      <c r="CD191" s="16" t="s">
        <v>111</v>
      </c>
      <c r="CE191" s="3"/>
      <c r="CF191" s="3"/>
      <c r="CG191" s="3" t="s">
        <v>112</v>
      </c>
      <c r="CI191" s="3" t="s">
        <v>97</v>
      </c>
      <c r="CJ191" s="3" t="s">
        <v>467</v>
      </c>
      <c r="CK191" s="3" t="s">
        <v>114</v>
      </c>
      <c r="CL191" s="3" t="s">
        <v>115</v>
      </c>
      <c r="CM191" s="3" t="s">
        <v>116</v>
      </c>
      <c r="CN191" t="s">
        <v>117</v>
      </c>
      <c r="CO191" s="3" t="s">
        <v>118</v>
      </c>
      <c r="CP191" s="3" t="s">
        <v>139</v>
      </c>
      <c r="CQ191" s="3" t="s">
        <v>120</v>
      </c>
      <c r="CR191" s="16" t="s">
        <v>121</v>
      </c>
      <c r="CS191" s="16" t="s">
        <v>122</v>
      </c>
      <c r="CT191" s="16" t="s">
        <v>1037</v>
      </c>
      <c r="CU191" s="16" t="s">
        <v>125</v>
      </c>
      <c r="CV191" s="16" t="s">
        <v>351</v>
      </c>
    </row>
    <row r="192" spans="1:100" ht="15" customHeight="1">
      <c r="A192" t="s">
        <v>1318</v>
      </c>
      <c r="B192" s="3" t="s">
        <v>1319</v>
      </c>
      <c r="C192" s="16" t="s">
        <v>97</v>
      </c>
      <c r="D192" s="40" t="s">
        <v>1320</v>
      </c>
      <c r="E192" s="16" t="s">
        <v>97</v>
      </c>
      <c r="F192" s="131" t="s">
        <v>1321</v>
      </c>
      <c r="I192" s="100" t="s">
        <v>342</v>
      </c>
      <c r="J192" s="16" t="s">
        <v>101</v>
      </c>
      <c r="K192" s="16"/>
      <c r="L192" s="3" t="s">
        <v>102</v>
      </c>
      <c r="M192" s="3" t="s">
        <v>103</v>
      </c>
      <c r="N192" s="3" t="s">
        <v>104</v>
      </c>
      <c r="O192" s="16" t="s">
        <v>105</v>
      </c>
      <c r="P192" s="3" t="s">
        <v>1322</v>
      </c>
      <c r="Q192" s="3" t="s">
        <v>1322</v>
      </c>
      <c r="R192" s="3" t="s">
        <v>1322</v>
      </c>
      <c r="S192" t="s">
        <v>1318</v>
      </c>
      <c r="T192" s="130" t="s">
        <v>465</v>
      </c>
      <c r="U192" s="51">
        <v>8</v>
      </c>
      <c r="V192" s="58"/>
      <c r="W192" s="58"/>
      <c r="X192" s="59" t="s">
        <v>108</v>
      </c>
      <c r="Y192" s="93">
        <f>IF(AD192=0, 0, IF(OR(H192="", H192&lt;&gt;0), 1, 0))</f>
        <v>1</v>
      </c>
      <c r="Z192" s="3">
        <v>0</v>
      </c>
      <c r="AA192" s="3" t="s">
        <v>1323</v>
      </c>
      <c r="AD192" s="6">
        <f>ROUND((AG192*(1+AJ192)),2)</f>
        <v>190.86</v>
      </c>
      <c r="AE192" s="69">
        <v>217.50010347</v>
      </c>
      <c r="AF192" s="17">
        <f>(AE192*1)</f>
        <v>217.50010347</v>
      </c>
      <c r="AG192" s="6">
        <f>ROUND((AE192*AI192),2)</f>
        <v>141.38</v>
      </c>
      <c r="AH192" s="30" t="s">
        <v>110</v>
      </c>
      <c r="AI192" s="3">
        <v>0.65</v>
      </c>
      <c r="AJ192" s="18">
        <v>0.35</v>
      </c>
      <c r="AK192" s="6">
        <f>ROUND((AD192-(AD192*BG192)),2)</f>
        <v>188.95</v>
      </c>
      <c r="AL192" s="6">
        <f>ROUND((AD192-(AD192*BH192)),2)</f>
        <v>187.04</v>
      </c>
      <c r="AM192" s="6">
        <f>ROUND((AD192-(AD192*BI192)),2)</f>
        <v>185.13</v>
      </c>
      <c r="AN192" s="6">
        <f>ROUND((AD192-(AD192*BJ192)),2)</f>
        <v>185.13</v>
      </c>
      <c r="AO192" s="6">
        <f>ROUND((AD192-(AD192*BK192)),2)</f>
        <v>190.86</v>
      </c>
      <c r="BG192" s="12">
        <v>0.01</v>
      </c>
      <c r="BH192" s="12">
        <v>0.02</v>
      </c>
      <c r="BI192" s="12">
        <v>0.03</v>
      </c>
      <c r="BJ192" s="12">
        <v>0.03</v>
      </c>
      <c r="CC192" s="3" t="str">
        <f>IF(B192&lt;&gt;"",CONCATENATE(SUBSTITUTE(B192," ","-"),".jpg"),"")</f>
        <v>Allied-Moulded-AMU1426CCT.jpg</v>
      </c>
      <c r="CD192" s="16" t="s">
        <v>111</v>
      </c>
      <c r="CE192" s="3"/>
      <c r="CF192" s="3"/>
      <c r="CG192" s="3" t="s">
        <v>112</v>
      </c>
      <c r="CI192" s="3" t="s">
        <v>97</v>
      </c>
      <c r="CJ192" s="3" t="s">
        <v>467</v>
      </c>
      <c r="CK192" s="3" t="s">
        <v>114</v>
      </c>
      <c r="CL192" s="3" t="s">
        <v>115</v>
      </c>
      <c r="CM192" s="3" t="s">
        <v>116</v>
      </c>
      <c r="CN192" s="16" t="s">
        <v>132</v>
      </c>
      <c r="CO192" s="3" t="s">
        <v>118</v>
      </c>
      <c r="CP192" s="3" t="s">
        <v>139</v>
      </c>
      <c r="CQ192" s="3" t="s">
        <v>120</v>
      </c>
      <c r="CR192" s="16" t="s">
        <v>121</v>
      </c>
      <c r="CS192" s="16" t="s">
        <v>122</v>
      </c>
      <c r="CT192" s="16" t="s">
        <v>1037</v>
      </c>
      <c r="CU192" s="16" t="s">
        <v>125</v>
      </c>
      <c r="CV192" s="16" t="s">
        <v>351</v>
      </c>
    </row>
    <row r="193" spans="1:100" ht="15" customHeight="1">
      <c r="A193" t="s">
        <v>1324</v>
      </c>
      <c r="B193" s="3" t="s">
        <v>1325</v>
      </c>
      <c r="C193" s="16" t="s">
        <v>97</v>
      </c>
      <c r="D193" s="39" t="s">
        <v>1326</v>
      </c>
      <c r="E193" s="16" t="s">
        <v>97</v>
      </c>
      <c r="F193" s="131" t="s">
        <v>1327</v>
      </c>
      <c r="I193" s="100" t="s">
        <v>342</v>
      </c>
      <c r="J193" s="16" t="s">
        <v>101</v>
      </c>
      <c r="K193" s="16"/>
      <c r="L193" s="3" t="s">
        <v>102</v>
      </c>
      <c r="M193" s="3" t="s">
        <v>103</v>
      </c>
      <c r="N193" s="3" t="s">
        <v>104</v>
      </c>
      <c r="O193" s="16" t="s">
        <v>105</v>
      </c>
      <c r="P193" s="3" t="s">
        <v>1328</v>
      </c>
      <c r="Q193" s="3" t="s">
        <v>1328</v>
      </c>
      <c r="R193" s="3" t="s">
        <v>1328</v>
      </c>
      <c r="S193" t="s">
        <v>1324</v>
      </c>
      <c r="T193" s="130" t="s">
        <v>465</v>
      </c>
      <c r="U193" s="50">
        <v>8</v>
      </c>
      <c r="V193" s="54"/>
      <c r="W193" s="54"/>
      <c r="X193" s="59" t="s">
        <v>108</v>
      </c>
      <c r="Y193" s="93">
        <f>IF(AD193=0, 0, IF(OR(H193="", H193&lt;&gt;0), 1, 0))</f>
        <v>1</v>
      </c>
      <c r="Z193" s="3">
        <v>0</v>
      </c>
      <c r="AA193" s="3" t="s">
        <v>1329</v>
      </c>
      <c r="AD193" s="6">
        <f>ROUND((AG193*(1+AJ193)),2)</f>
        <v>195.18</v>
      </c>
      <c r="AE193" s="69">
        <v>222.43746512000001</v>
      </c>
      <c r="AF193" s="17">
        <f>(AE193*1)</f>
        <v>222.43746512000001</v>
      </c>
      <c r="AG193" s="6">
        <f>ROUND((AE193*AI193),2)</f>
        <v>144.58000000000001</v>
      </c>
      <c r="AH193" s="30" t="s">
        <v>110</v>
      </c>
      <c r="AI193" s="3">
        <v>0.65</v>
      </c>
      <c r="AJ193" s="18">
        <v>0.35</v>
      </c>
      <c r="AK193" s="6">
        <f>ROUND((AD193-(AD193*BG193)),2)</f>
        <v>193.23</v>
      </c>
      <c r="AL193" s="6">
        <f>ROUND((AD193-(AD193*BH193)),2)</f>
        <v>191.28</v>
      </c>
      <c r="AM193" s="6">
        <f>ROUND((AD193-(AD193*BI193)),2)</f>
        <v>189.32</v>
      </c>
      <c r="AN193" s="6">
        <f>ROUND((AD193-(AD193*BJ193)),2)</f>
        <v>189.32</v>
      </c>
      <c r="AO193" s="6">
        <f>ROUND((AD193-(AD193*BK193)),2)</f>
        <v>195.18</v>
      </c>
      <c r="BG193" s="12">
        <v>0.01</v>
      </c>
      <c r="BH193" s="12">
        <v>0.02</v>
      </c>
      <c r="BI193" s="12">
        <v>0.03</v>
      </c>
      <c r="BJ193" s="12">
        <v>0.03</v>
      </c>
      <c r="CC193" s="3" t="str">
        <f>IF(B193&lt;&gt;"",CONCATENATE(SUBSTITUTE(B193," ","-"),".jpg"),"")</f>
        <v>Allied-Moulded-AMU1426CCTF.jpg</v>
      </c>
      <c r="CD193" s="16" t="s">
        <v>111</v>
      </c>
      <c r="CE193" s="3"/>
      <c r="CF193" s="3"/>
      <c r="CG193" s="3" t="s">
        <v>112</v>
      </c>
      <c r="CI193" s="3" t="s">
        <v>97</v>
      </c>
      <c r="CJ193" s="3" t="s">
        <v>467</v>
      </c>
      <c r="CK193" s="3" t="s">
        <v>114</v>
      </c>
      <c r="CL193" s="3" t="s">
        <v>115</v>
      </c>
      <c r="CM193" s="3" t="s">
        <v>116</v>
      </c>
      <c r="CN193" s="16" t="s">
        <v>132</v>
      </c>
      <c r="CO193" s="3" t="s">
        <v>118</v>
      </c>
      <c r="CP193" s="3" t="s">
        <v>139</v>
      </c>
      <c r="CQ193" s="3" t="s">
        <v>120</v>
      </c>
      <c r="CR193" s="16" t="s">
        <v>121</v>
      </c>
      <c r="CS193" s="16" t="s">
        <v>122</v>
      </c>
      <c r="CT193" s="16" t="s">
        <v>1037</v>
      </c>
      <c r="CU193" s="16" t="s">
        <v>125</v>
      </c>
      <c r="CV193" s="16" t="s">
        <v>351</v>
      </c>
    </row>
    <row r="194" spans="1:100" ht="15" customHeight="1">
      <c r="A194" t="s">
        <v>1330</v>
      </c>
      <c r="B194" s="3" t="s">
        <v>1331</v>
      </c>
      <c r="C194" s="16" t="s">
        <v>97</v>
      </c>
      <c r="D194" s="38" t="s">
        <v>1332</v>
      </c>
      <c r="E194" s="16" t="s">
        <v>97</v>
      </c>
      <c r="F194" s="131" t="s">
        <v>1333</v>
      </c>
      <c r="I194" s="100" t="s">
        <v>342</v>
      </c>
      <c r="J194" s="16" t="s">
        <v>101</v>
      </c>
      <c r="K194" s="16"/>
      <c r="L194" s="3" t="s">
        <v>102</v>
      </c>
      <c r="M194" s="3" t="s">
        <v>103</v>
      </c>
      <c r="N194" s="3" t="s">
        <v>104</v>
      </c>
      <c r="O194" s="16" t="s">
        <v>478</v>
      </c>
      <c r="P194" s="3" t="s">
        <v>1334</v>
      </c>
      <c r="Q194" s="3" t="s">
        <v>1334</v>
      </c>
      <c r="R194" s="3" t="s">
        <v>1334</v>
      </c>
      <c r="S194" t="s">
        <v>1330</v>
      </c>
      <c r="T194" s="130" t="s">
        <v>465</v>
      </c>
      <c r="U194" s="49">
        <v>8</v>
      </c>
      <c r="V194" s="58"/>
      <c r="W194" s="58"/>
      <c r="X194" s="59" t="s">
        <v>108</v>
      </c>
      <c r="Y194" s="93">
        <f>IF(AD194=0, 0, IF(OR(H194="", H194&lt;&gt;0), 1, 0))</f>
        <v>1</v>
      </c>
      <c r="Z194" s="3">
        <v>0</v>
      </c>
      <c r="AA194" s="3" t="s">
        <v>1335</v>
      </c>
      <c r="AD194" s="6">
        <f>ROUND((AG194*(1+AJ194)),2)</f>
        <v>121.5</v>
      </c>
      <c r="AE194" s="68">
        <v>138.46746900000002</v>
      </c>
      <c r="AF194" s="17">
        <f>(AE194*1)</f>
        <v>138.46746900000002</v>
      </c>
      <c r="AG194" s="6">
        <f>ROUND((AE194*AI194),2)</f>
        <v>90</v>
      </c>
      <c r="AH194" s="30" t="s">
        <v>110</v>
      </c>
      <c r="AI194" s="3">
        <v>0.65</v>
      </c>
      <c r="AJ194" s="18">
        <v>0.35</v>
      </c>
      <c r="AK194" s="6">
        <f>ROUND((AD194-(AD194*BG194)),2)</f>
        <v>120.29</v>
      </c>
      <c r="AL194" s="6">
        <f>ROUND((AD194-(AD194*BH194)),2)</f>
        <v>119.07</v>
      </c>
      <c r="AM194" s="6">
        <f>ROUND((AD194-(AD194*BI194)),2)</f>
        <v>117.86</v>
      </c>
      <c r="AN194" s="6">
        <f>ROUND((AD194-(AD194*BJ194)),2)</f>
        <v>117.86</v>
      </c>
      <c r="AO194" s="6">
        <f>ROUND((AD194-(AD194*BK194)),2)</f>
        <v>121.5</v>
      </c>
      <c r="BG194" s="12">
        <v>0.01</v>
      </c>
      <c r="BH194" s="12">
        <v>0.02</v>
      </c>
      <c r="BI194" s="12">
        <v>0.03</v>
      </c>
      <c r="BJ194" s="12">
        <v>0.03</v>
      </c>
      <c r="CC194" s="3" t="str">
        <f>IF(B194&lt;&gt;"",CONCATENATE(SUBSTITUTE(B194," ","-"),".jpg"),"")</f>
        <v>Allied-Moulded-AMP1426CCLF.jpg</v>
      </c>
      <c r="CD194" s="16" t="s">
        <v>111</v>
      </c>
      <c r="CE194" s="3"/>
      <c r="CF194" s="3"/>
      <c r="CG194" s="3" t="s">
        <v>112</v>
      </c>
      <c r="CI194" s="3" t="s">
        <v>97</v>
      </c>
      <c r="CJ194" s="3" t="s">
        <v>481</v>
      </c>
      <c r="CK194" s="3" t="s">
        <v>114</v>
      </c>
      <c r="CL194" s="3" t="s">
        <v>115</v>
      </c>
      <c r="CM194" s="3" t="s">
        <v>116</v>
      </c>
      <c r="CN194" t="s">
        <v>117</v>
      </c>
      <c r="CO194" s="3" t="s">
        <v>482</v>
      </c>
      <c r="CP194" s="3" t="s">
        <v>139</v>
      </c>
      <c r="CQ194" s="3" t="s">
        <v>120</v>
      </c>
      <c r="CR194" s="16" t="s">
        <v>121</v>
      </c>
      <c r="CS194" s="16" t="s">
        <v>122</v>
      </c>
      <c r="CT194" s="16" t="s">
        <v>1037</v>
      </c>
      <c r="CU194" s="16" t="s">
        <v>125</v>
      </c>
      <c r="CV194" s="16" t="s">
        <v>351</v>
      </c>
    </row>
    <row r="195" spans="1:100" ht="15" customHeight="1">
      <c r="A195" t="s">
        <v>1336</v>
      </c>
      <c r="B195" s="3" t="s">
        <v>1337</v>
      </c>
      <c r="C195" s="16" t="s">
        <v>97</v>
      </c>
      <c r="D195" s="39" t="s">
        <v>1338</v>
      </c>
      <c r="E195" s="16" t="s">
        <v>97</v>
      </c>
      <c r="F195" s="131" t="s">
        <v>1339</v>
      </c>
      <c r="I195" s="100" t="s">
        <v>342</v>
      </c>
      <c r="J195" s="16" t="s">
        <v>101</v>
      </c>
      <c r="K195" s="16"/>
      <c r="L195" s="3" t="s">
        <v>102</v>
      </c>
      <c r="M195" s="3" t="s">
        <v>103</v>
      </c>
      <c r="N195" s="3" t="s">
        <v>104</v>
      </c>
      <c r="O195" s="16" t="s">
        <v>478</v>
      </c>
      <c r="P195" s="2" t="s">
        <v>1340</v>
      </c>
      <c r="Q195" s="2" t="s">
        <v>1340</v>
      </c>
      <c r="R195" s="2" t="s">
        <v>1340</v>
      </c>
      <c r="S195" t="s">
        <v>1336</v>
      </c>
      <c r="T195" s="130" t="s">
        <v>465</v>
      </c>
      <c r="U195" s="50">
        <v>8</v>
      </c>
      <c r="V195" s="54"/>
      <c r="W195" s="54"/>
      <c r="X195" s="59" t="s">
        <v>108</v>
      </c>
      <c r="Y195" s="93">
        <f>IF(AD195=0, 0, IF(OR(H195="", H195&lt;&gt;0), 1, 0))</f>
        <v>1</v>
      </c>
      <c r="Z195" s="3">
        <v>0</v>
      </c>
      <c r="AA195" s="3" t="s">
        <v>1341</v>
      </c>
      <c r="AD195" s="6">
        <f>ROUND((AG195*(1+AJ195)),2)</f>
        <v>95.07</v>
      </c>
      <c r="AE195" s="69">
        <v>108.34444425000001</v>
      </c>
      <c r="AF195" s="17">
        <f>(AE195*1)</f>
        <v>108.34444425000001</v>
      </c>
      <c r="AG195" s="6">
        <f>ROUND((AE195*AI195),2)</f>
        <v>70.42</v>
      </c>
      <c r="AH195" s="30" t="s">
        <v>110</v>
      </c>
      <c r="AI195" s="3">
        <v>0.65</v>
      </c>
      <c r="AJ195" s="18">
        <v>0.35</v>
      </c>
      <c r="AK195" s="6">
        <f>ROUND((AD195-(AD195*BG195)),2)</f>
        <v>94.12</v>
      </c>
      <c r="AL195" s="6">
        <f>ROUND((AD195-(AD195*BH195)),2)</f>
        <v>93.17</v>
      </c>
      <c r="AM195" s="6">
        <f>ROUND((AD195-(AD195*BI195)),2)</f>
        <v>92.22</v>
      </c>
      <c r="AN195" s="6">
        <f>ROUND((AD195-(AD195*BJ195)),2)</f>
        <v>92.22</v>
      </c>
      <c r="AO195" s="6">
        <f>ROUND((AD195-(AD195*BK195)),2)</f>
        <v>95.07</v>
      </c>
      <c r="BG195" s="12">
        <v>0.01</v>
      </c>
      <c r="BH195" s="12">
        <v>0.02</v>
      </c>
      <c r="BI195" s="12">
        <v>0.03</v>
      </c>
      <c r="BJ195" s="12">
        <v>0.03</v>
      </c>
      <c r="CC195" s="3" t="str">
        <f>IF(B195&lt;&gt;"",CONCATENATE(SUBSTITUTE(B195," ","-"),".jpg"),"")</f>
        <v>Allied-Moulded-AMP1426HF.jpg</v>
      </c>
      <c r="CD195" s="16" t="s">
        <v>111</v>
      </c>
      <c r="CE195" s="3"/>
      <c r="CF195" s="3"/>
      <c r="CG195" s="3" t="s">
        <v>112</v>
      </c>
      <c r="CI195" s="3" t="s">
        <v>97</v>
      </c>
      <c r="CJ195" s="3" t="s">
        <v>481</v>
      </c>
      <c r="CK195" s="3" t="s">
        <v>114</v>
      </c>
      <c r="CL195" s="3" t="s">
        <v>115</v>
      </c>
      <c r="CM195" s="3" t="s">
        <v>116</v>
      </c>
      <c r="CN195" s="16" t="s">
        <v>349</v>
      </c>
      <c r="CO195" s="3" t="s">
        <v>482</v>
      </c>
      <c r="CP195" s="3" t="s">
        <v>139</v>
      </c>
      <c r="CQ195" s="3" t="s">
        <v>120</v>
      </c>
      <c r="CR195" s="3" t="s">
        <v>140</v>
      </c>
      <c r="CS195" s="3" t="s">
        <v>384</v>
      </c>
      <c r="CT195" s="16" t="s">
        <v>1037</v>
      </c>
      <c r="CU195" s="16" t="s">
        <v>125</v>
      </c>
      <c r="CV195" s="16" t="s">
        <v>351</v>
      </c>
    </row>
    <row r="196" spans="1:100" ht="15" customHeight="1">
      <c r="A196" t="s">
        <v>1342</v>
      </c>
      <c r="B196" s="3" t="s">
        <v>1343</v>
      </c>
      <c r="C196" s="16" t="s">
        <v>97</v>
      </c>
      <c r="D196" s="38" t="s">
        <v>1344</v>
      </c>
      <c r="E196" s="16" t="s">
        <v>97</v>
      </c>
      <c r="F196" s="131" t="s">
        <v>1345</v>
      </c>
      <c r="I196" s="100" t="s">
        <v>342</v>
      </c>
      <c r="J196" s="16" t="s">
        <v>101</v>
      </c>
      <c r="K196" s="16"/>
      <c r="L196" s="3" t="s">
        <v>102</v>
      </c>
      <c r="M196" s="3" t="s">
        <v>103</v>
      </c>
      <c r="N196" s="3" t="s">
        <v>104</v>
      </c>
      <c r="O196" s="16" t="s">
        <v>478</v>
      </c>
      <c r="P196" s="2" t="s">
        <v>1346</v>
      </c>
      <c r="Q196" s="2" t="s">
        <v>1346</v>
      </c>
      <c r="R196" s="2" t="s">
        <v>1346</v>
      </c>
      <c r="S196" t="s">
        <v>1342</v>
      </c>
      <c r="T196" s="130" t="s">
        <v>465</v>
      </c>
      <c r="U196" s="49">
        <v>8</v>
      </c>
      <c r="V196" s="58"/>
      <c r="W196" s="58"/>
      <c r="X196" s="59" t="s">
        <v>108</v>
      </c>
      <c r="Y196" s="93">
        <f>IF(AD196=0, 0, IF(OR(H196="", H196&lt;&gt;0), 1, 0))</f>
        <v>1</v>
      </c>
      <c r="Z196" s="3">
        <v>0</v>
      </c>
      <c r="AA196" s="3" t="s">
        <v>1347</v>
      </c>
      <c r="AD196" s="6">
        <f>ROUND((AG196*(1+AJ196)),2)</f>
        <v>111.47</v>
      </c>
      <c r="AE196" s="68">
        <v>127.03437705</v>
      </c>
      <c r="AF196" s="17">
        <f>(AE196*1)</f>
        <v>127.03437705</v>
      </c>
      <c r="AG196" s="6">
        <f>ROUND((AE196*AI196),2)</f>
        <v>82.57</v>
      </c>
      <c r="AH196" s="30" t="s">
        <v>110</v>
      </c>
      <c r="AI196" s="3">
        <v>0.65</v>
      </c>
      <c r="AJ196" s="18">
        <v>0.35</v>
      </c>
      <c r="AK196" s="6">
        <f>ROUND((AD196-(AD196*BG196)),2)</f>
        <v>110.36</v>
      </c>
      <c r="AL196" s="6">
        <f>ROUND((AD196-(AD196*BH196)),2)</f>
        <v>109.24</v>
      </c>
      <c r="AM196" s="6">
        <f>ROUND((AD196-(AD196*BI196)),2)</f>
        <v>108.13</v>
      </c>
      <c r="AN196" s="6">
        <f>ROUND((AD196-(AD196*BJ196)),2)</f>
        <v>108.13</v>
      </c>
      <c r="AO196" s="6">
        <f>ROUND((AD196-(AD196*BK196)),2)</f>
        <v>111.47</v>
      </c>
      <c r="BG196" s="12">
        <v>0.01</v>
      </c>
      <c r="BH196" s="12">
        <v>0.02</v>
      </c>
      <c r="BI196" s="12">
        <v>0.03</v>
      </c>
      <c r="BJ196" s="12">
        <v>0.03</v>
      </c>
      <c r="CC196" s="3" t="str">
        <f>IF(B196&lt;&gt;"",CONCATENATE(SUBSTITUTE(B196," ","-"),".jpg"),"")</f>
        <v>Allied-Moulded-AMP1426LF.jpg</v>
      </c>
      <c r="CD196" s="16" t="s">
        <v>111</v>
      </c>
      <c r="CE196" s="3"/>
      <c r="CF196" s="3"/>
      <c r="CG196" s="3" t="s">
        <v>112</v>
      </c>
      <c r="CI196" s="3" t="s">
        <v>97</v>
      </c>
      <c r="CJ196" s="3" t="s">
        <v>481</v>
      </c>
      <c r="CK196" s="3" t="s">
        <v>114</v>
      </c>
      <c r="CL196" s="3" t="s">
        <v>115</v>
      </c>
      <c r="CM196" s="3" t="s">
        <v>116</v>
      </c>
      <c r="CN196" t="s">
        <v>117</v>
      </c>
      <c r="CO196" s="3" t="s">
        <v>482</v>
      </c>
      <c r="CP196" s="3" t="s">
        <v>139</v>
      </c>
      <c r="CQ196" s="3" t="s">
        <v>120</v>
      </c>
      <c r="CR196" s="3" t="s">
        <v>140</v>
      </c>
      <c r="CS196" s="16" t="s">
        <v>122</v>
      </c>
      <c r="CT196" s="16" t="s">
        <v>1037</v>
      </c>
      <c r="CU196" s="16" t="s">
        <v>125</v>
      </c>
      <c r="CV196" s="16" t="s">
        <v>351</v>
      </c>
    </row>
    <row r="197" spans="1:100" ht="15" customHeight="1">
      <c r="A197" t="s">
        <v>1348</v>
      </c>
      <c r="B197" s="3" t="s">
        <v>1349</v>
      </c>
      <c r="C197" s="16" t="s">
        <v>97</v>
      </c>
      <c r="D197" s="39" t="s">
        <v>1350</v>
      </c>
      <c r="E197" s="16" t="s">
        <v>97</v>
      </c>
      <c r="F197" s="131" t="s">
        <v>1351</v>
      </c>
      <c r="I197" s="100" t="s">
        <v>342</v>
      </c>
      <c r="J197" s="16" t="s">
        <v>101</v>
      </c>
      <c r="K197" s="16"/>
      <c r="L197" s="3" t="s">
        <v>102</v>
      </c>
      <c r="M197" s="3" t="s">
        <v>103</v>
      </c>
      <c r="N197" s="3" t="s">
        <v>104</v>
      </c>
      <c r="O197" s="16" t="s">
        <v>478</v>
      </c>
      <c r="P197" s="2" t="s">
        <v>1352</v>
      </c>
      <c r="Q197" s="2" t="s">
        <v>1352</v>
      </c>
      <c r="R197" s="2" t="s">
        <v>1352</v>
      </c>
      <c r="S197" t="s">
        <v>1348</v>
      </c>
      <c r="T197" s="130" t="s">
        <v>465</v>
      </c>
      <c r="U197" s="50">
        <v>8</v>
      </c>
      <c r="V197" s="54"/>
      <c r="W197" s="54"/>
      <c r="X197" s="59" t="s">
        <v>108</v>
      </c>
      <c r="Y197" s="93">
        <f>IF(AD197=0, 0, IF(OR(H197="", H197&lt;&gt;0), 1, 0))</f>
        <v>1</v>
      </c>
      <c r="Z197" s="3">
        <v>0</v>
      </c>
      <c r="AA197" s="3" t="s">
        <v>1353</v>
      </c>
      <c r="AD197" s="6">
        <f>ROUND((AG197*(1+AJ197)),2)</f>
        <v>105.89</v>
      </c>
      <c r="AE197" s="69">
        <v>120.68265719999999</v>
      </c>
      <c r="AF197" s="17">
        <f>(AE197*1)</f>
        <v>120.68265719999999</v>
      </c>
      <c r="AG197" s="6">
        <f>ROUND((AE197*AI197),2)</f>
        <v>78.44</v>
      </c>
      <c r="AH197" s="30" t="s">
        <v>110</v>
      </c>
      <c r="AI197" s="3">
        <v>0.65</v>
      </c>
      <c r="AJ197" s="18">
        <v>0.35</v>
      </c>
      <c r="AK197" s="6">
        <f>ROUND((AD197-(AD197*BG197)),2)</f>
        <v>104.83</v>
      </c>
      <c r="AL197" s="6">
        <f>ROUND((AD197-(AD197*BH197)),2)</f>
        <v>103.77</v>
      </c>
      <c r="AM197" s="6">
        <f>ROUND((AD197-(AD197*BI197)),2)</f>
        <v>102.71</v>
      </c>
      <c r="AN197" s="6">
        <f>ROUND((AD197-(AD197*BJ197)),2)</f>
        <v>102.71</v>
      </c>
      <c r="AO197" s="6">
        <f>ROUND((AD197-(AD197*BK197)),2)</f>
        <v>105.89</v>
      </c>
      <c r="BG197" s="12">
        <v>0.01</v>
      </c>
      <c r="BH197" s="12">
        <v>0.02</v>
      </c>
      <c r="BI197" s="12">
        <v>0.03</v>
      </c>
      <c r="BJ197" s="12">
        <v>0.03</v>
      </c>
      <c r="CC197" s="3" t="str">
        <f>IF(B197&lt;&gt;"",CONCATENATE(SUBSTITUTE(B197," ","-"),".jpg"),"")</f>
        <v>Allied-Moulded-AMP1426NLF.jpg</v>
      </c>
      <c r="CD197" s="16" t="s">
        <v>111</v>
      </c>
      <c r="CE197" s="3"/>
      <c r="CF197" s="3"/>
      <c r="CG197" s="3" t="s">
        <v>112</v>
      </c>
      <c r="CI197" s="3" t="s">
        <v>97</v>
      </c>
      <c r="CJ197" s="3" t="s">
        <v>481</v>
      </c>
      <c r="CK197" s="3" t="s">
        <v>114</v>
      </c>
      <c r="CL197" s="3" t="s">
        <v>115</v>
      </c>
      <c r="CM197" s="3" t="s">
        <v>116</v>
      </c>
      <c r="CN197" t="s">
        <v>117</v>
      </c>
      <c r="CO197" s="3" t="s">
        <v>482</v>
      </c>
      <c r="CP197" s="3" t="s">
        <v>139</v>
      </c>
      <c r="CQ197" s="3" t="s">
        <v>120</v>
      </c>
      <c r="CR197" s="3" t="s">
        <v>140</v>
      </c>
      <c r="CS197" s="16" t="s">
        <v>122</v>
      </c>
      <c r="CT197" s="16" t="s">
        <v>1037</v>
      </c>
      <c r="CU197" s="16" t="s">
        <v>125</v>
      </c>
      <c r="CV197" s="16" t="s">
        <v>351</v>
      </c>
    </row>
    <row r="198" spans="1:100" ht="15" customHeight="1">
      <c r="A198" t="s">
        <v>1354</v>
      </c>
      <c r="B198" s="3" t="s">
        <v>1355</v>
      </c>
      <c r="C198" s="16" t="s">
        <v>97</v>
      </c>
      <c r="D198" s="39" t="s">
        <v>1356</v>
      </c>
      <c r="E198" s="16" t="s">
        <v>97</v>
      </c>
      <c r="F198" s="131" t="s">
        <v>1357</v>
      </c>
      <c r="I198" s="100" t="s">
        <v>342</v>
      </c>
      <c r="J198" s="16" t="s">
        <v>101</v>
      </c>
      <c r="K198" s="16"/>
      <c r="L198" s="3" t="s">
        <v>102</v>
      </c>
      <c r="M198" s="3" t="s">
        <v>103</v>
      </c>
      <c r="N198" s="3" t="s">
        <v>104</v>
      </c>
      <c r="O198" s="16" t="s">
        <v>478</v>
      </c>
      <c r="P198" s="3" t="s">
        <v>1358</v>
      </c>
      <c r="Q198" s="3" t="s">
        <v>1358</v>
      </c>
      <c r="R198" s="3" t="s">
        <v>1358</v>
      </c>
      <c r="S198" t="s">
        <v>1354</v>
      </c>
      <c r="T198" s="130" t="s">
        <v>465</v>
      </c>
      <c r="U198" s="50">
        <v>7</v>
      </c>
      <c r="V198" s="54"/>
      <c r="W198" s="54"/>
      <c r="X198" s="59" t="s">
        <v>108</v>
      </c>
      <c r="Y198" s="93">
        <f>IF(AD198=0, 0, IF(OR(H198="", H198&lt;&gt;0), 1, 0))</f>
        <v>1</v>
      </c>
      <c r="Z198" s="3">
        <v>0</v>
      </c>
      <c r="AA198" s="3" t="s">
        <v>1359</v>
      </c>
      <c r="AD198" s="6">
        <f>ROUND((AG198*(1+AJ198)),2)</f>
        <v>93.04</v>
      </c>
      <c r="AE198" s="69">
        <v>106.02606734999999</v>
      </c>
      <c r="AF198" s="17">
        <f>(AE198*1)</f>
        <v>106.02606734999999</v>
      </c>
      <c r="AG198" s="6">
        <f>ROUND((AE198*AI198),2)</f>
        <v>68.92</v>
      </c>
      <c r="AH198" s="30" t="s">
        <v>110</v>
      </c>
      <c r="AI198" s="3">
        <v>0.65</v>
      </c>
      <c r="AJ198" s="18">
        <v>0.35</v>
      </c>
      <c r="AK198" s="6">
        <f>ROUND((AD198-(AD198*BG198)),2)</f>
        <v>92.11</v>
      </c>
      <c r="AL198" s="6">
        <f>ROUND((AD198-(AD198*BH198)),2)</f>
        <v>91.18</v>
      </c>
      <c r="AM198" s="6">
        <f>ROUND((AD198-(AD198*BI198)),2)</f>
        <v>90.25</v>
      </c>
      <c r="AN198" s="6">
        <f>ROUND((AD198-(AD198*BJ198)),2)</f>
        <v>90.25</v>
      </c>
      <c r="AO198" s="6">
        <f>ROUND((AD198-(AD198*BK198)),2)</f>
        <v>93.04</v>
      </c>
      <c r="BG198" s="12">
        <v>0.01</v>
      </c>
      <c r="BH198" s="12">
        <v>0.02</v>
      </c>
      <c r="BI198" s="12">
        <v>0.03</v>
      </c>
      <c r="BJ198" s="12">
        <v>0.03</v>
      </c>
      <c r="CC198" s="3" t="str">
        <f>IF(B198&lt;&gt;"",CONCATENATE(SUBSTITUTE(B198," ","-"),".jpg"),"")</f>
        <v>Allied-Moulded-AMP1426CC.jpg</v>
      </c>
      <c r="CD198" s="16" t="s">
        <v>111</v>
      </c>
      <c r="CE198" s="3"/>
      <c r="CF198" s="3"/>
      <c r="CG198" s="3" t="s">
        <v>112</v>
      </c>
      <c r="CI198" s="3" t="s">
        <v>97</v>
      </c>
      <c r="CJ198" s="3" t="s">
        <v>481</v>
      </c>
      <c r="CK198" s="3" t="s">
        <v>114</v>
      </c>
      <c r="CL198" s="3" t="s">
        <v>115</v>
      </c>
      <c r="CM198" s="16"/>
      <c r="CN198" s="16" t="s">
        <v>349</v>
      </c>
      <c r="CO198" s="3" t="s">
        <v>482</v>
      </c>
      <c r="CP198" s="3" t="s">
        <v>139</v>
      </c>
      <c r="CQ198" s="3" t="s">
        <v>120</v>
      </c>
      <c r="CR198" s="16" t="s">
        <v>121</v>
      </c>
      <c r="CS198" s="3" t="s">
        <v>384</v>
      </c>
      <c r="CT198" s="16" t="s">
        <v>1037</v>
      </c>
      <c r="CU198" s="16" t="s">
        <v>125</v>
      </c>
      <c r="CV198" s="16" t="s">
        <v>351</v>
      </c>
    </row>
    <row r="199" spans="1:100" ht="15" customHeight="1">
      <c r="A199" t="s">
        <v>1360</v>
      </c>
      <c r="B199" s="3" t="s">
        <v>1361</v>
      </c>
      <c r="C199" s="16" t="s">
        <v>97</v>
      </c>
      <c r="D199" s="40" t="s">
        <v>1362</v>
      </c>
      <c r="E199" s="16" t="s">
        <v>97</v>
      </c>
      <c r="F199" s="131" t="s">
        <v>1363</v>
      </c>
      <c r="I199" s="100" t="s">
        <v>342</v>
      </c>
      <c r="J199" s="16" t="s">
        <v>101</v>
      </c>
      <c r="K199" s="16"/>
      <c r="L199" s="3" t="s">
        <v>102</v>
      </c>
      <c r="M199" s="3" t="s">
        <v>103</v>
      </c>
      <c r="N199" s="3" t="s">
        <v>104</v>
      </c>
      <c r="O199" s="16" t="s">
        <v>478</v>
      </c>
      <c r="P199" s="3" t="s">
        <v>1364</v>
      </c>
      <c r="Q199" s="3" t="s">
        <v>1364</v>
      </c>
      <c r="R199" s="3" t="s">
        <v>1364</v>
      </c>
      <c r="S199" t="s">
        <v>1360</v>
      </c>
      <c r="T199" s="130" t="s">
        <v>465</v>
      </c>
      <c r="U199" s="51">
        <v>7</v>
      </c>
      <c r="V199" s="58"/>
      <c r="W199" s="58"/>
      <c r="X199" s="59" t="s">
        <v>108</v>
      </c>
      <c r="Y199" s="93">
        <f>IF(AD199=0, 0, IF(OR(H199="", H199&lt;&gt;0), 1, 0))</f>
        <v>1</v>
      </c>
      <c r="Z199" s="3">
        <v>0</v>
      </c>
      <c r="AA199" s="3" t="s">
        <v>1365</v>
      </c>
      <c r="AD199" s="6">
        <f>ROUND((AG199*(1+AJ199)),2)</f>
        <v>97.93</v>
      </c>
      <c r="AE199" s="69">
        <v>111.59970149999999</v>
      </c>
      <c r="AF199" s="17">
        <f>(AE199*1)</f>
        <v>111.59970149999999</v>
      </c>
      <c r="AG199" s="6">
        <f>ROUND((AE199*AI199),2)</f>
        <v>72.540000000000006</v>
      </c>
      <c r="AH199" s="30" t="s">
        <v>110</v>
      </c>
      <c r="AI199" s="3">
        <v>0.65</v>
      </c>
      <c r="AJ199" s="18">
        <v>0.35</v>
      </c>
      <c r="AK199" s="6">
        <f>ROUND((AD199-(AD199*BG199)),2)</f>
        <v>96.95</v>
      </c>
      <c r="AL199" s="6">
        <f>ROUND((AD199-(AD199*BH199)),2)</f>
        <v>95.97</v>
      </c>
      <c r="AM199" s="6">
        <f>ROUND((AD199-(AD199*BI199)),2)</f>
        <v>94.99</v>
      </c>
      <c r="AN199" s="6">
        <f>ROUND((AD199-(AD199*BJ199)),2)</f>
        <v>94.99</v>
      </c>
      <c r="AO199" s="6">
        <f>ROUND((AD199-(AD199*BK199)),2)</f>
        <v>97.93</v>
      </c>
      <c r="BG199" s="12">
        <v>0.01</v>
      </c>
      <c r="BH199" s="12">
        <v>0.02</v>
      </c>
      <c r="BI199" s="12">
        <v>0.03</v>
      </c>
      <c r="BJ199" s="12">
        <v>0.03</v>
      </c>
      <c r="CC199" s="3" t="str">
        <f>IF(B199&lt;&gt;"",CONCATENATE(SUBSTITUTE(B199," ","-"),".jpg"),"")</f>
        <v>Allied-Moulded-AMP1426CCF.jpg</v>
      </c>
      <c r="CD199" s="16" t="s">
        <v>111</v>
      </c>
      <c r="CE199" s="3"/>
      <c r="CF199" s="3"/>
      <c r="CG199" s="3" t="s">
        <v>112</v>
      </c>
      <c r="CI199" s="3" t="s">
        <v>97</v>
      </c>
      <c r="CJ199" s="3" t="s">
        <v>481</v>
      </c>
      <c r="CK199" s="3" t="s">
        <v>114</v>
      </c>
      <c r="CL199" s="3" t="s">
        <v>115</v>
      </c>
      <c r="CM199" s="16"/>
      <c r="CN199" s="16" t="s">
        <v>349</v>
      </c>
      <c r="CO199" s="3" t="s">
        <v>482</v>
      </c>
      <c r="CP199" s="3" t="s">
        <v>139</v>
      </c>
      <c r="CQ199" s="3" t="s">
        <v>120</v>
      </c>
      <c r="CR199" s="16" t="s">
        <v>121</v>
      </c>
      <c r="CS199" s="3" t="s">
        <v>384</v>
      </c>
      <c r="CT199" s="16" t="s">
        <v>1037</v>
      </c>
      <c r="CU199" s="16" t="s">
        <v>125</v>
      </c>
      <c r="CV199" s="16" t="s">
        <v>351</v>
      </c>
    </row>
    <row r="200" spans="1:100" ht="15" customHeight="1">
      <c r="A200" t="s">
        <v>1366</v>
      </c>
      <c r="B200" s="3" t="s">
        <v>1367</v>
      </c>
      <c r="C200" s="16" t="s">
        <v>97</v>
      </c>
      <c r="D200" s="40" t="s">
        <v>1368</v>
      </c>
      <c r="E200" s="16" t="s">
        <v>97</v>
      </c>
      <c r="F200" s="131" t="s">
        <v>1369</v>
      </c>
      <c r="I200" s="100" t="s">
        <v>342</v>
      </c>
      <c r="J200" s="16" t="s">
        <v>101</v>
      </c>
      <c r="K200" s="16"/>
      <c r="L200" s="3" t="s">
        <v>102</v>
      </c>
      <c r="M200" s="3" t="s">
        <v>103</v>
      </c>
      <c r="N200" s="3" t="s">
        <v>104</v>
      </c>
      <c r="O200" s="16" t="s">
        <v>478</v>
      </c>
      <c r="P200" s="3" t="s">
        <v>1370</v>
      </c>
      <c r="Q200" s="3" t="s">
        <v>1370</v>
      </c>
      <c r="R200" s="3" t="s">
        <v>1370</v>
      </c>
      <c r="S200" t="s">
        <v>1366</v>
      </c>
      <c r="T200" s="130" t="s">
        <v>465</v>
      </c>
      <c r="U200" s="51">
        <v>7</v>
      </c>
      <c r="V200" s="58"/>
      <c r="W200" s="58"/>
      <c r="X200" s="59" t="s">
        <v>108</v>
      </c>
      <c r="Y200" s="93">
        <f>IF(AD200=0, 0, IF(OR(H200="", H200&lt;&gt;0), 1, 0))</f>
        <v>1</v>
      </c>
      <c r="Z200" s="3">
        <v>0</v>
      </c>
      <c r="AA200" s="3" t="s">
        <v>1371</v>
      </c>
      <c r="AD200" s="6">
        <f>ROUND((AG200*(1+AJ200)),2)</f>
        <v>98.44</v>
      </c>
      <c r="AE200" s="69">
        <v>112.18723425</v>
      </c>
      <c r="AF200" s="17">
        <f>(AE200*1)</f>
        <v>112.18723425</v>
      </c>
      <c r="AG200" s="6">
        <f>ROUND((AE200*AI200),2)</f>
        <v>72.92</v>
      </c>
      <c r="AH200" s="30" t="s">
        <v>110</v>
      </c>
      <c r="AI200" s="3">
        <v>0.65</v>
      </c>
      <c r="AJ200" s="18">
        <v>0.35</v>
      </c>
      <c r="AK200" s="6">
        <f>ROUND((AD200-(AD200*BG200)),2)</f>
        <v>97.46</v>
      </c>
      <c r="AL200" s="6">
        <f>ROUND((AD200-(AD200*BH200)),2)</f>
        <v>96.47</v>
      </c>
      <c r="AM200" s="6">
        <f>ROUND((AD200-(AD200*BI200)),2)</f>
        <v>95.49</v>
      </c>
      <c r="AN200" s="6">
        <f>ROUND((AD200-(AD200*BJ200)),2)</f>
        <v>95.49</v>
      </c>
      <c r="AO200" s="6">
        <f>ROUND((AD200-(AD200*BK200)),2)</f>
        <v>98.44</v>
      </c>
      <c r="BG200" s="12">
        <v>0.01</v>
      </c>
      <c r="BH200" s="12">
        <v>0.02</v>
      </c>
      <c r="BI200" s="12">
        <v>0.03</v>
      </c>
      <c r="BJ200" s="12">
        <v>0.03</v>
      </c>
      <c r="CC200" s="3" t="str">
        <f>IF(B200&lt;&gt;"",CONCATENATE(SUBSTITUTE(B200," ","-"),".jpg"),"")</f>
        <v>Allied-Moulded-AMP1426CCH.jpg</v>
      </c>
      <c r="CD200" s="16" t="s">
        <v>111</v>
      </c>
      <c r="CE200" s="3"/>
      <c r="CF200" s="3"/>
      <c r="CG200" s="3" t="s">
        <v>112</v>
      </c>
      <c r="CI200" s="3" t="s">
        <v>97</v>
      </c>
      <c r="CJ200" s="3" t="s">
        <v>481</v>
      </c>
      <c r="CK200" s="3" t="s">
        <v>114</v>
      </c>
      <c r="CL200" s="3" t="s">
        <v>115</v>
      </c>
      <c r="CM200" s="3" t="s">
        <v>116</v>
      </c>
      <c r="CN200" s="16" t="s">
        <v>349</v>
      </c>
      <c r="CO200" s="3" t="s">
        <v>482</v>
      </c>
      <c r="CP200" s="3" t="s">
        <v>139</v>
      </c>
      <c r="CQ200" s="3" t="s">
        <v>120</v>
      </c>
      <c r="CR200" s="16" t="s">
        <v>121</v>
      </c>
      <c r="CS200" s="3" t="s">
        <v>384</v>
      </c>
      <c r="CT200" s="16" t="s">
        <v>1037</v>
      </c>
      <c r="CU200" s="16" t="s">
        <v>125</v>
      </c>
      <c r="CV200" s="16" t="s">
        <v>351</v>
      </c>
    </row>
    <row r="201" spans="1:100" ht="15" customHeight="1">
      <c r="A201" t="s">
        <v>1372</v>
      </c>
      <c r="B201" s="3" t="s">
        <v>1373</v>
      </c>
      <c r="C201" s="16" t="s">
        <v>97</v>
      </c>
      <c r="D201" s="39" t="s">
        <v>1374</v>
      </c>
      <c r="E201" s="16" t="s">
        <v>97</v>
      </c>
      <c r="F201" s="131" t="s">
        <v>1375</v>
      </c>
      <c r="I201" s="100" t="s">
        <v>342</v>
      </c>
      <c r="J201" s="16" t="s">
        <v>101</v>
      </c>
      <c r="K201" s="16"/>
      <c r="L201" s="3" t="s">
        <v>102</v>
      </c>
      <c r="M201" s="3" t="s">
        <v>103</v>
      </c>
      <c r="N201" s="3" t="s">
        <v>104</v>
      </c>
      <c r="O201" s="16" t="s">
        <v>478</v>
      </c>
      <c r="P201" s="3" t="s">
        <v>1376</v>
      </c>
      <c r="Q201" s="3" t="s">
        <v>1376</v>
      </c>
      <c r="R201" s="3" t="s">
        <v>1376</v>
      </c>
      <c r="S201" t="s">
        <v>1372</v>
      </c>
      <c r="T201" s="130" t="s">
        <v>465</v>
      </c>
      <c r="U201" s="50">
        <v>7</v>
      </c>
      <c r="V201" s="54"/>
      <c r="W201" s="54"/>
      <c r="X201" s="59" t="s">
        <v>108</v>
      </c>
      <c r="Y201" s="93">
        <f>IF(AD201=0, 0, IF(OR(H201="", H201&lt;&gt;0), 1, 0))</f>
        <v>1</v>
      </c>
      <c r="Z201" s="3">
        <v>0</v>
      </c>
      <c r="AA201" s="3" t="s">
        <v>1377</v>
      </c>
      <c r="AD201" s="6">
        <f>ROUND((AG201*(1+AJ201)),2)</f>
        <v>103.63</v>
      </c>
      <c r="AE201" s="69">
        <v>118.09433370000002</v>
      </c>
      <c r="AF201" s="17">
        <f>(AE201*1)</f>
        <v>118.09433370000002</v>
      </c>
      <c r="AG201" s="6">
        <f>ROUND((AE201*AI201),2)</f>
        <v>76.760000000000005</v>
      </c>
      <c r="AH201" s="30" t="s">
        <v>110</v>
      </c>
      <c r="AI201" s="3">
        <v>0.65</v>
      </c>
      <c r="AJ201" s="18">
        <v>0.35</v>
      </c>
      <c r="AK201" s="6">
        <f>ROUND((AD201-(AD201*BG201)),2)</f>
        <v>102.59</v>
      </c>
      <c r="AL201" s="6">
        <f>ROUND((AD201-(AD201*BH201)),2)</f>
        <v>101.56</v>
      </c>
      <c r="AM201" s="6">
        <f>ROUND((AD201-(AD201*BI201)),2)</f>
        <v>100.52</v>
      </c>
      <c r="AN201" s="6">
        <f>ROUND((AD201-(AD201*BJ201)),2)</f>
        <v>100.52</v>
      </c>
      <c r="AO201" s="6">
        <f>ROUND((AD201-(AD201*BK201)),2)</f>
        <v>103.63</v>
      </c>
      <c r="BG201" s="12">
        <v>0.01</v>
      </c>
      <c r="BH201" s="12">
        <v>0.02</v>
      </c>
      <c r="BI201" s="12">
        <v>0.03</v>
      </c>
      <c r="BJ201" s="12">
        <v>0.03</v>
      </c>
      <c r="CC201" s="3" t="str">
        <f>IF(B201&lt;&gt;"",CONCATENATE(SUBSTITUTE(B201," ","-"),".jpg"),"")</f>
        <v>Allied-Moulded-AMP1426CCHF.jpg</v>
      </c>
      <c r="CD201" s="16" t="s">
        <v>111</v>
      </c>
      <c r="CE201" s="3"/>
      <c r="CF201" s="3"/>
      <c r="CG201" s="3" t="s">
        <v>112</v>
      </c>
      <c r="CI201" s="3" t="s">
        <v>97</v>
      </c>
      <c r="CJ201" s="3" t="s">
        <v>481</v>
      </c>
      <c r="CK201" s="3" t="s">
        <v>114</v>
      </c>
      <c r="CL201" s="3" t="s">
        <v>115</v>
      </c>
      <c r="CM201" s="3" t="s">
        <v>116</v>
      </c>
      <c r="CN201" s="16" t="s">
        <v>349</v>
      </c>
      <c r="CO201" s="3" t="s">
        <v>482</v>
      </c>
      <c r="CP201" s="3" t="s">
        <v>139</v>
      </c>
      <c r="CQ201" s="3" t="s">
        <v>120</v>
      </c>
      <c r="CR201" s="16" t="s">
        <v>121</v>
      </c>
      <c r="CS201" s="3" t="s">
        <v>384</v>
      </c>
      <c r="CT201" s="16" t="s">
        <v>1037</v>
      </c>
      <c r="CU201" s="16" t="s">
        <v>125</v>
      </c>
      <c r="CV201" s="16" t="s">
        <v>351</v>
      </c>
    </row>
    <row r="202" spans="1:100" ht="15" customHeight="1">
      <c r="A202" t="s">
        <v>1378</v>
      </c>
      <c r="B202" s="3" t="s">
        <v>1379</v>
      </c>
      <c r="C202" s="16" t="s">
        <v>97</v>
      </c>
      <c r="D202" s="39" t="s">
        <v>1380</v>
      </c>
      <c r="E202" s="16" t="s">
        <v>97</v>
      </c>
      <c r="F202" s="131" t="s">
        <v>1381</v>
      </c>
      <c r="I202" s="100" t="s">
        <v>342</v>
      </c>
      <c r="J202" s="16" t="s">
        <v>101</v>
      </c>
      <c r="K202" s="16"/>
      <c r="L202" s="3" t="s">
        <v>102</v>
      </c>
      <c r="M202" s="3" t="s">
        <v>103</v>
      </c>
      <c r="N202" s="3" t="s">
        <v>104</v>
      </c>
      <c r="O202" s="16" t="s">
        <v>478</v>
      </c>
      <c r="P202" s="3" t="s">
        <v>1382</v>
      </c>
      <c r="Q202" s="3" t="s">
        <v>1382</v>
      </c>
      <c r="R202" s="3" t="s">
        <v>1382</v>
      </c>
      <c r="S202" t="s">
        <v>1378</v>
      </c>
      <c r="T202" s="130" t="s">
        <v>465</v>
      </c>
      <c r="U202" s="50">
        <v>7</v>
      </c>
      <c r="V202" s="54"/>
      <c r="W202" s="54"/>
      <c r="X202" s="59" t="s">
        <v>108</v>
      </c>
      <c r="Y202" s="93">
        <f>IF(AD202=0, 0, IF(OR(H202="", H202&lt;&gt;0), 1, 0))</f>
        <v>1</v>
      </c>
      <c r="Z202" s="3">
        <v>0</v>
      </c>
      <c r="AA202" s="3" t="s">
        <v>1383</v>
      </c>
      <c r="AD202" s="6">
        <f>ROUND((AG202*(1+AJ202)),2)</f>
        <v>115.43</v>
      </c>
      <c r="AE202" s="69">
        <v>131.54409660000002</v>
      </c>
      <c r="AF202" s="17">
        <f>(AE202*1)</f>
        <v>131.54409660000002</v>
      </c>
      <c r="AG202" s="6">
        <f>ROUND((AE202*AI202),2)</f>
        <v>85.5</v>
      </c>
      <c r="AH202" s="30" t="s">
        <v>110</v>
      </c>
      <c r="AI202" s="3">
        <v>0.65</v>
      </c>
      <c r="AJ202" s="18">
        <v>0.35</v>
      </c>
      <c r="AK202" s="6">
        <f>ROUND((AD202-(AD202*BG202)),2)</f>
        <v>114.28</v>
      </c>
      <c r="AL202" s="6">
        <f>ROUND((AD202-(AD202*BH202)),2)</f>
        <v>113.12</v>
      </c>
      <c r="AM202" s="6">
        <f>ROUND((AD202-(AD202*BI202)),2)</f>
        <v>111.97</v>
      </c>
      <c r="AN202" s="6">
        <f>ROUND((AD202-(AD202*BJ202)),2)</f>
        <v>111.97</v>
      </c>
      <c r="AO202" s="6">
        <f>ROUND((AD202-(AD202*BK202)),2)</f>
        <v>115.43</v>
      </c>
      <c r="BG202" s="12">
        <v>0.01</v>
      </c>
      <c r="BH202" s="12">
        <v>0.02</v>
      </c>
      <c r="BI202" s="12">
        <v>0.03</v>
      </c>
      <c r="BJ202" s="12">
        <v>0.03</v>
      </c>
      <c r="CC202" s="3" t="str">
        <f>IF(B202&lt;&gt;"",CONCATENATE(SUBSTITUTE(B202," ","-"),".jpg"),"")</f>
        <v>Allied-Moulded-AMP1426CCL.jpg</v>
      </c>
      <c r="CD202" s="16" t="s">
        <v>111</v>
      </c>
      <c r="CE202" s="3"/>
      <c r="CF202" s="3"/>
      <c r="CG202" s="3" t="s">
        <v>112</v>
      </c>
      <c r="CI202" s="3" t="s">
        <v>97</v>
      </c>
      <c r="CJ202" s="3" t="s">
        <v>481</v>
      </c>
      <c r="CK202" s="3" t="s">
        <v>114</v>
      </c>
      <c r="CL202" s="3" t="s">
        <v>115</v>
      </c>
      <c r="CM202" s="3" t="s">
        <v>116</v>
      </c>
      <c r="CN202" t="s">
        <v>117</v>
      </c>
      <c r="CO202" s="3" t="s">
        <v>482</v>
      </c>
      <c r="CP202" s="3" t="s">
        <v>139</v>
      </c>
      <c r="CQ202" s="3" t="s">
        <v>120</v>
      </c>
      <c r="CR202" s="16" t="s">
        <v>121</v>
      </c>
      <c r="CS202" s="16" t="s">
        <v>122</v>
      </c>
      <c r="CT202" s="16" t="s">
        <v>1037</v>
      </c>
      <c r="CU202" s="16" t="s">
        <v>125</v>
      </c>
      <c r="CV202" s="16" t="s">
        <v>351</v>
      </c>
    </row>
    <row r="203" spans="1:100" ht="15" customHeight="1">
      <c r="A203" t="s">
        <v>1384</v>
      </c>
      <c r="B203" s="3" t="s">
        <v>1385</v>
      </c>
      <c r="C203" s="16" t="s">
        <v>97</v>
      </c>
      <c r="D203" s="41" t="s">
        <v>1386</v>
      </c>
      <c r="E203" s="16" t="s">
        <v>97</v>
      </c>
      <c r="F203" s="131" t="s">
        <v>1387</v>
      </c>
      <c r="I203" s="100" t="s">
        <v>342</v>
      </c>
      <c r="J203" s="16" t="s">
        <v>101</v>
      </c>
      <c r="K203" s="16"/>
      <c r="L203" s="3" t="s">
        <v>102</v>
      </c>
      <c r="M203" s="3" t="s">
        <v>103</v>
      </c>
      <c r="N203" s="3" t="s">
        <v>104</v>
      </c>
      <c r="O203" s="16" t="s">
        <v>478</v>
      </c>
      <c r="P203" s="3" t="s">
        <v>1388</v>
      </c>
      <c r="Q203" s="3" t="s">
        <v>1388</v>
      </c>
      <c r="R203" s="3" t="s">
        <v>1388</v>
      </c>
      <c r="S203" t="s">
        <v>1384</v>
      </c>
      <c r="T203" s="130" t="s">
        <v>465</v>
      </c>
      <c r="U203" s="52">
        <v>7</v>
      </c>
      <c r="V203" s="54"/>
      <c r="W203" s="54"/>
      <c r="X203" s="59" t="s">
        <v>108</v>
      </c>
      <c r="Y203" s="93">
        <f>IF(AD203=0, 0, IF(OR(H203="", H203&lt;&gt;0), 1, 0))</f>
        <v>1</v>
      </c>
      <c r="Z203" s="3">
        <v>0</v>
      </c>
      <c r="AA203" s="3" t="s">
        <v>1389</v>
      </c>
      <c r="AD203" s="6">
        <f>ROUND((AG203*(1+AJ203)),2)</f>
        <v>115.43</v>
      </c>
      <c r="AE203" s="68">
        <v>131.54409660000002</v>
      </c>
      <c r="AF203" s="17">
        <f>(AE203*1)</f>
        <v>131.54409660000002</v>
      </c>
      <c r="AG203" s="6">
        <f>ROUND((AE203*AI203),2)</f>
        <v>85.5</v>
      </c>
      <c r="AH203" s="30" t="s">
        <v>110</v>
      </c>
      <c r="AI203" s="3">
        <v>0.65</v>
      </c>
      <c r="AJ203" s="18">
        <v>0.35</v>
      </c>
      <c r="AK203" s="6">
        <f>ROUND((AD203-(AD203*BG203)),2)</f>
        <v>114.28</v>
      </c>
      <c r="AL203" s="6">
        <f>ROUND((AD203-(AD203*BH203)),2)</f>
        <v>113.12</v>
      </c>
      <c r="AM203" s="6">
        <f>ROUND((AD203-(AD203*BI203)),2)</f>
        <v>111.97</v>
      </c>
      <c r="AN203" s="6">
        <f>ROUND((AD203-(AD203*BJ203)),2)</f>
        <v>111.97</v>
      </c>
      <c r="AO203" s="6">
        <f>ROUND((AD203-(AD203*BK203)),2)</f>
        <v>115.43</v>
      </c>
      <c r="BG203" s="12">
        <v>0.01</v>
      </c>
      <c r="BH203" s="12">
        <v>0.02</v>
      </c>
      <c r="BI203" s="12">
        <v>0.03</v>
      </c>
      <c r="BJ203" s="12">
        <v>0.03</v>
      </c>
      <c r="CC203" s="3" t="str">
        <f>IF(B203&lt;&gt;"",CONCATENATE(SUBSTITUTE(B203," ","-"),".jpg"),"")</f>
        <v>Allied-Moulded-AMP1426CCNLF.jpg</v>
      </c>
      <c r="CD203" s="16" t="s">
        <v>111</v>
      </c>
      <c r="CE203" s="3"/>
      <c r="CF203" s="3"/>
      <c r="CG203" s="3" t="s">
        <v>112</v>
      </c>
      <c r="CI203" s="3" t="s">
        <v>97</v>
      </c>
      <c r="CJ203" s="3" t="s">
        <v>481</v>
      </c>
      <c r="CK203" s="3" t="s">
        <v>114</v>
      </c>
      <c r="CL203" s="3" t="s">
        <v>115</v>
      </c>
      <c r="CM203" s="3" t="s">
        <v>116</v>
      </c>
      <c r="CN203" t="s">
        <v>117</v>
      </c>
      <c r="CO203" s="3" t="s">
        <v>482</v>
      </c>
      <c r="CP203" s="3" t="s">
        <v>139</v>
      </c>
      <c r="CQ203" s="3" t="s">
        <v>120</v>
      </c>
      <c r="CR203" s="16" t="s">
        <v>121</v>
      </c>
      <c r="CS203" s="16" t="s">
        <v>122</v>
      </c>
      <c r="CT203" s="16" t="s">
        <v>1037</v>
      </c>
      <c r="CU203" s="16" t="s">
        <v>125</v>
      </c>
      <c r="CV203" s="16" t="s">
        <v>351</v>
      </c>
    </row>
    <row r="204" spans="1:100" ht="15" customHeight="1">
      <c r="A204" t="s">
        <v>1390</v>
      </c>
      <c r="B204" s="3" t="s">
        <v>1391</v>
      </c>
      <c r="C204" s="16" t="s">
        <v>97</v>
      </c>
      <c r="D204" s="39" t="s">
        <v>1392</v>
      </c>
      <c r="E204" s="16" t="s">
        <v>97</v>
      </c>
      <c r="F204" s="131" t="s">
        <v>1393</v>
      </c>
      <c r="I204" s="100" t="s">
        <v>342</v>
      </c>
      <c r="J204" s="16" t="s">
        <v>101</v>
      </c>
      <c r="K204" s="16"/>
      <c r="L204" s="3" t="s">
        <v>102</v>
      </c>
      <c r="M204" s="3" t="s">
        <v>103</v>
      </c>
      <c r="N204" s="3" t="s">
        <v>104</v>
      </c>
      <c r="O204" s="16" t="s">
        <v>478</v>
      </c>
      <c r="P204" s="2" t="s">
        <v>1394</v>
      </c>
      <c r="Q204" s="2" t="s">
        <v>1394</v>
      </c>
      <c r="R204" s="2" t="s">
        <v>1394</v>
      </c>
      <c r="S204" t="s">
        <v>1390</v>
      </c>
      <c r="T204" s="130" t="s">
        <v>465</v>
      </c>
      <c r="U204" s="50">
        <v>7</v>
      </c>
      <c r="V204" s="54"/>
      <c r="W204" s="54"/>
      <c r="X204" s="59" t="s">
        <v>108</v>
      </c>
      <c r="Y204" s="93">
        <f>IF(AD204=0, 0, IF(OR(H204="", H204&lt;&gt;0), 1, 0))</f>
        <v>1</v>
      </c>
      <c r="Z204" s="3">
        <v>0</v>
      </c>
      <c r="AA204" s="3" t="s">
        <v>1395</v>
      </c>
      <c r="AD204" s="6">
        <f>ROUND((AG204*(1+AJ204)),2)</f>
        <v>85.36</v>
      </c>
      <c r="AE204" s="69">
        <v>97.276574850000003</v>
      </c>
      <c r="AF204" s="17">
        <f>(AE204*1)</f>
        <v>97.276574850000003</v>
      </c>
      <c r="AG204" s="6">
        <f>ROUND((AE204*AI204),2)</f>
        <v>63.23</v>
      </c>
      <c r="AH204" s="30" t="s">
        <v>110</v>
      </c>
      <c r="AI204" s="3">
        <v>0.65</v>
      </c>
      <c r="AJ204" s="18">
        <v>0.35</v>
      </c>
      <c r="AK204" s="6">
        <f>ROUND((AD204-(AD204*BG204)),2)</f>
        <v>84.51</v>
      </c>
      <c r="AL204" s="6">
        <f>ROUND((AD204-(AD204*BH204)),2)</f>
        <v>83.65</v>
      </c>
      <c r="AM204" s="6">
        <f>ROUND((AD204-(AD204*BI204)),2)</f>
        <v>82.8</v>
      </c>
      <c r="AN204" s="6">
        <f>ROUND((AD204-(AD204*BJ204)),2)</f>
        <v>82.8</v>
      </c>
      <c r="AO204" s="6">
        <f>ROUND((AD204-(AD204*BK204)),2)</f>
        <v>85.36</v>
      </c>
      <c r="BG204" s="12">
        <v>0.01</v>
      </c>
      <c r="BH204" s="12">
        <v>0.02</v>
      </c>
      <c r="BI204" s="12">
        <v>0.03</v>
      </c>
      <c r="BJ204" s="12">
        <v>0.03</v>
      </c>
      <c r="CC204" s="3" t="str">
        <f>IF(B204&lt;&gt;"",CONCATENATE(SUBSTITUTE(B204," ","-"),".jpg"),"")</f>
        <v>Allied-Moulded-AMP1426.jpg</v>
      </c>
      <c r="CD204" s="16" t="s">
        <v>111</v>
      </c>
      <c r="CE204" s="3"/>
      <c r="CF204" s="3"/>
      <c r="CG204" s="3" t="s">
        <v>112</v>
      </c>
      <c r="CI204" s="3" t="s">
        <v>97</v>
      </c>
      <c r="CJ204" s="3" t="s">
        <v>481</v>
      </c>
      <c r="CK204" s="3" t="s">
        <v>114</v>
      </c>
      <c r="CL204" s="3" t="s">
        <v>115</v>
      </c>
      <c r="CM204" s="16"/>
      <c r="CN204" s="16" t="s">
        <v>349</v>
      </c>
      <c r="CO204" s="3" t="s">
        <v>482</v>
      </c>
      <c r="CP204" s="3" t="s">
        <v>139</v>
      </c>
      <c r="CQ204" s="3" t="s">
        <v>120</v>
      </c>
      <c r="CR204" s="3" t="s">
        <v>140</v>
      </c>
      <c r="CS204" s="3" t="s">
        <v>384</v>
      </c>
      <c r="CT204" s="16" t="s">
        <v>1037</v>
      </c>
      <c r="CU204" s="16" t="s">
        <v>125</v>
      </c>
      <c r="CV204" s="16" t="s">
        <v>351</v>
      </c>
    </row>
    <row r="205" spans="1:100" ht="15" customHeight="1">
      <c r="A205" t="s">
        <v>1396</v>
      </c>
      <c r="B205" s="3" t="s">
        <v>1397</v>
      </c>
      <c r="C205" s="16" t="s">
        <v>97</v>
      </c>
      <c r="D205" s="40" t="s">
        <v>1398</v>
      </c>
      <c r="E205" s="16" t="s">
        <v>97</v>
      </c>
      <c r="F205" s="131" t="s">
        <v>1399</v>
      </c>
      <c r="I205" s="100" t="s">
        <v>342</v>
      </c>
      <c r="J205" s="16" t="s">
        <v>101</v>
      </c>
      <c r="K205" s="16"/>
      <c r="L205" s="3" t="s">
        <v>102</v>
      </c>
      <c r="M205" s="3" t="s">
        <v>103</v>
      </c>
      <c r="N205" s="3" t="s">
        <v>104</v>
      </c>
      <c r="O205" s="16" t="s">
        <v>478</v>
      </c>
      <c r="P205" s="2" t="s">
        <v>1400</v>
      </c>
      <c r="Q205" s="2" t="s">
        <v>1400</v>
      </c>
      <c r="R205" s="2" t="s">
        <v>1400</v>
      </c>
      <c r="S205" t="s">
        <v>1396</v>
      </c>
      <c r="T205" s="130" t="s">
        <v>465</v>
      </c>
      <c r="U205" s="51">
        <v>7</v>
      </c>
      <c r="V205" s="58"/>
      <c r="W205" s="58"/>
      <c r="X205" s="59" t="s">
        <v>108</v>
      </c>
      <c r="Y205" s="93">
        <f>IF(AD205=0, 0, IF(OR(H205="", H205&lt;&gt;0), 1, 0))</f>
        <v>1</v>
      </c>
      <c r="Z205" s="3">
        <v>0</v>
      </c>
      <c r="AA205" s="3" t="s">
        <v>1401</v>
      </c>
      <c r="AD205" s="6">
        <f>ROUND((AG205*(1+AJ205)),2)</f>
        <v>89.84</v>
      </c>
      <c r="AE205" s="69">
        <v>102.38970734999998</v>
      </c>
      <c r="AF205" s="17">
        <f>(AE205*1)</f>
        <v>102.38970734999998</v>
      </c>
      <c r="AG205" s="6">
        <f>ROUND((AE205*AI205),2)</f>
        <v>66.55</v>
      </c>
      <c r="AH205" s="30" t="s">
        <v>110</v>
      </c>
      <c r="AI205" s="3">
        <v>0.65</v>
      </c>
      <c r="AJ205" s="18">
        <v>0.35</v>
      </c>
      <c r="AK205" s="6">
        <f>ROUND((AD205-(AD205*BG205)),2)</f>
        <v>88.94</v>
      </c>
      <c r="AL205" s="6">
        <f>ROUND((AD205-(AD205*BH205)),2)</f>
        <v>88.04</v>
      </c>
      <c r="AM205" s="6">
        <f>ROUND((AD205-(AD205*BI205)),2)</f>
        <v>87.14</v>
      </c>
      <c r="AN205" s="6">
        <f>ROUND((AD205-(AD205*BJ205)),2)</f>
        <v>87.14</v>
      </c>
      <c r="AO205" s="6">
        <f>ROUND((AD205-(AD205*BK205)),2)</f>
        <v>89.84</v>
      </c>
      <c r="BG205" s="12">
        <v>0.01</v>
      </c>
      <c r="BH205" s="12">
        <v>0.02</v>
      </c>
      <c r="BI205" s="12">
        <v>0.03</v>
      </c>
      <c r="BJ205" s="12">
        <v>0.03</v>
      </c>
      <c r="CC205" s="3" t="str">
        <f>IF(B205&lt;&gt;"",CONCATENATE(SUBSTITUTE(B205," ","-"),".jpg"),"")</f>
        <v>Allied-Moulded-AMP1426F.jpg</v>
      </c>
      <c r="CD205" s="16" t="s">
        <v>111</v>
      </c>
      <c r="CE205" s="3"/>
      <c r="CF205" s="3"/>
      <c r="CG205" s="3" t="s">
        <v>112</v>
      </c>
      <c r="CI205" s="3" t="s">
        <v>97</v>
      </c>
      <c r="CJ205" s="3" t="s">
        <v>481</v>
      </c>
      <c r="CK205" s="3" t="s">
        <v>114</v>
      </c>
      <c r="CL205" s="3" t="s">
        <v>115</v>
      </c>
      <c r="CM205" s="16"/>
      <c r="CN205" s="16" t="s">
        <v>349</v>
      </c>
      <c r="CO205" s="3" t="s">
        <v>482</v>
      </c>
      <c r="CP205" s="3" t="s">
        <v>139</v>
      </c>
      <c r="CQ205" s="3" t="s">
        <v>120</v>
      </c>
      <c r="CR205" s="3" t="s">
        <v>140</v>
      </c>
      <c r="CS205" s="3" t="s">
        <v>384</v>
      </c>
      <c r="CT205" s="16" t="s">
        <v>1037</v>
      </c>
      <c r="CU205" s="16" t="s">
        <v>125</v>
      </c>
      <c r="CV205" s="16" t="s">
        <v>351</v>
      </c>
    </row>
    <row r="206" spans="1:100" ht="15" customHeight="1">
      <c r="A206" t="s">
        <v>1402</v>
      </c>
      <c r="B206" s="3" t="s">
        <v>1403</v>
      </c>
      <c r="C206" s="16" t="s">
        <v>97</v>
      </c>
      <c r="D206" s="40" t="s">
        <v>1404</v>
      </c>
      <c r="E206" s="16" t="s">
        <v>97</v>
      </c>
      <c r="F206" s="131" t="s">
        <v>1405</v>
      </c>
      <c r="I206" s="100" t="s">
        <v>342</v>
      </c>
      <c r="J206" s="16" t="s">
        <v>101</v>
      </c>
      <c r="K206" s="16"/>
      <c r="L206" s="3" t="s">
        <v>102</v>
      </c>
      <c r="M206" s="3" t="s">
        <v>103</v>
      </c>
      <c r="N206" s="3" t="s">
        <v>104</v>
      </c>
      <c r="O206" s="16" t="s">
        <v>478</v>
      </c>
      <c r="P206" s="2" t="s">
        <v>1406</v>
      </c>
      <c r="Q206" s="2" t="s">
        <v>1406</v>
      </c>
      <c r="R206" s="2" t="s">
        <v>1406</v>
      </c>
      <c r="S206" t="s">
        <v>1402</v>
      </c>
      <c r="T206" s="130" t="s">
        <v>465</v>
      </c>
      <c r="U206" s="51">
        <v>7</v>
      </c>
      <c r="V206" s="58"/>
      <c r="W206" s="58"/>
      <c r="X206" s="59" t="s">
        <v>108</v>
      </c>
      <c r="Y206" s="93">
        <f>IF(AD206=0, 0, IF(OR(H206="", H206&lt;&gt;0), 1, 0))</f>
        <v>1</v>
      </c>
      <c r="Z206" s="3">
        <v>0</v>
      </c>
      <c r="AA206" s="3" t="s">
        <v>1407</v>
      </c>
      <c r="AD206" s="6">
        <f>ROUND((AG206*(1+AJ206)),2)</f>
        <v>90.32</v>
      </c>
      <c r="AE206" s="69">
        <v>102.92960475</v>
      </c>
      <c r="AF206" s="17">
        <f>(AE206*1)</f>
        <v>102.92960475</v>
      </c>
      <c r="AG206" s="6">
        <f>ROUND((AE206*AI206),2)</f>
        <v>66.900000000000006</v>
      </c>
      <c r="AH206" s="30" t="s">
        <v>110</v>
      </c>
      <c r="AI206" s="3">
        <v>0.65</v>
      </c>
      <c r="AJ206" s="18">
        <v>0.35</v>
      </c>
      <c r="AK206" s="6">
        <f>ROUND((AD206-(AD206*BG206)),2)</f>
        <v>89.42</v>
      </c>
      <c r="AL206" s="6">
        <f>ROUND((AD206-(AD206*BH206)),2)</f>
        <v>88.51</v>
      </c>
      <c r="AM206" s="6">
        <f>ROUND((AD206-(AD206*BI206)),2)</f>
        <v>87.61</v>
      </c>
      <c r="AN206" s="6">
        <f>ROUND((AD206-(AD206*BJ206)),2)</f>
        <v>87.61</v>
      </c>
      <c r="AO206" s="6">
        <f>ROUND((AD206-(AD206*BK206)),2)</f>
        <v>90.32</v>
      </c>
      <c r="BG206" s="12">
        <v>0.01</v>
      </c>
      <c r="BH206" s="12">
        <v>0.02</v>
      </c>
      <c r="BI206" s="12">
        <v>0.03</v>
      </c>
      <c r="BJ206" s="12">
        <v>0.03</v>
      </c>
      <c r="CC206" s="3" t="str">
        <f>IF(B206&lt;&gt;"",CONCATENATE(SUBSTITUTE(B206," ","-"),".jpg"),"")</f>
        <v>Allied-Moulded-AMP1426H.jpg</v>
      </c>
      <c r="CD206" s="16" t="s">
        <v>111</v>
      </c>
      <c r="CE206" s="3"/>
      <c r="CF206" s="3"/>
      <c r="CG206" s="3" t="s">
        <v>112</v>
      </c>
      <c r="CI206" s="3" t="s">
        <v>97</v>
      </c>
      <c r="CJ206" s="3" t="s">
        <v>481</v>
      </c>
      <c r="CK206" s="3" t="s">
        <v>114</v>
      </c>
      <c r="CL206" s="3" t="s">
        <v>115</v>
      </c>
      <c r="CM206" s="3" t="s">
        <v>116</v>
      </c>
      <c r="CN206" s="16" t="s">
        <v>349</v>
      </c>
      <c r="CO206" s="3" t="s">
        <v>482</v>
      </c>
      <c r="CP206" s="3" t="s">
        <v>139</v>
      </c>
      <c r="CQ206" s="3" t="s">
        <v>120</v>
      </c>
      <c r="CR206" s="3" t="s">
        <v>140</v>
      </c>
      <c r="CS206" s="3" t="s">
        <v>384</v>
      </c>
      <c r="CT206" s="16" t="s">
        <v>1037</v>
      </c>
      <c r="CU206" s="16" t="s">
        <v>125</v>
      </c>
      <c r="CV206" s="16" t="s">
        <v>351</v>
      </c>
    </row>
    <row r="207" spans="1:100" ht="15" customHeight="1">
      <c r="A207" t="s">
        <v>1408</v>
      </c>
      <c r="B207" s="3" t="s">
        <v>1409</v>
      </c>
      <c r="C207" s="16" t="s">
        <v>97</v>
      </c>
      <c r="D207" s="39" t="s">
        <v>1410</v>
      </c>
      <c r="E207" s="16" t="s">
        <v>97</v>
      </c>
      <c r="F207" s="131" t="s">
        <v>1411</v>
      </c>
      <c r="I207" s="100" t="s">
        <v>342</v>
      </c>
      <c r="J207" s="16" t="s">
        <v>101</v>
      </c>
      <c r="K207" s="16"/>
      <c r="L207" s="3" t="s">
        <v>102</v>
      </c>
      <c r="M207" s="3" t="s">
        <v>103</v>
      </c>
      <c r="N207" s="3" t="s">
        <v>104</v>
      </c>
      <c r="O207" s="16" t="s">
        <v>478</v>
      </c>
      <c r="P207" s="2" t="s">
        <v>1412</v>
      </c>
      <c r="Q207" s="2" t="s">
        <v>1412</v>
      </c>
      <c r="R207" s="2" t="s">
        <v>1412</v>
      </c>
      <c r="S207" t="s">
        <v>1408</v>
      </c>
      <c r="T207" s="130" t="s">
        <v>465</v>
      </c>
      <c r="U207" s="50">
        <v>7</v>
      </c>
      <c r="V207" s="54"/>
      <c r="W207" s="54"/>
      <c r="X207" s="59" t="s">
        <v>108</v>
      </c>
      <c r="Y207" s="93">
        <f>IF(AD207=0, 0, IF(OR(H207="", H207&lt;&gt;0), 1, 0))</f>
        <v>1</v>
      </c>
      <c r="Z207" s="3">
        <v>0</v>
      </c>
      <c r="AA207" s="3" t="s">
        <v>1413</v>
      </c>
      <c r="AD207" s="6">
        <f>ROUND((AG207*(1+AJ207)),2)</f>
        <v>105.89</v>
      </c>
      <c r="AE207" s="69">
        <v>120.68265719999999</v>
      </c>
      <c r="AF207" s="17">
        <f>(AE207*1)</f>
        <v>120.68265719999999</v>
      </c>
      <c r="AG207" s="6">
        <f>ROUND((AE207*AI207),2)</f>
        <v>78.44</v>
      </c>
      <c r="AH207" s="30" t="s">
        <v>110</v>
      </c>
      <c r="AI207" s="3">
        <v>0.65</v>
      </c>
      <c r="AJ207" s="18">
        <v>0.35</v>
      </c>
      <c r="AK207" s="6">
        <f>ROUND((AD207-(AD207*BG207)),2)</f>
        <v>104.83</v>
      </c>
      <c r="AL207" s="6">
        <f>ROUND((AD207-(AD207*BH207)),2)</f>
        <v>103.77</v>
      </c>
      <c r="AM207" s="6">
        <f>ROUND((AD207-(AD207*BI207)),2)</f>
        <v>102.71</v>
      </c>
      <c r="AN207" s="6">
        <f>ROUND((AD207-(AD207*BJ207)),2)</f>
        <v>102.71</v>
      </c>
      <c r="AO207" s="6">
        <f>ROUND((AD207-(AD207*BK207)),2)</f>
        <v>105.89</v>
      </c>
      <c r="BG207" s="12">
        <v>0.01</v>
      </c>
      <c r="BH207" s="12">
        <v>0.02</v>
      </c>
      <c r="BI207" s="12">
        <v>0.03</v>
      </c>
      <c r="BJ207" s="12">
        <v>0.03</v>
      </c>
      <c r="CC207" s="3" t="str">
        <f>IF(B207&lt;&gt;"",CONCATENATE(SUBSTITUTE(B207," ","-"),".jpg"),"")</f>
        <v>Allied-Moulded-AMP1426L.jpg</v>
      </c>
      <c r="CD207" s="16" t="s">
        <v>111</v>
      </c>
      <c r="CE207" s="3"/>
      <c r="CF207" s="3"/>
      <c r="CG207" s="3" t="s">
        <v>112</v>
      </c>
      <c r="CI207" s="3" t="s">
        <v>97</v>
      </c>
      <c r="CJ207" s="3" t="s">
        <v>481</v>
      </c>
      <c r="CK207" s="3" t="s">
        <v>114</v>
      </c>
      <c r="CL207" s="3" t="s">
        <v>115</v>
      </c>
      <c r="CM207" s="3" t="s">
        <v>116</v>
      </c>
      <c r="CN207" t="s">
        <v>117</v>
      </c>
      <c r="CO207" s="3" t="s">
        <v>482</v>
      </c>
      <c r="CP207" s="3" t="s">
        <v>139</v>
      </c>
      <c r="CQ207" s="3" t="s">
        <v>120</v>
      </c>
      <c r="CR207" s="3" t="s">
        <v>140</v>
      </c>
      <c r="CS207" s="16" t="s">
        <v>122</v>
      </c>
      <c r="CT207" s="16" t="s">
        <v>1037</v>
      </c>
      <c r="CU207" s="16" t="s">
        <v>125</v>
      </c>
      <c r="CV207" s="16" t="s">
        <v>351</v>
      </c>
    </row>
    <row r="208" spans="1:100" ht="15" customHeight="1">
      <c r="A208" t="s">
        <v>1414</v>
      </c>
      <c r="B208" s="3" t="s">
        <v>1415</v>
      </c>
      <c r="C208" s="16" t="s">
        <v>97</v>
      </c>
      <c r="D208" s="40" t="s">
        <v>1416</v>
      </c>
      <c r="E208" s="16" t="s">
        <v>97</v>
      </c>
      <c r="F208" s="131" t="s">
        <v>1417</v>
      </c>
      <c r="I208" s="100" t="s">
        <v>342</v>
      </c>
      <c r="J208" s="16" t="s">
        <v>101</v>
      </c>
      <c r="K208" s="16"/>
      <c r="L208" s="3" t="s">
        <v>102</v>
      </c>
      <c r="M208" s="3" t="s">
        <v>103</v>
      </c>
      <c r="N208" s="3" t="s">
        <v>104</v>
      </c>
      <c r="O208" s="16" t="s">
        <v>478</v>
      </c>
      <c r="P208" s="2" t="s">
        <v>1418</v>
      </c>
      <c r="Q208" s="2" t="s">
        <v>1418</v>
      </c>
      <c r="R208" s="2" t="s">
        <v>1418</v>
      </c>
      <c r="S208" t="s">
        <v>1414</v>
      </c>
      <c r="T208" s="130" t="s">
        <v>465</v>
      </c>
      <c r="U208" s="51">
        <v>7</v>
      </c>
      <c r="V208" s="58"/>
      <c r="W208" s="58"/>
      <c r="X208" s="59" t="s">
        <v>108</v>
      </c>
      <c r="Y208" s="93">
        <f>IF(AD208=0, 0, IF(OR(H208="", H208&lt;&gt;0), 1, 0))</f>
        <v>1</v>
      </c>
      <c r="Z208" s="3">
        <v>0</v>
      </c>
      <c r="AA208" s="3" t="s">
        <v>1419</v>
      </c>
      <c r="AD208" s="6">
        <f>ROUND((AG208*(1+AJ208)),2)</f>
        <v>100.6</v>
      </c>
      <c r="AE208" s="69">
        <v>114.64852455</v>
      </c>
      <c r="AF208" s="17">
        <f>(AE208*1)</f>
        <v>114.64852455</v>
      </c>
      <c r="AG208" s="6">
        <f>ROUND((AE208*AI208),2)</f>
        <v>74.52</v>
      </c>
      <c r="AH208" s="30" t="s">
        <v>110</v>
      </c>
      <c r="AI208" s="3">
        <v>0.65</v>
      </c>
      <c r="AJ208" s="18">
        <v>0.35</v>
      </c>
      <c r="AK208" s="6">
        <f>ROUND((AD208-(AD208*BG208)),2)</f>
        <v>99.59</v>
      </c>
      <c r="AL208" s="6">
        <f>ROUND((AD208-(AD208*BH208)),2)</f>
        <v>98.59</v>
      </c>
      <c r="AM208" s="6">
        <f>ROUND((AD208-(AD208*BI208)),2)</f>
        <v>97.58</v>
      </c>
      <c r="AN208" s="6">
        <f>ROUND((AD208-(AD208*BJ208)),2)</f>
        <v>97.58</v>
      </c>
      <c r="AO208" s="6">
        <f>ROUND((AD208-(AD208*BK208)),2)</f>
        <v>100.6</v>
      </c>
      <c r="BG208" s="12">
        <v>0.01</v>
      </c>
      <c r="BH208" s="12">
        <v>0.02</v>
      </c>
      <c r="BI208" s="12">
        <v>0.03</v>
      </c>
      <c r="BJ208" s="12">
        <v>0.03</v>
      </c>
      <c r="CC208" s="3" t="str">
        <f>IF(B208&lt;&gt;"",CONCATENATE(SUBSTITUTE(B208," ","-"),".jpg"),"")</f>
        <v>Allied-Moulded-AMP1426NL.jpg</v>
      </c>
      <c r="CD208" s="16" t="s">
        <v>111</v>
      </c>
      <c r="CE208" s="3"/>
      <c r="CF208" s="3"/>
      <c r="CG208" s="3" t="s">
        <v>112</v>
      </c>
      <c r="CI208" s="3" t="s">
        <v>97</v>
      </c>
      <c r="CJ208" s="3" t="s">
        <v>481</v>
      </c>
      <c r="CK208" s="3" t="s">
        <v>114</v>
      </c>
      <c r="CL208" s="3" t="s">
        <v>115</v>
      </c>
      <c r="CM208" s="3" t="s">
        <v>116</v>
      </c>
      <c r="CN208" t="s">
        <v>117</v>
      </c>
      <c r="CO208" s="3" t="s">
        <v>482</v>
      </c>
      <c r="CP208" s="3" t="s">
        <v>139</v>
      </c>
      <c r="CQ208" s="3" t="s">
        <v>120</v>
      </c>
      <c r="CR208" s="3" t="s">
        <v>140</v>
      </c>
      <c r="CS208" s="16" t="s">
        <v>122</v>
      </c>
      <c r="CT208" s="16" t="s">
        <v>1037</v>
      </c>
      <c r="CU208" s="16" t="s">
        <v>125</v>
      </c>
      <c r="CV208" s="16" t="s">
        <v>351</v>
      </c>
    </row>
    <row r="209" spans="1:100" ht="15" customHeight="1">
      <c r="A209" s="86" t="s">
        <v>1420</v>
      </c>
      <c r="B209" s="80" t="s">
        <v>1421</v>
      </c>
      <c r="C209" s="16" t="s">
        <v>97</v>
      </c>
      <c r="D209" s="80" t="s">
        <v>1422</v>
      </c>
      <c r="E209" s="16" t="s">
        <v>97</v>
      </c>
      <c r="F209" s="132" t="s">
        <v>1423</v>
      </c>
      <c r="I209" s="100" t="s">
        <v>342</v>
      </c>
      <c r="J209" s="16" t="s">
        <v>101</v>
      </c>
      <c r="K209" s="16"/>
      <c r="L209" s="3" t="s">
        <v>102</v>
      </c>
      <c r="M209" s="3" t="s">
        <v>103</v>
      </c>
      <c r="N209" s="3" t="s">
        <v>104</v>
      </c>
      <c r="O209" s="16" t="s">
        <v>343</v>
      </c>
      <c r="P209" s="80" t="s">
        <v>1424</v>
      </c>
      <c r="Q209" s="80" t="s">
        <v>1424</v>
      </c>
      <c r="R209" s="80" t="s">
        <v>1425</v>
      </c>
      <c r="S209" s="80" t="s">
        <v>1426</v>
      </c>
      <c r="T209" s="132" t="s">
        <v>107</v>
      </c>
      <c r="U209" s="97">
        <v>15</v>
      </c>
      <c r="X209" s="31" t="s">
        <v>108</v>
      </c>
      <c r="Y209" s="93">
        <f>IF(AD209=0, 0, IF(OR(H209="", H209&lt;&gt;0), 1, 0))</f>
        <v>1</v>
      </c>
      <c r="Z209" s="3">
        <v>0</v>
      </c>
      <c r="AA209" s="3" t="s">
        <v>1427</v>
      </c>
      <c r="AD209" s="6">
        <f>ROUND((AG209*(1+AJ209)),2)</f>
        <v>291.83999999999997</v>
      </c>
      <c r="AE209" s="99">
        <v>332.57988579000005</v>
      </c>
      <c r="AF209" s="17">
        <f>(AE209*1)</f>
        <v>332.57988579000005</v>
      </c>
      <c r="AG209" s="6">
        <f>ROUND((AE209*AI209),2)</f>
        <v>216.18</v>
      </c>
      <c r="AH209" s="30" t="s">
        <v>110</v>
      </c>
      <c r="AI209" s="3">
        <v>0.65</v>
      </c>
      <c r="AJ209" s="18">
        <v>0.35</v>
      </c>
      <c r="AK209" s="6">
        <f>ROUND((AD209-(AD209*BG209)),2)</f>
        <v>288.92</v>
      </c>
      <c r="AL209" s="6">
        <f>ROUND((AD209-(AD209*BH209)),2)</f>
        <v>286</v>
      </c>
      <c r="AM209" s="6">
        <f>ROUND((AD209-(AD209*BI209)),2)</f>
        <v>283.08</v>
      </c>
      <c r="AN209" s="6">
        <f>ROUND((AD209-(AD209*BJ209)),2)</f>
        <v>283.08</v>
      </c>
      <c r="AO209" s="6">
        <f>ROUND((AD209-(AD209*BK209)),2)</f>
        <v>291.83999999999997</v>
      </c>
      <c r="BG209" s="12">
        <v>0.01</v>
      </c>
      <c r="BH209" s="12">
        <v>0.02</v>
      </c>
      <c r="BI209" s="12">
        <v>0.03</v>
      </c>
      <c r="BJ209" s="12">
        <v>0.03</v>
      </c>
      <c r="BK209" s="12"/>
      <c r="CC209" s="3" t="str">
        <f>IF(B209&lt;&gt;"",CONCATENATE(SUBSTITUTE(B209," ","-"),".jpg"),"")</f>
        <v>Allied-Moulded-AM1648LW.jpg</v>
      </c>
      <c r="CD209" s="16" t="s">
        <v>111</v>
      </c>
      <c r="CE209" s="3"/>
      <c r="CF209" s="3"/>
      <c r="CG209" s="3" t="s">
        <v>112</v>
      </c>
      <c r="CI209" s="3" t="s">
        <v>97</v>
      </c>
      <c r="CJ209" s="16" t="s">
        <v>348</v>
      </c>
      <c r="CK209" s="3" t="s">
        <v>114</v>
      </c>
      <c r="CL209" s="3" t="s">
        <v>115</v>
      </c>
      <c r="CM209" s="3" t="s">
        <v>116</v>
      </c>
      <c r="CN209" s="16" t="s">
        <v>368</v>
      </c>
      <c r="CO209" s="16" t="s">
        <v>350</v>
      </c>
      <c r="CP209" s="3" t="s">
        <v>139</v>
      </c>
      <c r="CQ209" s="3" t="s">
        <v>120</v>
      </c>
      <c r="CR209" s="16" t="s">
        <v>121</v>
      </c>
      <c r="CS209" s="16" t="s">
        <v>122</v>
      </c>
      <c r="CT209" s="16" t="s">
        <v>242</v>
      </c>
      <c r="CU209" s="16" t="s">
        <v>1037</v>
      </c>
      <c r="CV209" s="16" t="s">
        <v>385</v>
      </c>
    </row>
    <row r="210" spans="1:100" ht="15" customHeight="1">
      <c r="A210" t="s">
        <v>1428</v>
      </c>
      <c r="B210" s="3" t="s">
        <v>1429</v>
      </c>
      <c r="C210" s="16" t="s">
        <v>97</v>
      </c>
      <c r="D210" s="38" t="s">
        <v>1430</v>
      </c>
      <c r="E210" s="16" t="s">
        <v>97</v>
      </c>
      <c r="F210" s="131" t="s">
        <v>1431</v>
      </c>
      <c r="I210" s="100" t="s">
        <v>342</v>
      </c>
      <c r="J210" s="16" t="s">
        <v>101</v>
      </c>
      <c r="K210" s="16"/>
      <c r="L210" s="3" t="s">
        <v>102</v>
      </c>
      <c r="M210" s="3" t="s">
        <v>103</v>
      </c>
      <c r="N210" s="3" t="s">
        <v>104</v>
      </c>
      <c r="O210" s="16" t="s">
        <v>105</v>
      </c>
      <c r="P210" s="3" t="s">
        <v>1432</v>
      </c>
      <c r="Q210" s="3" t="s">
        <v>1432</v>
      </c>
      <c r="R210" s="3" t="s">
        <v>1432</v>
      </c>
      <c r="S210" t="s">
        <v>1428</v>
      </c>
      <c r="T210" s="130" t="s">
        <v>107</v>
      </c>
      <c r="U210" s="33">
        <v>15</v>
      </c>
      <c r="V210" s="40"/>
      <c r="W210" s="40"/>
      <c r="X210" s="59" t="s">
        <v>108</v>
      </c>
      <c r="Y210" s="93">
        <f>IF(AD210=0, 0, IF(OR(H210="", H210&lt;&gt;0), 1, 0))</f>
        <v>1</v>
      </c>
      <c r="Z210" s="3">
        <v>0</v>
      </c>
      <c r="AA210" s="3" t="s">
        <v>1433</v>
      </c>
      <c r="AD210" s="6">
        <f>ROUND((AG210*(1+AJ210)),2)</f>
        <v>164.58</v>
      </c>
      <c r="AE210" s="68">
        <v>187.54690006999999</v>
      </c>
      <c r="AF210" s="17">
        <f>(AE210*1)</f>
        <v>187.54690006999999</v>
      </c>
      <c r="AG210" s="6">
        <f>ROUND((AE210*AI210),2)</f>
        <v>121.91</v>
      </c>
      <c r="AH210" s="30" t="s">
        <v>110</v>
      </c>
      <c r="AI210" s="3">
        <v>0.65</v>
      </c>
      <c r="AJ210" s="18">
        <v>0.35</v>
      </c>
      <c r="AK210" s="6">
        <f>ROUND((AD210-(AD210*BG210)),2)</f>
        <v>162.93</v>
      </c>
      <c r="AL210" s="6">
        <f>ROUND((AD210-(AD210*BH210)),2)</f>
        <v>161.29</v>
      </c>
      <c r="AM210" s="6">
        <f>ROUND((AD210-(AD210*BI210)),2)</f>
        <v>159.63999999999999</v>
      </c>
      <c r="AN210" s="6">
        <f>ROUND((AD210-(AD210*BJ210)),2)</f>
        <v>159.63999999999999</v>
      </c>
      <c r="AO210" s="6">
        <f>ROUND((AD210-(AD210*BK210)),2)</f>
        <v>164.58</v>
      </c>
      <c r="BG210" s="12">
        <v>0.01</v>
      </c>
      <c r="BH210" s="12">
        <v>0.02</v>
      </c>
      <c r="BI210" s="12">
        <v>0.03</v>
      </c>
      <c r="BJ210" s="12">
        <v>0.03</v>
      </c>
      <c r="CC210" s="3" t="str">
        <f>IF(B210&lt;&gt;"",CONCATENATE(SUBSTITUTE(B210," ","-"),".jpg"),"")</f>
        <v>Allied-Moulded-AM1648RH.jpg</v>
      </c>
      <c r="CD210" s="16" t="s">
        <v>111</v>
      </c>
      <c r="CE210" s="3"/>
      <c r="CF210" s="3"/>
      <c r="CG210" s="3" t="s">
        <v>112</v>
      </c>
      <c r="CI210" s="3" t="s">
        <v>97</v>
      </c>
      <c r="CJ210" s="3" t="s">
        <v>383</v>
      </c>
      <c r="CK210" s="3" t="s">
        <v>114</v>
      </c>
      <c r="CL210" s="3" t="s">
        <v>115</v>
      </c>
      <c r="CO210" s="3" t="s">
        <v>118</v>
      </c>
      <c r="CP210" s="3" t="s">
        <v>139</v>
      </c>
      <c r="CQ210" s="3" t="s">
        <v>120</v>
      </c>
      <c r="CR210" s="3" t="s">
        <v>140</v>
      </c>
      <c r="CS210" s="3" t="s">
        <v>384</v>
      </c>
      <c r="CT210" s="16" t="s">
        <v>242</v>
      </c>
      <c r="CU210" s="16" t="s">
        <v>1037</v>
      </c>
      <c r="CV210" s="3" t="s">
        <v>167</v>
      </c>
    </row>
    <row r="211" spans="1:100" ht="15" customHeight="1">
      <c r="A211" t="s">
        <v>1434</v>
      </c>
      <c r="B211" s="3" t="s">
        <v>1435</v>
      </c>
      <c r="C211" s="16" t="s">
        <v>97</v>
      </c>
      <c r="D211" s="39" t="s">
        <v>1436</v>
      </c>
      <c r="E211" s="16" t="s">
        <v>97</v>
      </c>
      <c r="F211" s="131" t="s">
        <v>1437</v>
      </c>
      <c r="I211" s="100" t="s">
        <v>342</v>
      </c>
      <c r="J211" s="16" t="s">
        <v>101</v>
      </c>
      <c r="K211" s="16"/>
      <c r="L211" s="3" t="s">
        <v>102</v>
      </c>
      <c r="M211" s="3" t="s">
        <v>103</v>
      </c>
      <c r="N211" s="3" t="s">
        <v>104</v>
      </c>
      <c r="O211" s="16" t="s">
        <v>105</v>
      </c>
      <c r="P211" s="3" t="s">
        <v>1438</v>
      </c>
      <c r="Q211" s="3" t="s">
        <v>1438</v>
      </c>
      <c r="R211" s="3" t="s">
        <v>1438</v>
      </c>
      <c r="S211" t="s">
        <v>1434</v>
      </c>
      <c r="T211" s="130" t="s">
        <v>107</v>
      </c>
      <c r="U211" s="34">
        <v>15</v>
      </c>
      <c r="V211" s="39"/>
      <c r="W211" s="39"/>
      <c r="X211" s="59" t="s">
        <v>108</v>
      </c>
      <c r="Y211" s="93">
        <f>IF(AD211=0, 0, IF(OR(H211="", H211&lt;&gt;0), 1, 0))</f>
        <v>1</v>
      </c>
      <c r="Z211" s="3">
        <v>0</v>
      </c>
      <c r="AA211" s="3" t="s">
        <v>1439</v>
      </c>
      <c r="AD211" s="6">
        <f>ROUND((AG211*(1+AJ211)),2)</f>
        <v>187.85</v>
      </c>
      <c r="AE211" s="69">
        <v>214.08290542999995</v>
      </c>
      <c r="AF211" s="17">
        <f>(AE211*1)</f>
        <v>214.08290542999995</v>
      </c>
      <c r="AG211" s="6">
        <f>ROUND((AE211*AI211),2)</f>
        <v>139.15</v>
      </c>
      <c r="AH211" s="30" t="s">
        <v>110</v>
      </c>
      <c r="AI211" s="3">
        <v>0.65</v>
      </c>
      <c r="AJ211" s="18">
        <v>0.35</v>
      </c>
      <c r="AK211" s="6">
        <f>ROUND((AD211-(AD211*BG211)),2)</f>
        <v>185.97</v>
      </c>
      <c r="AL211" s="6">
        <f>ROUND((AD211-(AD211*BH211)),2)</f>
        <v>184.09</v>
      </c>
      <c r="AM211" s="6">
        <f>ROUND((AD211-(AD211*BI211)),2)</f>
        <v>182.21</v>
      </c>
      <c r="AN211" s="6">
        <f>ROUND((AD211-(AD211*BJ211)),2)</f>
        <v>182.21</v>
      </c>
      <c r="AO211" s="6">
        <f>ROUND((AD211-(AD211*BK211)),2)</f>
        <v>187.85</v>
      </c>
      <c r="BG211" s="12">
        <v>0.01</v>
      </c>
      <c r="BH211" s="12">
        <v>0.02</v>
      </c>
      <c r="BI211" s="12">
        <v>0.03</v>
      </c>
      <c r="BJ211" s="12">
        <v>0.03</v>
      </c>
      <c r="CC211" s="3" t="str">
        <f>IF(B211&lt;&gt;"",CONCATENATE(SUBSTITUTE(B211," ","-"),".jpg"),"")</f>
        <v>Allied-Moulded-AM1648RL.jpg</v>
      </c>
      <c r="CD211" s="16" t="s">
        <v>111</v>
      </c>
      <c r="CE211" s="3"/>
      <c r="CF211" s="3"/>
      <c r="CG211" s="3" t="s">
        <v>112</v>
      </c>
      <c r="CI211" s="3" t="s">
        <v>97</v>
      </c>
      <c r="CJ211" s="3" t="s">
        <v>383</v>
      </c>
      <c r="CK211" s="3" t="s">
        <v>114</v>
      </c>
      <c r="CL211" s="3" t="s">
        <v>115</v>
      </c>
      <c r="CM211" s="3" t="s">
        <v>116</v>
      </c>
      <c r="CN211" t="s">
        <v>117</v>
      </c>
      <c r="CO211" s="3" t="s">
        <v>118</v>
      </c>
      <c r="CP211" s="3" t="s">
        <v>139</v>
      </c>
      <c r="CQ211" s="3" t="s">
        <v>120</v>
      </c>
      <c r="CR211" s="3" t="s">
        <v>140</v>
      </c>
      <c r="CS211" s="16" t="s">
        <v>122</v>
      </c>
      <c r="CT211" s="16" t="s">
        <v>242</v>
      </c>
      <c r="CU211" s="16" t="s">
        <v>1037</v>
      </c>
      <c r="CV211" s="3" t="s">
        <v>167</v>
      </c>
    </row>
    <row r="212" spans="1:100" ht="15" customHeight="1">
      <c r="A212" t="s">
        <v>1440</v>
      </c>
      <c r="B212" s="3" t="s">
        <v>1441</v>
      </c>
      <c r="C212" s="16" t="s">
        <v>97</v>
      </c>
      <c r="D212" s="41" t="s">
        <v>1442</v>
      </c>
      <c r="E212" s="16" t="s">
        <v>97</v>
      </c>
      <c r="F212" s="131" t="s">
        <v>1443</v>
      </c>
      <c r="I212" s="100" t="s">
        <v>342</v>
      </c>
      <c r="J212" s="16" t="s">
        <v>101</v>
      </c>
      <c r="K212" s="16"/>
      <c r="L212" s="3" t="s">
        <v>102</v>
      </c>
      <c r="M212" s="3" t="s">
        <v>103</v>
      </c>
      <c r="N212" s="3" t="s">
        <v>104</v>
      </c>
      <c r="O212" s="16" t="s">
        <v>105</v>
      </c>
      <c r="P212" s="3" t="s">
        <v>1444</v>
      </c>
      <c r="Q212" s="3" t="s">
        <v>1444</v>
      </c>
      <c r="R212" s="3" t="s">
        <v>1444</v>
      </c>
      <c r="S212" t="s">
        <v>1440</v>
      </c>
      <c r="T212" s="130" t="s">
        <v>107</v>
      </c>
      <c r="U212" s="36">
        <v>15</v>
      </c>
      <c r="V212" s="39"/>
      <c r="W212" s="39"/>
      <c r="X212" s="59" t="s">
        <v>108</v>
      </c>
      <c r="Y212" s="93">
        <f>IF(AD212=0, 0, IF(OR(H212="", H212&lt;&gt;0), 1, 0))</f>
        <v>1</v>
      </c>
      <c r="Z212" s="3">
        <v>0</v>
      </c>
      <c r="AA212" s="3" t="s">
        <v>1445</v>
      </c>
      <c r="AD212" s="6">
        <f>ROUND((AG212*(1+AJ212)),2)</f>
        <v>187.85</v>
      </c>
      <c r="AE212" s="68">
        <v>214.08290542999995</v>
      </c>
      <c r="AF212" s="17">
        <f>(AE212*1)</f>
        <v>214.08290542999995</v>
      </c>
      <c r="AG212" s="6">
        <f>ROUND((AE212*AI212),2)</f>
        <v>139.15</v>
      </c>
      <c r="AH212" s="30" t="s">
        <v>110</v>
      </c>
      <c r="AI212" s="3">
        <v>0.65</v>
      </c>
      <c r="AJ212" s="18">
        <v>0.35</v>
      </c>
      <c r="AK212" s="6">
        <f>ROUND((AD212-(AD212*BG212)),2)</f>
        <v>185.97</v>
      </c>
      <c r="AL212" s="6">
        <f>ROUND((AD212-(AD212*BH212)),2)</f>
        <v>184.09</v>
      </c>
      <c r="AM212" s="6">
        <f>ROUND((AD212-(AD212*BI212)),2)</f>
        <v>182.21</v>
      </c>
      <c r="AN212" s="6">
        <f>ROUND((AD212-(AD212*BJ212)),2)</f>
        <v>182.21</v>
      </c>
      <c r="AO212" s="6">
        <f>ROUND((AD212-(AD212*BK212)),2)</f>
        <v>187.85</v>
      </c>
      <c r="BG212" s="12">
        <v>0.01</v>
      </c>
      <c r="BH212" s="12">
        <v>0.02</v>
      </c>
      <c r="BI212" s="12">
        <v>0.03</v>
      </c>
      <c r="BJ212" s="12">
        <v>0.03</v>
      </c>
      <c r="CC212" s="3" t="str">
        <f>IF(B212&lt;&gt;"",CONCATENATE(SUBSTITUTE(B212," ","-"),".jpg"),"")</f>
        <v>Allied-Moulded-AM1648RT.jpg</v>
      </c>
      <c r="CD212" s="16" t="s">
        <v>111</v>
      </c>
      <c r="CE212" s="3"/>
      <c r="CF212" s="3"/>
      <c r="CG212" s="3" t="s">
        <v>112</v>
      </c>
      <c r="CI212" s="3" t="s">
        <v>97</v>
      </c>
      <c r="CJ212" s="3" t="s">
        <v>383</v>
      </c>
      <c r="CK212" s="3" t="s">
        <v>114</v>
      </c>
      <c r="CL212" s="3" t="s">
        <v>115</v>
      </c>
      <c r="CM212" s="3" t="s">
        <v>116</v>
      </c>
      <c r="CN212" s="16" t="s">
        <v>132</v>
      </c>
      <c r="CO212" s="3" t="s">
        <v>118</v>
      </c>
      <c r="CP212" s="3" t="s">
        <v>139</v>
      </c>
      <c r="CQ212" s="3" t="s">
        <v>120</v>
      </c>
      <c r="CR212" s="3" t="s">
        <v>140</v>
      </c>
      <c r="CS212" s="16" t="s">
        <v>122</v>
      </c>
      <c r="CT212" s="16" t="s">
        <v>242</v>
      </c>
      <c r="CU212" s="16" t="s">
        <v>1037</v>
      </c>
      <c r="CV212" s="3" t="s">
        <v>167</v>
      </c>
    </row>
    <row r="213" spans="1:100" ht="15" customHeight="1">
      <c r="A213" t="s">
        <v>1446</v>
      </c>
      <c r="B213" s="3" t="s">
        <v>1447</v>
      </c>
      <c r="C213" s="16" t="s">
        <v>97</v>
      </c>
      <c r="D213" s="40" t="s">
        <v>1448</v>
      </c>
      <c r="E213" s="16" t="s">
        <v>97</v>
      </c>
      <c r="F213" s="131" t="s">
        <v>1449</v>
      </c>
      <c r="I213" s="100" t="s">
        <v>342</v>
      </c>
      <c r="J213" s="16" t="s">
        <v>101</v>
      </c>
      <c r="K213" s="16"/>
      <c r="L213" s="3" t="s">
        <v>102</v>
      </c>
      <c r="M213" s="3" t="s">
        <v>103</v>
      </c>
      <c r="N213" s="3" t="s">
        <v>104</v>
      </c>
      <c r="O213" s="16" t="s">
        <v>105</v>
      </c>
      <c r="P213" s="3" t="s">
        <v>1450</v>
      </c>
      <c r="Q213" s="3" t="s">
        <v>1450</v>
      </c>
      <c r="R213" s="3" t="s">
        <v>1450</v>
      </c>
      <c r="S213" t="s">
        <v>1446</v>
      </c>
      <c r="T213" s="130" t="s">
        <v>107</v>
      </c>
      <c r="U213" s="35">
        <v>15</v>
      </c>
      <c r="V213" s="40"/>
      <c r="W213" s="40"/>
      <c r="X213" s="59" t="s">
        <v>108</v>
      </c>
      <c r="Y213" s="93">
        <f>IF(AD213=0, 0, IF(OR(H213="", H213&lt;&gt;0), 1, 0))</f>
        <v>1</v>
      </c>
      <c r="Z213" s="3">
        <v>0</v>
      </c>
      <c r="AA213" s="3" t="s">
        <v>1451</v>
      </c>
      <c r="AD213" s="6">
        <f>ROUND((AG213*(1+AJ213)),2)</f>
        <v>278.88</v>
      </c>
      <c r="AE213" s="69">
        <v>317.81649821000002</v>
      </c>
      <c r="AF213" s="17">
        <f>(AE213*1)</f>
        <v>317.81649821000002</v>
      </c>
      <c r="AG213" s="6">
        <f>ROUND((AE213*AI213),2)</f>
        <v>206.58</v>
      </c>
      <c r="AH213" s="30" t="s">
        <v>110</v>
      </c>
      <c r="AI213" s="3">
        <v>0.65</v>
      </c>
      <c r="AJ213" s="18">
        <v>0.35</v>
      </c>
      <c r="AK213" s="6">
        <f>ROUND((AD213-(AD213*BG213)),2)</f>
        <v>276.08999999999997</v>
      </c>
      <c r="AL213" s="6">
        <f>ROUND((AD213-(AD213*BH213)),2)</f>
        <v>273.3</v>
      </c>
      <c r="AM213" s="6">
        <f>ROUND((AD213-(AD213*BI213)),2)</f>
        <v>270.51</v>
      </c>
      <c r="AN213" s="6">
        <f>ROUND((AD213-(AD213*BJ213)),2)</f>
        <v>270.51</v>
      </c>
      <c r="AO213" s="6">
        <f>ROUND((AD213-(AD213*BK213)),2)</f>
        <v>278.88</v>
      </c>
      <c r="BG213" s="12">
        <v>0.01</v>
      </c>
      <c r="BH213" s="12">
        <v>0.02</v>
      </c>
      <c r="BI213" s="12">
        <v>0.03</v>
      </c>
      <c r="BJ213" s="12">
        <v>0.03</v>
      </c>
      <c r="CC213" s="3" t="str">
        <f>IF(B213&lt;&gt;"",CONCATENATE(SUBSTITUTE(B213," ","-"),".jpg"),"")</f>
        <v>Allied-Moulded-AM1648RW.jpg</v>
      </c>
      <c r="CD213" s="16" t="s">
        <v>111</v>
      </c>
      <c r="CE213" s="3"/>
      <c r="CF213" s="3"/>
      <c r="CG213" s="3" t="s">
        <v>112</v>
      </c>
      <c r="CI213" s="3" t="s">
        <v>97</v>
      </c>
      <c r="CJ213" s="3" t="s">
        <v>383</v>
      </c>
      <c r="CK213" s="3" t="s">
        <v>114</v>
      </c>
      <c r="CL213" s="3" t="s">
        <v>115</v>
      </c>
      <c r="CM213" s="16"/>
      <c r="CN213" s="16" t="s">
        <v>349</v>
      </c>
      <c r="CO213" s="3" t="s">
        <v>118</v>
      </c>
      <c r="CP213" s="3" t="s">
        <v>139</v>
      </c>
      <c r="CQ213" s="3" t="s">
        <v>120</v>
      </c>
      <c r="CR213" s="16" t="s">
        <v>121</v>
      </c>
      <c r="CS213" s="3" t="s">
        <v>384</v>
      </c>
      <c r="CT213" s="16" t="s">
        <v>242</v>
      </c>
      <c r="CU213" s="16" t="s">
        <v>1037</v>
      </c>
      <c r="CV213" s="3" t="s">
        <v>167</v>
      </c>
    </row>
    <row r="214" spans="1:100" ht="15" customHeight="1">
      <c r="A214" t="s">
        <v>1452</v>
      </c>
      <c r="B214" s="3" t="s">
        <v>1453</v>
      </c>
      <c r="C214" s="16" t="s">
        <v>97</v>
      </c>
      <c r="D214" s="41" t="s">
        <v>1454</v>
      </c>
      <c r="E214" s="16" t="s">
        <v>97</v>
      </c>
      <c r="F214" s="131" t="s">
        <v>1455</v>
      </c>
      <c r="I214" s="100" t="s">
        <v>342</v>
      </c>
      <c r="J214" s="16" t="s">
        <v>101</v>
      </c>
      <c r="K214" s="16"/>
      <c r="L214" s="3" t="s">
        <v>102</v>
      </c>
      <c r="M214" s="3" t="s">
        <v>103</v>
      </c>
      <c r="N214" s="3" t="s">
        <v>104</v>
      </c>
      <c r="O214" s="16" t="s">
        <v>105</v>
      </c>
      <c r="P214" s="3" t="s">
        <v>1456</v>
      </c>
      <c r="Q214" s="3" t="s">
        <v>1456</v>
      </c>
      <c r="R214" s="3" t="s">
        <v>1456</v>
      </c>
      <c r="S214" t="s">
        <v>1452</v>
      </c>
      <c r="T214" s="130" t="s">
        <v>107</v>
      </c>
      <c r="U214" s="36">
        <v>15</v>
      </c>
      <c r="V214" s="39"/>
      <c r="W214" s="39"/>
      <c r="X214" s="59" t="s">
        <v>108</v>
      </c>
      <c r="Y214" s="93">
        <f>IF(AD214=0, 0, IF(OR(H214="", H214&lt;&gt;0), 1, 0))</f>
        <v>1</v>
      </c>
      <c r="Z214" s="3">
        <v>0</v>
      </c>
      <c r="AA214" s="3" t="s">
        <v>1457</v>
      </c>
      <c r="AD214" s="6">
        <f>ROUND((AG214*(1+AJ214)),2)</f>
        <v>283.74</v>
      </c>
      <c r="AE214" s="68">
        <v>323.35949574</v>
      </c>
      <c r="AF214" s="17">
        <f>(AE214*1)</f>
        <v>323.35949574</v>
      </c>
      <c r="AG214" s="6">
        <f>ROUND((AE214*AI214),2)</f>
        <v>210.18</v>
      </c>
      <c r="AH214" s="30" t="s">
        <v>110</v>
      </c>
      <c r="AI214" s="3">
        <v>0.65</v>
      </c>
      <c r="AJ214" s="18">
        <v>0.35</v>
      </c>
      <c r="AK214" s="6">
        <f>ROUND((AD214-(AD214*BG214)),2)</f>
        <v>280.89999999999998</v>
      </c>
      <c r="AL214" s="6">
        <f>ROUND((AD214-(AD214*BH214)),2)</f>
        <v>278.07</v>
      </c>
      <c r="AM214" s="6">
        <f>ROUND((AD214-(AD214*BI214)),2)</f>
        <v>275.23</v>
      </c>
      <c r="AN214" s="6">
        <f>ROUND((AD214-(AD214*BJ214)),2)</f>
        <v>275.23</v>
      </c>
      <c r="AO214" s="6">
        <f>ROUND((AD214-(AD214*BK214)),2)</f>
        <v>283.74</v>
      </c>
      <c r="BG214" s="12">
        <v>0.01</v>
      </c>
      <c r="BH214" s="12">
        <v>0.02</v>
      </c>
      <c r="BI214" s="12">
        <v>0.03</v>
      </c>
      <c r="BJ214" s="12">
        <v>0.03</v>
      </c>
      <c r="CC214" s="3" t="str">
        <f>IF(B214&lt;&gt;"",CONCATENATE(SUBSTITUTE(B214," ","-"),".jpg"),"")</f>
        <v>Allied-Moulded-AM1648RHW.jpg</v>
      </c>
      <c r="CD214" s="16" t="s">
        <v>111</v>
      </c>
      <c r="CE214" s="3"/>
      <c r="CF214" s="3"/>
      <c r="CG214" s="3" t="s">
        <v>112</v>
      </c>
      <c r="CI214" s="3" t="s">
        <v>97</v>
      </c>
      <c r="CJ214" s="3" t="s">
        <v>383</v>
      </c>
      <c r="CK214" s="3" t="s">
        <v>114</v>
      </c>
      <c r="CL214" s="3" t="s">
        <v>115</v>
      </c>
      <c r="CO214" s="3" t="s">
        <v>118</v>
      </c>
      <c r="CP214" s="3" t="s">
        <v>139</v>
      </c>
      <c r="CQ214" s="3" t="s">
        <v>120</v>
      </c>
      <c r="CR214" s="16" t="s">
        <v>121</v>
      </c>
      <c r="CS214" s="3" t="s">
        <v>384</v>
      </c>
      <c r="CT214" s="16" t="s">
        <v>242</v>
      </c>
      <c r="CU214" s="16" t="s">
        <v>1037</v>
      </c>
      <c r="CV214" s="3" t="s">
        <v>167</v>
      </c>
    </row>
    <row r="215" spans="1:100" ht="15" customHeight="1">
      <c r="A215" t="s">
        <v>1458</v>
      </c>
      <c r="B215" s="3" t="s">
        <v>1459</v>
      </c>
      <c r="C215" s="16" t="s">
        <v>97</v>
      </c>
      <c r="D215" s="39" t="s">
        <v>1460</v>
      </c>
      <c r="E215" s="16" t="s">
        <v>97</v>
      </c>
      <c r="F215" s="131" t="s">
        <v>1461</v>
      </c>
      <c r="I215" s="100" t="s">
        <v>342</v>
      </c>
      <c r="J215" s="16" t="s">
        <v>101</v>
      </c>
      <c r="K215" s="16"/>
      <c r="L215" s="3" t="s">
        <v>102</v>
      </c>
      <c r="M215" s="3" t="s">
        <v>103</v>
      </c>
      <c r="N215" s="3" t="s">
        <v>104</v>
      </c>
      <c r="O215" s="16" t="s">
        <v>105</v>
      </c>
      <c r="P215" s="3" t="s">
        <v>1462</v>
      </c>
      <c r="Q215" s="3" t="s">
        <v>1462</v>
      </c>
      <c r="R215" s="3" t="s">
        <v>1462</v>
      </c>
      <c r="S215" t="s">
        <v>1458</v>
      </c>
      <c r="T215" s="130" t="s">
        <v>107</v>
      </c>
      <c r="U215" s="34">
        <v>15</v>
      </c>
      <c r="V215" s="39"/>
      <c r="W215" s="39"/>
      <c r="X215" s="59" t="s">
        <v>108</v>
      </c>
      <c r="Y215" s="93">
        <f>IF(AD215=0, 0, IF(OR(H215="", H215&lt;&gt;0), 1, 0))</f>
        <v>1</v>
      </c>
      <c r="Z215" s="3">
        <v>0</v>
      </c>
      <c r="AA215" s="3" t="s">
        <v>1463</v>
      </c>
      <c r="AD215" s="6">
        <f>ROUND((AG215*(1+AJ215)),2)</f>
        <v>304.25</v>
      </c>
      <c r="AE215" s="69">
        <v>346.71542965999998</v>
      </c>
      <c r="AF215" s="17">
        <f>(AE215*1)</f>
        <v>346.71542965999998</v>
      </c>
      <c r="AG215" s="6">
        <f>ROUND((AE215*AI215),2)</f>
        <v>225.37</v>
      </c>
      <c r="AH215" s="30" t="s">
        <v>110</v>
      </c>
      <c r="AI215" s="3">
        <v>0.65</v>
      </c>
      <c r="AJ215" s="18">
        <v>0.35</v>
      </c>
      <c r="AK215" s="6">
        <f>ROUND((AD215-(AD215*BG215)),2)</f>
        <v>301.20999999999998</v>
      </c>
      <c r="AL215" s="6">
        <f>ROUND((AD215-(AD215*BH215)),2)</f>
        <v>298.17</v>
      </c>
      <c r="AM215" s="6">
        <f>ROUND((AD215-(AD215*BI215)),2)</f>
        <v>295.12</v>
      </c>
      <c r="AN215" s="6">
        <f>ROUND((AD215-(AD215*BJ215)),2)</f>
        <v>295.12</v>
      </c>
      <c r="AO215" s="6">
        <f>ROUND((AD215-(AD215*BK215)),2)</f>
        <v>304.25</v>
      </c>
      <c r="BG215" s="12">
        <v>0.01</v>
      </c>
      <c r="BH215" s="12">
        <v>0.02</v>
      </c>
      <c r="BI215" s="12">
        <v>0.03</v>
      </c>
      <c r="BJ215" s="12">
        <v>0.03</v>
      </c>
      <c r="CC215" s="3" t="str">
        <f>IF(B215&lt;&gt;"",CONCATENATE(SUBSTITUTE(B215," ","-"),".jpg"),"")</f>
        <v>Allied-Moulded-AM1648RLW.jpg</v>
      </c>
      <c r="CD215" s="16" t="s">
        <v>111</v>
      </c>
      <c r="CE215" s="3"/>
      <c r="CF215" s="3"/>
      <c r="CG215" s="3" t="s">
        <v>112</v>
      </c>
      <c r="CI215" s="3" t="s">
        <v>97</v>
      </c>
      <c r="CJ215" s="3" t="s">
        <v>383</v>
      </c>
      <c r="CK215" s="3" t="s">
        <v>114</v>
      </c>
      <c r="CL215" s="3" t="s">
        <v>115</v>
      </c>
      <c r="CM215" s="3" t="s">
        <v>116</v>
      </c>
      <c r="CN215" t="s">
        <v>117</v>
      </c>
      <c r="CO215" s="3" t="s">
        <v>118</v>
      </c>
      <c r="CP215" s="3" t="s">
        <v>139</v>
      </c>
      <c r="CQ215" s="3" t="s">
        <v>120</v>
      </c>
      <c r="CR215" s="16" t="s">
        <v>121</v>
      </c>
      <c r="CS215" s="16" t="s">
        <v>122</v>
      </c>
      <c r="CT215" s="16" t="s">
        <v>242</v>
      </c>
      <c r="CU215" s="16" t="s">
        <v>1037</v>
      </c>
      <c r="CV215" s="3" t="s">
        <v>167</v>
      </c>
    </row>
    <row r="216" spans="1:100" ht="15" customHeight="1">
      <c r="A216" t="s">
        <v>1464</v>
      </c>
      <c r="B216" s="3" t="s">
        <v>1465</v>
      </c>
      <c r="C216" s="16" t="s">
        <v>97</v>
      </c>
      <c r="D216" s="48" t="s">
        <v>1466</v>
      </c>
      <c r="E216" s="16" t="s">
        <v>97</v>
      </c>
      <c r="F216" s="131" t="s">
        <v>1467</v>
      </c>
      <c r="I216" s="100" t="s">
        <v>342</v>
      </c>
      <c r="J216" s="16" t="s">
        <v>101</v>
      </c>
      <c r="K216" s="16"/>
      <c r="L216" s="3" t="s">
        <v>102</v>
      </c>
      <c r="M216" s="3" t="s">
        <v>103</v>
      </c>
      <c r="N216" s="3" t="s">
        <v>104</v>
      </c>
      <c r="O216" s="16" t="s">
        <v>105</v>
      </c>
      <c r="P216" s="3" t="s">
        <v>1468</v>
      </c>
      <c r="Q216" s="3" t="s">
        <v>1468</v>
      </c>
      <c r="R216" s="3" t="s">
        <v>1468</v>
      </c>
      <c r="S216" t="s">
        <v>1464</v>
      </c>
      <c r="T216" s="130" t="s">
        <v>107</v>
      </c>
      <c r="U216" s="33">
        <v>15</v>
      </c>
      <c r="V216" s="40"/>
      <c r="W216" s="40"/>
      <c r="X216" s="59" t="s">
        <v>108</v>
      </c>
      <c r="Y216" s="93">
        <f>IF(AD216=0, 0, IF(OR(H216="", H216&lt;&gt;0), 1, 0))</f>
        <v>1</v>
      </c>
      <c r="Z216" s="3">
        <v>0</v>
      </c>
      <c r="AA216" s="3" t="s">
        <v>1469</v>
      </c>
      <c r="AD216" s="6">
        <f>ROUND((AG216*(1+AJ216)),2)</f>
        <v>304.25</v>
      </c>
      <c r="AE216" s="68">
        <v>346.71542965999998</v>
      </c>
      <c r="AF216" s="17">
        <f>(AE216*1)</f>
        <v>346.71542965999998</v>
      </c>
      <c r="AG216" s="6">
        <f>ROUND((AE216*AI216),2)</f>
        <v>225.37</v>
      </c>
      <c r="AH216" s="30" t="s">
        <v>110</v>
      </c>
      <c r="AI216" s="3">
        <v>0.65</v>
      </c>
      <c r="AJ216" s="18">
        <v>0.35</v>
      </c>
      <c r="AK216" s="6">
        <f>ROUND((AD216-(AD216*BG216)),2)</f>
        <v>301.20999999999998</v>
      </c>
      <c r="AL216" s="6">
        <f>ROUND((AD216-(AD216*BH216)),2)</f>
        <v>298.17</v>
      </c>
      <c r="AM216" s="6">
        <f>ROUND((AD216-(AD216*BI216)),2)</f>
        <v>295.12</v>
      </c>
      <c r="AN216" s="6">
        <f>ROUND((AD216-(AD216*BJ216)),2)</f>
        <v>295.12</v>
      </c>
      <c r="AO216" s="6">
        <f>ROUND((AD216-(AD216*BK216)),2)</f>
        <v>304.25</v>
      </c>
      <c r="BG216" s="12">
        <v>0.01</v>
      </c>
      <c r="BH216" s="12">
        <v>0.02</v>
      </c>
      <c r="BI216" s="12">
        <v>0.03</v>
      </c>
      <c r="BJ216" s="12">
        <v>0.03</v>
      </c>
      <c r="CC216" s="3" t="str">
        <f>IF(B216&lt;&gt;"",CONCATENATE(SUBSTITUTE(B216," ","-"),".jpg"),"")</f>
        <v>Allied-Moulded-AM1648RTW.jpg</v>
      </c>
      <c r="CD216" s="16" t="s">
        <v>111</v>
      </c>
      <c r="CE216" s="3"/>
      <c r="CF216" s="3"/>
      <c r="CG216" s="3" t="s">
        <v>112</v>
      </c>
      <c r="CI216" s="3" t="s">
        <v>97</v>
      </c>
      <c r="CJ216" s="3" t="s">
        <v>383</v>
      </c>
      <c r="CK216" s="3" t="s">
        <v>114</v>
      </c>
      <c r="CL216" s="3" t="s">
        <v>115</v>
      </c>
      <c r="CM216" s="3" t="s">
        <v>116</v>
      </c>
      <c r="CN216" s="16" t="s">
        <v>132</v>
      </c>
      <c r="CO216" s="3" t="s">
        <v>118</v>
      </c>
      <c r="CP216" s="3" t="s">
        <v>139</v>
      </c>
      <c r="CQ216" s="3" t="s">
        <v>120</v>
      </c>
      <c r="CR216" s="16" t="s">
        <v>121</v>
      </c>
      <c r="CS216" s="16" t="s">
        <v>122</v>
      </c>
      <c r="CT216" s="16" t="s">
        <v>242</v>
      </c>
      <c r="CU216" s="16" t="s">
        <v>1037</v>
      </c>
      <c r="CV216" s="3" t="s">
        <v>167</v>
      </c>
    </row>
    <row r="217" spans="1:100" ht="15" customHeight="1">
      <c r="A217" s="86" t="s">
        <v>1470</v>
      </c>
      <c r="B217" s="80" t="s">
        <v>1471</v>
      </c>
      <c r="C217" s="16" t="s">
        <v>97</v>
      </c>
      <c r="D217" s="104" t="s">
        <v>1472</v>
      </c>
      <c r="E217" s="16" t="s">
        <v>97</v>
      </c>
      <c r="F217" s="150" t="s">
        <v>1473</v>
      </c>
      <c r="I217" s="100" t="s">
        <v>342</v>
      </c>
      <c r="J217" s="16" t="s">
        <v>101</v>
      </c>
      <c r="K217" s="16"/>
      <c r="L217" s="3" t="s">
        <v>102</v>
      </c>
      <c r="M217" s="3" t="s">
        <v>103</v>
      </c>
      <c r="N217" s="3" t="s">
        <v>104</v>
      </c>
      <c r="O217" s="16" t="s">
        <v>343</v>
      </c>
      <c r="P217" s="80" t="s">
        <v>1474</v>
      </c>
      <c r="Q217" s="80" t="s">
        <v>1474</v>
      </c>
      <c r="R217" s="80" t="s">
        <v>1475</v>
      </c>
      <c r="S217" s="80" t="s">
        <v>1476</v>
      </c>
      <c r="T217" s="132" t="s">
        <v>107</v>
      </c>
      <c r="U217" s="97">
        <v>14</v>
      </c>
      <c r="X217" s="31" t="s">
        <v>108</v>
      </c>
      <c r="Y217" s="93">
        <f>IF(AD217=0, 0, IF(OR(H217="", H217&lt;&gt;0), 1, 0))</f>
        <v>1</v>
      </c>
      <c r="Z217" s="3">
        <v>0</v>
      </c>
      <c r="AA217" s="3" t="s">
        <v>1477</v>
      </c>
      <c r="AD217" s="6">
        <f>ROUND((AG217*(1+AJ217)),2)</f>
        <v>149.22999999999999</v>
      </c>
      <c r="AE217" s="99">
        <v>170.05566254999999</v>
      </c>
      <c r="AF217" s="17">
        <f>(AE217*1)</f>
        <v>170.05566254999999</v>
      </c>
      <c r="AG217" s="6">
        <f>ROUND((AE217*AI217),2)</f>
        <v>110.54</v>
      </c>
      <c r="AH217" s="30" t="s">
        <v>110</v>
      </c>
      <c r="AI217" s="3">
        <v>0.65</v>
      </c>
      <c r="AJ217" s="18">
        <v>0.35</v>
      </c>
      <c r="AK217" s="6">
        <f>ROUND((AD217-(AD217*BG217)),2)</f>
        <v>147.74</v>
      </c>
      <c r="AL217" s="6">
        <f>ROUND((AD217-(AD217*BH217)),2)</f>
        <v>146.25</v>
      </c>
      <c r="AM217" s="6">
        <f>ROUND((AD217-(AD217*BI217)),2)</f>
        <v>144.75</v>
      </c>
      <c r="AN217" s="6">
        <f>ROUND((AD217-(AD217*BJ217)),2)</f>
        <v>144.75</v>
      </c>
      <c r="AO217" s="6">
        <f>ROUND((AD217-(AD217*BK217)),2)</f>
        <v>149.22999999999999</v>
      </c>
      <c r="BG217" s="12">
        <v>0.01</v>
      </c>
      <c r="BH217" s="12">
        <v>0.02</v>
      </c>
      <c r="BI217" s="12">
        <v>0.03</v>
      </c>
      <c r="BJ217" s="12">
        <v>0.03</v>
      </c>
      <c r="BK217" s="12"/>
      <c r="CC217" s="3" t="str">
        <f>IF(B217&lt;&gt;"",CONCATENATE(SUBSTITUTE(B217," ","-"),".jpg"),"")</f>
        <v>Allied-Moulded-AM1648.jpg</v>
      </c>
      <c r="CD217" s="16" t="s">
        <v>111</v>
      </c>
      <c r="CE217" s="3"/>
      <c r="CF217" s="3"/>
      <c r="CG217" s="3" t="s">
        <v>112</v>
      </c>
      <c r="CI217" s="3" t="s">
        <v>97</v>
      </c>
      <c r="CJ217" s="16" t="s">
        <v>348</v>
      </c>
      <c r="CK217" s="3" t="s">
        <v>114</v>
      </c>
      <c r="CL217" s="3" t="s">
        <v>115</v>
      </c>
      <c r="CN217" s="16" t="s">
        <v>349</v>
      </c>
      <c r="CO217" s="16" t="s">
        <v>350</v>
      </c>
      <c r="CP217" s="3" t="s">
        <v>139</v>
      </c>
      <c r="CQ217" s="3" t="s">
        <v>120</v>
      </c>
      <c r="CR217" s="3" t="s">
        <v>140</v>
      </c>
      <c r="CS217" s="3" t="s">
        <v>384</v>
      </c>
      <c r="CT217" s="16" t="s">
        <v>242</v>
      </c>
      <c r="CU217" s="16" t="s">
        <v>1037</v>
      </c>
      <c r="CV217" s="16" t="s">
        <v>385</v>
      </c>
    </row>
    <row r="218" spans="1:100" ht="15" customHeight="1">
      <c r="A218" s="86" t="s">
        <v>1478</v>
      </c>
      <c r="B218" s="80" t="s">
        <v>1479</v>
      </c>
      <c r="C218" s="16" t="s">
        <v>97</v>
      </c>
      <c r="D218" s="104" t="s">
        <v>1480</v>
      </c>
      <c r="E218" s="16" t="s">
        <v>97</v>
      </c>
      <c r="F218" s="150" t="s">
        <v>1481</v>
      </c>
      <c r="I218" s="100" t="s">
        <v>342</v>
      </c>
      <c r="J218" s="16" t="s">
        <v>101</v>
      </c>
      <c r="K218" s="16"/>
      <c r="L218" s="3" t="s">
        <v>102</v>
      </c>
      <c r="M218" s="3" t="s">
        <v>103</v>
      </c>
      <c r="N218" s="3" t="s">
        <v>104</v>
      </c>
      <c r="O218" s="16" t="s">
        <v>343</v>
      </c>
      <c r="P218" s="80" t="s">
        <v>1482</v>
      </c>
      <c r="Q218" s="80" t="s">
        <v>1482</v>
      </c>
      <c r="R218" s="80" t="s">
        <v>1483</v>
      </c>
      <c r="S218" s="80" t="s">
        <v>1484</v>
      </c>
      <c r="T218" s="132" t="s">
        <v>107</v>
      </c>
      <c r="U218" s="97">
        <v>14</v>
      </c>
      <c r="X218" s="31" t="s">
        <v>108</v>
      </c>
      <c r="Y218" s="93">
        <f>IF(AD218=0, 0, IF(OR(H218="", H218&lt;&gt;0), 1, 0))</f>
        <v>1</v>
      </c>
      <c r="Z218" s="3">
        <v>0</v>
      </c>
      <c r="AA218" s="3" t="s">
        <v>1485</v>
      </c>
      <c r="AD218" s="6">
        <f>ROUND((AG218*(1+AJ218)),2)</f>
        <v>157.13999999999999</v>
      </c>
      <c r="AE218" s="99">
        <v>179.08283181000002</v>
      </c>
      <c r="AF218" s="17">
        <f>(AE218*1)</f>
        <v>179.08283181000002</v>
      </c>
      <c r="AG218" s="6">
        <f>ROUND((AE218*AI218),2)</f>
        <v>116.4</v>
      </c>
      <c r="AH218" s="30" t="s">
        <v>110</v>
      </c>
      <c r="AI218" s="3">
        <v>0.65</v>
      </c>
      <c r="AJ218" s="18">
        <v>0.35</v>
      </c>
      <c r="AK218" s="6">
        <f>ROUND((AD218-(AD218*BG218)),2)</f>
        <v>155.57</v>
      </c>
      <c r="AL218" s="6">
        <f>ROUND((AD218-(AD218*BH218)),2)</f>
        <v>154</v>
      </c>
      <c r="AM218" s="6">
        <f>ROUND((AD218-(AD218*BI218)),2)</f>
        <v>152.43</v>
      </c>
      <c r="AN218" s="6">
        <f>ROUND((AD218-(AD218*BJ218)),2)</f>
        <v>152.43</v>
      </c>
      <c r="AO218" s="6">
        <f>ROUND((AD218-(AD218*BK218)),2)</f>
        <v>157.13999999999999</v>
      </c>
      <c r="BG218" s="12">
        <v>0.01</v>
      </c>
      <c r="BH218" s="12">
        <v>0.02</v>
      </c>
      <c r="BI218" s="12">
        <v>0.03</v>
      </c>
      <c r="BJ218" s="12">
        <v>0.03</v>
      </c>
      <c r="BK218" s="12"/>
      <c r="CC218" s="3" t="str">
        <f>IF(B218&lt;&gt;"",CONCATENATE(SUBSTITUTE(B218," ","-"),".jpg"),"")</f>
        <v>Allied-Moulded-AM1648H.jpg</v>
      </c>
      <c r="CD218" s="16" t="s">
        <v>111</v>
      </c>
      <c r="CE218" s="3"/>
      <c r="CF218" s="3"/>
      <c r="CG218" s="3" t="s">
        <v>112</v>
      </c>
      <c r="CI218" s="3" t="s">
        <v>97</v>
      </c>
      <c r="CJ218" s="16" t="s">
        <v>348</v>
      </c>
      <c r="CK218" s="3" t="s">
        <v>114</v>
      </c>
      <c r="CL218" s="3" t="s">
        <v>115</v>
      </c>
      <c r="CM218" s="3" t="s">
        <v>116</v>
      </c>
      <c r="CN218" s="16" t="s">
        <v>349</v>
      </c>
      <c r="CO218" s="16" t="s">
        <v>350</v>
      </c>
      <c r="CP218" s="3" t="s">
        <v>139</v>
      </c>
      <c r="CQ218" s="3" t="s">
        <v>120</v>
      </c>
      <c r="CR218" s="3" t="s">
        <v>140</v>
      </c>
      <c r="CS218" s="3" t="s">
        <v>384</v>
      </c>
      <c r="CT218" s="16" t="s">
        <v>242</v>
      </c>
      <c r="CU218" s="16" t="s">
        <v>1037</v>
      </c>
      <c r="CV218" s="16" t="s">
        <v>385</v>
      </c>
    </row>
    <row r="219" spans="1:100" ht="15" customHeight="1">
      <c r="A219" s="86" t="s">
        <v>1486</v>
      </c>
      <c r="B219" s="80" t="s">
        <v>1487</v>
      </c>
      <c r="C219" s="16" t="s">
        <v>97</v>
      </c>
      <c r="D219" s="104" t="s">
        <v>1488</v>
      </c>
      <c r="E219" s="16" t="s">
        <v>97</v>
      </c>
      <c r="F219" s="150" t="s">
        <v>1489</v>
      </c>
      <c r="I219" s="100" t="s">
        <v>342</v>
      </c>
      <c r="J219" s="16" t="s">
        <v>101</v>
      </c>
      <c r="K219" s="16"/>
      <c r="L219" s="3" t="s">
        <v>102</v>
      </c>
      <c r="M219" s="3" t="s">
        <v>103</v>
      </c>
      <c r="N219" s="3" t="s">
        <v>104</v>
      </c>
      <c r="O219" s="16" t="s">
        <v>343</v>
      </c>
      <c r="P219" s="80" t="s">
        <v>1490</v>
      </c>
      <c r="Q219" s="80" t="s">
        <v>1490</v>
      </c>
      <c r="R219" s="80" t="s">
        <v>1491</v>
      </c>
      <c r="S219" s="80" t="s">
        <v>1492</v>
      </c>
      <c r="T219" s="132" t="s">
        <v>107</v>
      </c>
      <c r="U219" s="97">
        <v>14</v>
      </c>
      <c r="X219" s="31" t="s">
        <v>108</v>
      </c>
      <c r="Y219" s="93">
        <f>IF(AD219=0, 0, IF(OR(H219="", H219&lt;&gt;0), 1, 0))</f>
        <v>1</v>
      </c>
      <c r="Z219" s="3">
        <v>0</v>
      </c>
      <c r="AA219" s="3" t="s">
        <v>1493</v>
      </c>
      <c r="AD219" s="6">
        <f>ROUND((AG219*(1+AJ219)),2)</f>
        <v>179.4</v>
      </c>
      <c r="AE219" s="99">
        <v>204.43984664000001</v>
      </c>
      <c r="AF219" s="17">
        <f>(AE219*1)</f>
        <v>204.43984664000001</v>
      </c>
      <c r="AG219" s="6">
        <f>ROUND((AE219*AI219),2)</f>
        <v>132.88999999999999</v>
      </c>
      <c r="AH219" s="30" t="s">
        <v>110</v>
      </c>
      <c r="AI219" s="3">
        <v>0.65</v>
      </c>
      <c r="AJ219" s="18">
        <v>0.35</v>
      </c>
      <c r="AK219" s="6">
        <f>ROUND((AD219-(AD219*BG219)),2)</f>
        <v>177.61</v>
      </c>
      <c r="AL219" s="6">
        <f>ROUND((AD219-(AD219*BH219)),2)</f>
        <v>175.81</v>
      </c>
      <c r="AM219" s="6">
        <f>ROUND((AD219-(AD219*BI219)),2)</f>
        <v>174.02</v>
      </c>
      <c r="AN219" s="6">
        <f>ROUND((AD219-(AD219*BJ219)),2)</f>
        <v>174.02</v>
      </c>
      <c r="AO219" s="6">
        <f>ROUND((AD219-(AD219*BK219)),2)</f>
        <v>179.4</v>
      </c>
      <c r="BG219" s="12">
        <v>0.01</v>
      </c>
      <c r="BH219" s="12">
        <v>0.02</v>
      </c>
      <c r="BI219" s="12">
        <v>0.03</v>
      </c>
      <c r="BJ219" s="12">
        <v>0.03</v>
      </c>
      <c r="BK219" s="12"/>
      <c r="CC219" s="3" t="str">
        <f>IF(B219&lt;&gt;"",CONCATENATE(SUBSTITUTE(B219," ","-"),".jpg"),"")</f>
        <v>Allied-Moulded-AM1648L.jpg</v>
      </c>
      <c r="CD219" s="16" t="s">
        <v>111</v>
      </c>
      <c r="CE219" s="3"/>
      <c r="CF219" s="3"/>
      <c r="CG219" s="3" t="s">
        <v>112</v>
      </c>
      <c r="CI219" s="3" t="s">
        <v>97</v>
      </c>
      <c r="CJ219" s="16" t="s">
        <v>348</v>
      </c>
      <c r="CK219" s="3" t="s">
        <v>114</v>
      </c>
      <c r="CL219" s="3" t="s">
        <v>115</v>
      </c>
      <c r="CM219" s="3" t="s">
        <v>116</v>
      </c>
      <c r="CN219" s="16" t="s">
        <v>368</v>
      </c>
      <c r="CO219" s="16" t="s">
        <v>350</v>
      </c>
      <c r="CP219" s="3" t="s">
        <v>139</v>
      </c>
      <c r="CQ219" s="3" t="s">
        <v>120</v>
      </c>
      <c r="CR219" s="3" t="s">
        <v>140</v>
      </c>
      <c r="CS219" s="16" t="s">
        <v>122</v>
      </c>
      <c r="CT219" s="16" t="s">
        <v>242</v>
      </c>
      <c r="CU219" s="16" t="s">
        <v>1037</v>
      </c>
      <c r="CV219" s="16" t="s">
        <v>385</v>
      </c>
    </row>
    <row r="220" spans="1:100" ht="15" customHeight="1">
      <c r="A220" s="86" t="s">
        <v>1494</v>
      </c>
      <c r="B220" s="80" t="s">
        <v>1495</v>
      </c>
      <c r="C220" s="16" t="s">
        <v>97</v>
      </c>
      <c r="D220" s="104" t="s">
        <v>1496</v>
      </c>
      <c r="E220" s="16" t="s">
        <v>97</v>
      </c>
      <c r="F220" s="150" t="s">
        <v>1497</v>
      </c>
      <c r="I220" s="100" t="s">
        <v>342</v>
      </c>
      <c r="J220" s="16" t="s">
        <v>101</v>
      </c>
      <c r="K220" s="16"/>
      <c r="L220" s="3" t="s">
        <v>102</v>
      </c>
      <c r="M220" s="3" t="s">
        <v>103</v>
      </c>
      <c r="N220" s="3" t="s">
        <v>104</v>
      </c>
      <c r="O220" s="16" t="s">
        <v>343</v>
      </c>
      <c r="P220" s="80" t="s">
        <v>1498</v>
      </c>
      <c r="Q220" s="80" t="s">
        <v>1498</v>
      </c>
      <c r="R220" s="80" t="s">
        <v>1499</v>
      </c>
      <c r="S220" s="80" t="s">
        <v>1500</v>
      </c>
      <c r="T220" s="132" t="s">
        <v>107</v>
      </c>
      <c r="U220" s="97">
        <v>14</v>
      </c>
      <c r="X220" s="31" t="s">
        <v>108</v>
      </c>
      <c r="Y220" s="93">
        <f>IF(AD220=0, 0, IF(OR(H220="", H220&lt;&gt;0), 1, 0))</f>
        <v>1</v>
      </c>
      <c r="Z220" s="3">
        <v>0</v>
      </c>
      <c r="AA220" s="3" t="s">
        <v>1501</v>
      </c>
      <c r="AD220" s="6">
        <f>ROUND((AG220*(1+AJ220)),2)</f>
        <v>179.4</v>
      </c>
      <c r="AE220" s="99">
        <v>204.43984664000001</v>
      </c>
      <c r="AF220" s="17">
        <f>(AE220*1)</f>
        <v>204.43984664000001</v>
      </c>
      <c r="AG220" s="6">
        <f>ROUND((AE220*AI220),2)</f>
        <v>132.88999999999999</v>
      </c>
      <c r="AH220" s="30" t="s">
        <v>110</v>
      </c>
      <c r="AI220" s="3">
        <v>0.65</v>
      </c>
      <c r="AJ220" s="18">
        <v>0.35</v>
      </c>
      <c r="AK220" s="6">
        <f>ROUND((AD220-(AD220*BG220)),2)</f>
        <v>177.61</v>
      </c>
      <c r="AL220" s="6">
        <f>ROUND((AD220-(AD220*BH220)),2)</f>
        <v>175.81</v>
      </c>
      <c r="AM220" s="6">
        <f>ROUND((AD220-(AD220*BI220)),2)</f>
        <v>174.02</v>
      </c>
      <c r="AN220" s="6">
        <f>ROUND((AD220-(AD220*BJ220)),2)</f>
        <v>174.02</v>
      </c>
      <c r="AO220" s="6">
        <f>ROUND((AD220-(AD220*BK220)),2)</f>
        <v>179.4</v>
      </c>
      <c r="BG220" s="12">
        <v>0.01</v>
      </c>
      <c r="BH220" s="12">
        <v>0.02</v>
      </c>
      <c r="BI220" s="12">
        <v>0.03</v>
      </c>
      <c r="BJ220" s="12">
        <v>0.03</v>
      </c>
      <c r="BK220" s="12"/>
      <c r="CC220" s="3" t="str">
        <f>IF(B220&lt;&gt;"",CONCATENATE(SUBSTITUTE(B220," ","-"),".jpg"),"")</f>
        <v>Allied-Moulded-AM1648T.jpg</v>
      </c>
      <c r="CD220" s="16" t="s">
        <v>111</v>
      </c>
      <c r="CE220" s="3"/>
      <c r="CF220" s="3"/>
      <c r="CG220" s="3" t="s">
        <v>112</v>
      </c>
      <c r="CI220" s="3" t="s">
        <v>97</v>
      </c>
      <c r="CJ220" s="16" t="s">
        <v>348</v>
      </c>
      <c r="CK220" s="3" t="s">
        <v>114</v>
      </c>
      <c r="CL220" s="3" t="s">
        <v>115</v>
      </c>
      <c r="CM220" s="3" t="s">
        <v>116</v>
      </c>
      <c r="CN220" s="16" t="s">
        <v>132</v>
      </c>
      <c r="CO220" s="16" t="s">
        <v>350</v>
      </c>
      <c r="CP220" s="3" t="s">
        <v>139</v>
      </c>
      <c r="CQ220" s="3" t="s">
        <v>120</v>
      </c>
      <c r="CR220" s="3" t="s">
        <v>140</v>
      </c>
      <c r="CS220" s="16" t="s">
        <v>122</v>
      </c>
      <c r="CT220" s="16" t="s">
        <v>242</v>
      </c>
      <c r="CU220" s="16" t="s">
        <v>1037</v>
      </c>
      <c r="CV220" s="16" t="s">
        <v>385</v>
      </c>
    </row>
    <row r="221" spans="1:100" ht="15" customHeight="1">
      <c r="A221" s="86" t="s">
        <v>1502</v>
      </c>
      <c r="B221" s="80" t="s">
        <v>1503</v>
      </c>
      <c r="C221" s="16" t="s">
        <v>97</v>
      </c>
      <c r="D221" s="104" t="s">
        <v>1504</v>
      </c>
      <c r="E221" s="16" t="s">
        <v>97</v>
      </c>
      <c r="F221" s="150" t="s">
        <v>1505</v>
      </c>
      <c r="I221" s="100" t="s">
        <v>342</v>
      </c>
      <c r="J221" s="16" t="s">
        <v>101</v>
      </c>
      <c r="K221" s="16"/>
      <c r="L221" s="3" t="s">
        <v>102</v>
      </c>
      <c r="M221" s="3" t="s">
        <v>103</v>
      </c>
      <c r="N221" s="3" t="s">
        <v>104</v>
      </c>
      <c r="O221" s="16" t="s">
        <v>343</v>
      </c>
      <c r="P221" s="80" t="s">
        <v>1506</v>
      </c>
      <c r="Q221" s="80" t="s">
        <v>1506</v>
      </c>
      <c r="R221" s="80" t="s">
        <v>1507</v>
      </c>
      <c r="S221" s="80" t="s">
        <v>1508</v>
      </c>
      <c r="T221" s="132" t="s">
        <v>107</v>
      </c>
      <c r="U221" s="97">
        <v>14</v>
      </c>
      <c r="X221" s="31" t="s">
        <v>108</v>
      </c>
      <c r="Y221" s="93">
        <f>IF(AD221=0, 0, IF(OR(H221="", H221&lt;&gt;0), 1, 0))</f>
        <v>1</v>
      </c>
      <c r="Z221" s="3">
        <v>0</v>
      </c>
      <c r="AA221" s="3" t="s">
        <v>1509</v>
      </c>
      <c r="AD221" s="6">
        <f>ROUND((AG221*(1+AJ221)),2)</f>
        <v>267</v>
      </c>
      <c r="AE221" s="99">
        <v>304.27292521000004</v>
      </c>
      <c r="AF221" s="17">
        <f>(AE221*1)</f>
        <v>304.27292521000004</v>
      </c>
      <c r="AG221" s="6">
        <f>ROUND((AE221*AI221),2)</f>
        <v>197.78</v>
      </c>
      <c r="AH221" s="30" t="s">
        <v>110</v>
      </c>
      <c r="AI221" s="3">
        <v>0.65</v>
      </c>
      <c r="AJ221" s="18">
        <v>0.35</v>
      </c>
      <c r="AK221" s="6">
        <f>ROUND((AD221-(AD221*BG221)),2)</f>
        <v>264.33</v>
      </c>
      <c r="AL221" s="6">
        <f>ROUND((AD221-(AD221*BH221)),2)</f>
        <v>261.66000000000003</v>
      </c>
      <c r="AM221" s="6">
        <f>ROUND((AD221-(AD221*BI221)),2)</f>
        <v>258.99</v>
      </c>
      <c r="AN221" s="6">
        <f>ROUND((AD221-(AD221*BJ221)),2)</f>
        <v>258.99</v>
      </c>
      <c r="AO221" s="6">
        <f>ROUND((AD221-(AD221*BK221)),2)</f>
        <v>267</v>
      </c>
      <c r="BG221" s="12">
        <v>0.01</v>
      </c>
      <c r="BH221" s="12">
        <v>0.02</v>
      </c>
      <c r="BI221" s="12">
        <v>0.03</v>
      </c>
      <c r="BJ221" s="12">
        <v>0.03</v>
      </c>
      <c r="BK221" s="12"/>
      <c r="CC221" s="3" t="str">
        <f>IF(B221&lt;&gt;"",CONCATENATE(SUBSTITUTE(B221," ","-"),".jpg"),"")</f>
        <v>Allied-Moulded-AM1648W.jpg</v>
      </c>
      <c r="CD221" s="16" t="s">
        <v>111</v>
      </c>
      <c r="CE221" s="3"/>
      <c r="CF221" s="3"/>
      <c r="CG221" s="3" t="s">
        <v>112</v>
      </c>
      <c r="CI221" s="3" t="s">
        <v>97</v>
      </c>
      <c r="CJ221" s="16" t="s">
        <v>348</v>
      </c>
      <c r="CK221" s="3" t="s">
        <v>114</v>
      </c>
      <c r="CL221" s="3" t="s">
        <v>115</v>
      </c>
      <c r="CM221" s="16"/>
      <c r="CN221" s="16" t="s">
        <v>349</v>
      </c>
      <c r="CO221" s="16" t="s">
        <v>350</v>
      </c>
      <c r="CP221" s="3" t="s">
        <v>139</v>
      </c>
      <c r="CQ221" s="3" t="s">
        <v>120</v>
      </c>
      <c r="CR221" s="16" t="s">
        <v>121</v>
      </c>
      <c r="CS221" s="16" t="s">
        <v>122</v>
      </c>
      <c r="CT221" s="16" t="s">
        <v>242</v>
      </c>
      <c r="CU221" s="16" t="s">
        <v>1037</v>
      </c>
      <c r="CV221" s="16" t="s">
        <v>385</v>
      </c>
    </row>
    <row r="222" spans="1:100" ht="15" customHeight="1">
      <c r="A222" s="86" t="s">
        <v>1510</v>
      </c>
      <c r="B222" s="80" t="s">
        <v>1511</v>
      </c>
      <c r="C222" s="16" t="s">
        <v>97</v>
      </c>
      <c r="D222" s="104" t="s">
        <v>1512</v>
      </c>
      <c r="E222" s="16" t="s">
        <v>97</v>
      </c>
      <c r="F222" s="150" t="s">
        <v>1513</v>
      </c>
      <c r="I222" s="100" t="s">
        <v>342</v>
      </c>
      <c r="J222" s="16" t="s">
        <v>101</v>
      </c>
      <c r="K222" s="16"/>
      <c r="L222" s="3" t="s">
        <v>102</v>
      </c>
      <c r="M222" s="3" t="s">
        <v>103</v>
      </c>
      <c r="N222" s="3" t="s">
        <v>104</v>
      </c>
      <c r="O222" s="16" t="s">
        <v>343</v>
      </c>
      <c r="P222" s="80" t="s">
        <v>1514</v>
      </c>
      <c r="Q222" s="80" t="s">
        <v>1514</v>
      </c>
      <c r="R222" s="80" t="s">
        <v>1515</v>
      </c>
      <c r="S222" s="80" t="s">
        <v>1516</v>
      </c>
      <c r="T222" s="132" t="s">
        <v>107</v>
      </c>
      <c r="U222" s="97">
        <v>14</v>
      </c>
      <c r="X222" s="31" t="s">
        <v>108</v>
      </c>
      <c r="Y222" s="93">
        <f>IF(AD222=0, 0, IF(OR(H222="", H222&lt;&gt;0), 1, 0))</f>
        <v>1</v>
      </c>
      <c r="Z222" s="3">
        <v>0</v>
      </c>
      <c r="AA222" s="3" t="s">
        <v>1517</v>
      </c>
      <c r="AD222" s="6">
        <f>ROUND((AG222*(1+AJ222)),2)</f>
        <v>269.18</v>
      </c>
      <c r="AE222" s="99">
        <v>306.74844060000004</v>
      </c>
      <c r="AF222" s="17">
        <f>(AE222*1)</f>
        <v>306.74844060000004</v>
      </c>
      <c r="AG222" s="6">
        <f>ROUND((AE222*AI222),2)</f>
        <v>199.39</v>
      </c>
      <c r="AH222" s="30" t="s">
        <v>110</v>
      </c>
      <c r="AI222" s="3">
        <v>0.65</v>
      </c>
      <c r="AJ222" s="18">
        <v>0.35</v>
      </c>
      <c r="AK222" s="6">
        <f>ROUND((AD222-(AD222*BG222)),2)</f>
        <v>266.49</v>
      </c>
      <c r="AL222" s="6">
        <f>ROUND((AD222-(AD222*BH222)),2)</f>
        <v>263.8</v>
      </c>
      <c r="AM222" s="6">
        <f>ROUND((AD222-(AD222*BI222)),2)</f>
        <v>261.10000000000002</v>
      </c>
      <c r="AN222" s="6">
        <f>ROUND((AD222-(AD222*BJ222)),2)</f>
        <v>261.10000000000002</v>
      </c>
      <c r="AO222" s="6">
        <f>ROUND((AD222-(AD222*BK222)),2)</f>
        <v>269.18</v>
      </c>
      <c r="BG222" s="12">
        <v>0.01</v>
      </c>
      <c r="BH222" s="12">
        <v>0.02</v>
      </c>
      <c r="BI222" s="12">
        <v>0.03</v>
      </c>
      <c r="BJ222" s="12">
        <v>0.03</v>
      </c>
      <c r="BK222" s="12"/>
      <c r="CC222" s="3" t="str">
        <f>IF(B222&lt;&gt;"",CONCATENATE(SUBSTITUTE(B222," ","-"),".jpg"),"")</f>
        <v>Allied-Moulded-AM1648HW.jpg</v>
      </c>
      <c r="CD222" s="16" t="s">
        <v>111</v>
      </c>
      <c r="CE222" s="3"/>
      <c r="CF222" s="3"/>
      <c r="CG222" s="3" t="s">
        <v>112</v>
      </c>
      <c r="CI222" s="3" t="s">
        <v>97</v>
      </c>
      <c r="CJ222" s="16" t="s">
        <v>348</v>
      </c>
      <c r="CK222" s="3" t="s">
        <v>114</v>
      </c>
      <c r="CL222" s="3" t="s">
        <v>115</v>
      </c>
      <c r="CM222" s="3" t="s">
        <v>116</v>
      </c>
      <c r="CN222" s="16" t="s">
        <v>349</v>
      </c>
      <c r="CO222" s="16" t="s">
        <v>350</v>
      </c>
      <c r="CP222" s="3" t="s">
        <v>139</v>
      </c>
      <c r="CQ222" s="3" t="s">
        <v>120</v>
      </c>
      <c r="CR222" s="16" t="s">
        <v>121</v>
      </c>
      <c r="CS222" s="16" t="s">
        <v>122</v>
      </c>
      <c r="CT222" s="16" t="s">
        <v>242</v>
      </c>
      <c r="CU222" s="16" t="s">
        <v>1037</v>
      </c>
      <c r="CV222" s="16" t="s">
        <v>385</v>
      </c>
    </row>
    <row r="223" spans="1:100" ht="15" customHeight="1">
      <c r="A223" s="86" t="s">
        <v>1518</v>
      </c>
      <c r="B223" s="80" t="s">
        <v>1519</v>
      </c>
      <c r="C223" s="16" t="s">
        <v>97</v>
      </c>
      <c r="D223" s="104" t="s">
        <v>1520</v>
      </c>
      <c r="E223" s="16" t="s">
        <v>97</v>
      </c>
      <c r="F223" s="150" t="s">
        <v>1521</v>
      </c>
      <c r="I223" s="100" t="s">
        <v>342</v>
      </c>
      <c r="J223" s="16" t="s">
        <v>101</v>
      </c>
      <c r="K223" s="16"/>
      <c r="L223" s="3" t="s">
        <v>102</v>
      </c>
      <c r="M223" s="3" t="s">
        <v>103</v>
      </c>
      <c r="N223" s="3" t="s">
        <v>104</v>
      </c>
      <c r="O223" s="16" t="s">
        <v>343</v>
      </c>
      <c r="P223" s="80" t="s">
        <v>1522</v>
      </c>
      <c r="Q223" s="80" t="s">
        <v>1522</v>
      </c>
      <c r="R223" s="80" t="s">
        <v>1523</v>
      </c>
      <c r="S223" s="80" t="s">
        <v>1524</v>
      </c>
      <c r="T223" s="132" t="s">
        <v>107</v>
      </c>
      <c r="U223" s="97">
        <v>14</v>
      </c>
      <c r="X223" s="31" t="s">
        <v>108</v>
      </c>
      <c r="Y223" s="93">
        <f>IF(AD223=0, 0, IF(OR(H223="", H223&lt;&gt;0), 1, 0))</f>
        <v>1</v>
      </c>
      <c r="Z223" s="3">
        <v>0</v>
      </c>
      <c r="AA223" s="3" t="s">
        <v>1525</v>
      </c>
      <c r="AD223" s="6">
        <f>ROUND((AG223*(1+AJ223)),2)</f>
        <v>291.83999999999997</v>
      </c>
      <c r="AE223" s="99">
        <v>332.57988579000005</v>
      </c>
      <c r="AF223" s="17">
        <f>(AE223*1)</f>
        <v>332.57988579000005</v>
      </c>
      <c r="AG223" s="6">
        <f>ROUND((AE223*AI223),2)</f>
        <v>216.18</v>
      </c>
      <c r="AH223" s="30" t="s">
        <v>110</v>
      </c>
      <c r="AI223" s="3">
        <v>0.65</v>
      </c>
      <c r="AJ223" s="18">
        <v>0.35</v>
      </c>
      <c r="AK223" s="6">
        <f>ROUND((AD223-(AD223*BG223)),2)</f>
        <v>288.92</v>
      </c>
      <c r="AL223" s="6">
        <f>ROUND((AD223-(AD223*BH223)),2)</f>
        <v>286</v>
      </c>
      <c r="AM223" s="6">
        <f>ROUND((AD223-(AD223*BI223)),2)</f>
        <v>283.08</v>
      </c>
      <c r="AN223" s="6">
        <f>ROUND((AD223-(AD223*BJ223)),2)</f>
        <v>283.08</v>
      </c>
      <c r="AO223" s="6">
        <f>ROUND((AD223-(AD223*BK223)),2)</f>
        <v>291.83999999999997</v>
      </c>
      <c r="BG223" s="12">
        <v>0.01</v>
      </c>
      <c r="BH223" s="12">
        <v>0.02</v>
      </c>
      <c r="BI223" s="12">
        <v>0.03</v>
      </c>
      <c r="BJ223" s="12">
        <v>0.03</v>
      </c>
      <c r="BK223" s="12"/>
      <c r="CC223" s="3" t="str">
        <f>IF(B223&lt;&gt;"",CONCATENATE(SUBSTITUTE(B223," ","-"),".jpg"),"")</f>
        <v>Allied-Moulded-AM1648TW.jpg</v>
      </c>
      <c r="CD223" s="16" t="s">
        <v>111</v>
      </c>
      <c r="CE223" s="3"/>
      <c r="CF223" s="3"/>
      <c r="CG223" s="3" t="s">
        <v>112</v>
      </c>
      <c r="CI223" s="3" t="s">
        <v>97</v>
      </c>
      <c r="CJ223" s="16" t="s">
        <v>348</v>
      </c>
      <c r="CK223" s="3" t="s">
        <v>114</v>
      </c>
      <c r="CL223" s="3" t="s">
        <v>115</v>
      </c>
      <c r="CM223" s="3" t="s">
        <v>116</v>
      </c>
      <c r="CN223" s="16" t="s">
        <v>132</v>
      </c>
      <c r="CO223" s="16" t="s">
        <v>350</v>
      </c>
      <c r="CP223" s="3" t="s">
        <v>139</v>
      </c>
      <c r="CQ223" s="3" t="s">
        <v>120</v>
      </c>
      <c r="CR223" s="16" t="s">
        <v>121</v>
      </c>
      <c r="CS223" s="16" t="s">
        <v>122</v>
      </c>
      <c r="CT223" s="16" t="s">
        <v>242</v>
      </c>
      <c r="CU223" s="16" t="s">
        <v>1037</v>
      </c>
      <c r="CV223" s="16" t="s">
        <v>385</v>
      </c>
    </row>
    <row r="224" spans="1:100" ht="15" customHeight="1">
      <c r="A224" t="s">
        <v>1526</v>
      </c>
      <c r="B224" s="3" t="s">
        <v>1527</v>
      </c>
      <c r="C224" s="16" t="s">
        <v>97</v>
      </c>
      <c r="D224" s="43" t="s">
        <v>1528</v>
      </c>
      <c r="E224" s="16" t="s">
        <v>97</v>
      </c>
      <c r="F224" s="131" t="s">
        <v>1529</v>
      </c>
      <c r="I224" s="100" t="s">
        <v>342</v>
      </c>
      <c r="J224" s="16" t="s">
        <v>101</v>
      </c>
      <c r="K224" s="16"/>
      <c r="L224" s="3" t="s">
        <v>102</v>
      </c>
      <c r="M224" s="3" t="s">
        <v>103</v>
      </c>
      <c r="N224" s="3" t="s">
        <v>104</v>
      </c>
      <c r="O224" s="16" t="s">
        <v>105</v>
      </c>
      <c r="P224" s="3" t="s">
        <v>1530</v>
      </c>
      <c r="Q224" s="3" t="s">
        <v>1530</v>
      </c>
      <c r="R224" s="3" t="s">
        <v>1530</v>
      </c>
      <c r="S224" t="s">
        <v>1526</v>
      </c>
      <c r="T224" s="130" t="s">
        <v>107</v>
      </c>
      <c r="U224" s="35">
        <v>14</v>
      </c>
      <c r="V224" s="40"/>
      <c r="W224" s="40"/>
      <c r="X224" s="59" t="s">
        <v>108</v>
      </c>
      <c r="Y224" s="93">
        <f>IF(AD224=0, 0, IF(OR(H224="", H224&lt;&gt;0), 1, 0))</f>
        <v>1</v>
      </c>
      <c r="Z224" s="3">
        <v>0</v>
      </c>
      <c r="AA224" s="3" t="s">
        <v>1531</v>
      </c>
      <c r="AD224" s="6">
        <f>ROUND((AG224*(1+AJ224)),2)</f>
        <v>155.56</v>
      </c>
      <c r="AE224" s="69">
        <v>177.27035832000001</v>
      </c>
      <c r="AF224" s="17">
        <f>(AE224*1)</f>
        <v>177.27035832000001</v>
      </c>
      <c r="AG224" s="6">
        <f>ROUND((AE224*AI224),2)</f>
        <v>115.23</v>
      </c>
      <c r="AH224" s="30" t="s">
        <v>110</v>
      </c>
      <c r="AI224" s="3">
        <v>0.65</v>
      </c>
      <c r="AJ224" s="18">
        <v>0.35</v>
      </c>
      <c r="AK224" s="6">
        <f>ROUND((AD224-(AD224*BG224)),2)</f>
        <v>154</v>
      </c>
      <c r="AL224" s="6">
        <f>ROUND((AD224-(AD224*BH224)),2)</f>
        <v>152.44999999999999</v>
      </c>
      <c r="AM224" s="6">
        <f>ROUND((AD224-(AD224*BI224)),2)</f>
        <v>150.88999999999999</v>
      </c>
      <c r="AN224" s="6">
        <f>ROUND((AD224-(AD224*BJ224)),2)</f>
        <v>150.88999999999999</v>
      </c>
      <c r="AO224" s="6">
        <f>ROUND((AD224-(AD224*BK224)),2)</f>
        <v>155.56</v>
      </c>
      <c r="BG224" s="12">
        <v>0.01</v>
      </c>
      <c r="BH224" s="12">
        <v>0.02</v>
      </c>
      <c r="BI224" s="12">
        <v>0.03</v>
      </c>
      <c r="BJ224" s="12">
        <v>0.03</v>
      </c>
      <c r="CC224" s="3" t="str">
        <f>IF(B224&lt;&gt;"",CONCATENATE(SUBSTITUTE(B224," ","-"),".jpg"),"")</f>
        <v>Allied-Moulded-AM1648R.jpg</v>
      </c>
      <c r="CD224" s="16" t="s">
        <v>111</v>
      </c>
      <c r="CE224" s="3"/>
      <c r="CF224" s="3"/>
      <c r="CG224" s="3" t="s">
        <v>112</v>
      </c>
      <c r="CI224" s="3" t="s">
        <v>97</v>
      </c>
      <c r="CJ224" s="3" t="s">
        <v>383</v>
      </c>
      <c r="CK224" s="3" t="s">
        <v>114</v>
      </c>
      <c r="CL224" s="3" t="s">
        <v>115</v>
      </c>
      <c r="CM224" s="16"/>
      <c r="CN224" s="16" t="s">
        <v>349</v>
      </c>
      <c r="CO224" s="3" t="s">
        <v>118</v>
      </c>
      <c r="CP224" s="3" t="s">
        <v>139</v>
      </c>
      <c r="CQ224" s="3" t="s">
        <v>120</v>
      </c>
      <c r="CR224" s="3" t="s">
        <v>140</v>
      </c>
      <c r="CS224" s="3" t="s">
        <v>384</v>
      </c>
      <c r="CT224" s="16" t="s">
        <v>242</v>
      </c>
      <c r="CU224" s="16" t="s">
        <v>1037</v>
      </c>
      <c r="CV224" s="3" t="s">
        <v>167</v>
      </c>
    </row>
    <row r="225" spans="1:100" ht="15" customHeight="1">
      <c r="A225" t="s">
        <v>1532</v>
      </c>
      <c r="B225" s="3" t="s">
        <v>1533</v>
      </c>
      <c r="C225" s="16" t="s">
        <v>97</v>
      </c>
      <c r="D225" s="44" t="s">
        <v>1534</v>
      </c>
      <c r="E225" s="16" t="s">
        <v>97</v>
      </c>
      <c r="F225" s="131" t="s">
        <v>1535</v>
      </c>
      <c r="I225" s="100" t="s">
        <v>342</v>
      </c>
      <c r="J225" s="16" t="s">
        <v>101</v>
      </c>
      <c r="K225" s="16"/>
      <c r="L225" s="3" t="s">
        <v>102</v>
      </c>
      <c r="M225" s="3" t="s">
        <v>103</v>
      </c>
      <c r="N225" s="3" t="s">
        <v>104</v>
      </c>
      <c r="O225" s="16" t="s">
        <v>105</v>
      </c>
      <c r="P225" s="3" t="s">
        <v>1536</v>
      </c>
      <c r="Q225" s="3" t="s">
        <v>1536</v>
      </c>
      <c r="R225" s="3" t="s">
        <v>1536</v>
      </c>
      <c r="S225" t="s">
        <v>1532</v>
      </c>
      <c r="T225" s="130" t="s">
        <v>465</v>
      </c>
      <c r="U225" s="34">
        <v>12</v>
      </c>
      <c r="V225" s="39"/>
      <c r="W225" s="39"/>
      <c r="X225" s="59" t="s">
        <v>108</v>
      </c>
      <c r="Y225" s="93">
        <f>IF(AD225=0, 0, IF(OR(H225="", H225&lt;&gt;0), 1, 0))</f>
        <v>1</v>
      </c>
      <c r="Z225" s="3">
        <v>0</v>
      </c>
      <c r="AA225" s="3" t="s">
        <v>1537</v>
      </c>
      <c r="AD225" s="6">
        <f>ROUND((AG225*(1+AJ225)),2)</f>
        <v>199.94</v>
      </c>
      <c r="AE225" s="69">
        <v>227.84361787999995</v>
      </c>
      <c r="AF225" s="17">
        <f>(AE225*1)</f>
        <v>227.84361787999995</v>
      </c>
      <c r="AG225" s="6">
        <f>ROUND((AE225*AI225),2)</f>
        <v>148.1</v>
      </c>
      <c r="AH225" s="30" t="s">
        <v>110</v>
      </c>
      <c r="AI225" s="3">
        <v>0.65</v>
      </c>
      <c r="AJ225" s="18">
        <v>0.35</v>
      </c>
      <c r="AK225" s="6">
        <f>ROUND((AD225-(AD225*BG225)),2)</f>
        <v>197.94</v>
      </c>
      <c r="AL225" s="6">
        <f>ROUND((AD225-(AD225*BH225)),2)</f>
        <v>195.94</v>
      </c>
      <c r="AM225" s="6">
        <f>ROUND((AD225-(AD225*BI225)),2)</f>
        <v>193.94</v>
      </c>
      <c r="AN225" s="6">
        <f>ROUND((AD225-(AD225*BJ225)),2)</f>
        <v>193.94</v>
      </c>
      <c r="AO225" s="6">
        <f>ROUND((AD225-(AD225*BK225)),2)</f>
        <v>199.94</v>
      </c>
      <c r="BG225" s="12">
        <v>0.01</v>
      </c>
      <c r="BH225" s="12">
        <v>0.02</v>
      </c>
      <c r="BI225" s="12">
        <v>0.03</v>
      </c>
      <c r="BJ225" s="12">
        <v>0.03</v>
      </c>
      <c r="CC225" s="3" t="str">
        <f>IF(B225&lt;&gt;"",CONCATENATE(SUBSTITUTE(B225," ","-"),".jpg"),"")</f>
        <v>Allied-Moulded-AMU1648LF.jpg</v>
      </c>
      <c r="CD225" s="16" t="s">
        <v>111</v>
      </c>
      <c r="CE225" s="3"/>
      <c r="CF225" s="3"/>
      <c r="CG225" s="3" t="s">
        <v>112</v>
      </c>
      <c r="CI225" s="3" t="s">
        <v>97</v>
      </c>
      <c r="CJ225" s="3" t="s">
        <v>467</v>
      </c>
      <c r="CK225" s="3" t="s">
        <v>114</v>
      </c>
      <c r="CL225" s="3" t="s">
        <v>115</v>
      </c>
      <c r="CM225" s="3" t="s">
        <v>116</v>
      </c>
      <c r="CN225" t="s">
        <v>117</v>
      </c>
      <c r="CO225" s="3" t="s">
        <v>118</v>
      </c>
      <c r="CP225" s="3" t="s">
        <v>139</v>
      </c>
      <c r="CQ225" s="3" t="s">
        <v>120</v>
      </c>
      <c r="CR225" s="3" t="s">
        <v>140</v>
      </c>
      <c r="CS225" s="16" t="s">
        <v>122</v>
      </c>
      <c r="CT225" s="16" t="s">
        <v>242</v>
      </c>
      <c r="CU225" s="16" t="s">
        <v>1037</v>
      </c>
      <c r="CV225" s="16" t="s">
        <v>385</v>
      </c>
    </row>
    <row r="226" spans="1:100" ht="15" customHeight="1">
      <c r="A226" t="s">
        <v>1538</v>
      </c>
      <c r="B226" s="3" t="s">
        <v>1539</v>
      </c>
      <c r="C226" s="16" t="s">
        <v>97</v>
      </c>
      <c r="D226" s="44" t="s">
        <v>1540</v>
      </c>
      <c r="E226" s="16" t="s">
        <v>97</v>
      </c>
      <c r="F226" s="131" t="s">
        <v>1541</v>
      </c>
      <c r="I226" s="100" t="s">
        <v>342</v>
      </c>
      <c r="J226" s="16" t="s">
        <v>101</v>
      </c>
      <c r="K226" s="16"/>
      <c r="L226" s="3" t="s">
        <v>102</v>
      </c>
      <c r="M226" s="3" t="s">
        <v>103</v>
      </c>
      <c r="N226" s="3" t="s">
        <v>104</v>
      </c>
      <c r="O226" s="16" t="s">
        <v>105</v>
      </c>
      <c r="P226" s="3" t="s">
        <v>1542</v>
      </c>
      <c r="Q226" s="3" t="s">
        <v>1542</v>
      </c>
      <c r="R226" s="3" t="s">
        <v>1542</v>
      </c>
      <c r="S226" t="s">
        <v>1538</v>
      </c>
      <c r="T226" s="130" t="s">
        <v>465</v>
      </c>
      <c r="U226" s="34">
        <v>12</v>
      </c>
      <c r="V226" s="39"/>
      <c r="W226" s="39"/>
      <c r="X226" s="59" t="s">
        <v>108</v>
      </c>
      <c r="Y226" s="93">
        <f>IF(AD226=0, 0, IF(OR(H226="", H226&lt;&gt;0), 1, 0))</f>
        <v>1</v>
      </c>
      <c r="Z226" s="3">
        <v>0</v>
      </c>
      <c r="AA226" s="3" t="s">
        <v>1543</v>
      </c>
      <c r="AD226" s="6">
        <f>ROUND((AG226*(1+AJ226)),2)</f>
        <v>199.94</v>
      </c>
      <c r="AE226" s="69">
        <v>227.84361787999995</v>
      </c>
      <c r="AF226" s="17">
        <f>(AE226*1)</f>
        <v>227.84361787999995</v>
      </c>
      <c r="AG226" s="6">
        <f>ROUND((AE226*AI226),2)</f>
        <v>148.1</v>
      </c>
      <c r="AH226" s="30" t="s">
        <v>110</v>
      </c>
      <c r="AI226" s="3">
        <v>0.65</v>
      </c>
      <c r="AJ226" s="18">
        <v>0.35</v>
      </c>
      <c r="AK226" s="6">
        <f>ROUND((AD226-(AD226*BG226)),2)</f>
        <v>197.94</v>
      </c>
      <c r="AL226" s="6">
        <f>ROUND((AD226-(AD226*BH226)),2)</f>
        <v>195.94</v>
      </c>
      <c r="AM226" s="6">
        <f>ROUND((AD226-(AD226*BI226)),2)</f>
        <v>193.94</v>
      </c>
      <c r="AN226" s="6">
        <f>ROUND((AD226-(AD226*BJ226)),2)</f>
        <v>193.94</v>
      </c>
      <c r="AO226" s="6">
        <f>ROUND((AD226-(AD226*BK226)),2)</f>
        <v>199.94</v>
      </c>
      <c r="BG226" s="12">
        <v>0.01</v>
      </c>
      <c r="BH226" s="12">
        <v>0.02</v>
      </c>
      <c r="BI226" s="12">
        <v>0.03</v>
      </c>
      <c r="BJ226" s="12">
        <v>0.03</v>
      </c>
      <c r="CC226" s="3" t="str">
        <f>IF(B226&lt;&gt;"",CONCATENATE(SUBSTITUTE(B226," ","-"),".jpg"),"")</f>
        <v>Allied-Moulded-AMU1648TF.jpg</v>
      </c>
      <c r="CD226" s="16" t="s">
        <v>111</v>
      </c>
      <c r="CE226" s="3"/>
      <c r="CF226" s="3"/>
      <c r="CG226" s="3" t="s">
        <v>112</v>
      </c>
      <c r="CI226" s="3" t="s">
        <v>97</v>
      </c>
      <c r="CJ226" s="3" t="s">
        <v>467</v>
      </c>
      <c r="CK226" s="3" t="s">
        <v>114</v>
      </c>
      <c r="CL226" s="3" t="s">
        <v>115</v>
      </c>
      <c r="CM226" s="3" t="s">
        <v>116</v>
      </c>
      <c r="CN226" s="16" t="s">
        <v>132</v>
      </c>
      <c r="CO226" s="3" t="s">
        <v>118</v>
      </c>
      <c r="CP226" s="3" t="s">
        <v>139</v>
      </c>
      <c r="CQ226" s="3" t="s">
        <v>120</v>
      </c>
      <c r="CR226" s="3" t="s">
        <v>140</v>
      </c>
      <c r="CS226" s="16" t="s">
        <v>122</v>
      </c>
      <c r="CT226" s="16" t="s">
        <v>242</v>
      </c>
      <c r="CU226" s="16" t="s">
        <v>1037</v>
      </c>
      <c r="CV226" s="16" t="s">
        <v>385</v>
      </c>
    </row>
    <row r="227" spans="1:100" ht="15" customHeight="1">
      <c r="A227" t="s">
        <v>1544</v>
      </c>
      <c r="B227" s="3" t="s">
        <v>1545</v>
      </c>
      <c r="C227" s="16" t="s">
        <v>97</v>
      </c>
      <c r="D227" s="43" t="s">
        <v>1546</v>
      </c>
      <c r="E227" s="16" t="s">
        <v>97</v>
      </c>
      <c r="F227" s="131" t="s">
        <v>1547</v>
      </c>
      <c r="I227" s="100" t="s">
        <v>342</v>
      </c>
      <c r="J227" s="16" t="s">
        <v>101</v>
      </c>
      <c r="K227" s="16"/>
      <c r="L227" s="3" t="s">
        <v>102</v>
      </c>
      <c r="M227" s="3" t="s">
        <v>103</v>
      </c>
      <c r="N227" s="3" t="s">
        <v>104</v>
      </c>
      <c r="O227" s="16" t="s">
        <v>105</v>
      </c>
      <c r="P227" s="3" t="s">
        <v>1548</v>
      </c>
      <c r="Q227" s="3" t="s">
        <v>1548</v>
      </c>
      <c r="R227" s="3" t="s">
        <v>1548</v>
      </c>
      <c r="S227" t="s">
        <v>1544</v>
      </c>
      <c r="T227" s="130" t="s">
        <v>465</v>
      </c>
      <c r="U227" s="35">
        <v>12</v>
      </c>
      <c r="V227" s="40"/>
      <c r="W227" s="40"/>
      <c r="X227" s="59" t="s">
        <v>108</v>
      </c>
      <c r="Y227" s="93">
        <f>IF(AD227=0, 0, IF(OR(H227="", H227&lt;&gt;0), 1, 0))</f>
        <v>1</v>
      </c>
      <c r="Z227" s="3">
        <v>0</v>
      </c>
      <c r="AA227" s="3" t="s">
        <v>1549</v>
      </c>
      <c r="AD227" s="6">
        <f>ROUND((AG227*(1+AJ227)),2)</f>
        <v>319.17</v>
      </c>
      <c r="AE227" s="69">
        <v>363.72625664000003</v>
      </c>
      <c r="AF227" s="17">
        <f>(AE227*1)</f>
        <v>363.72625664000003</v>
      </c>
      <c r="AG227" s="6">
        <f>ROUND((AE227*AI227),2)</f>
        <v>236.42</v>
      </c>
      <c r="AH227" s="30" t="s">
        <v>110</v>
      </c>
      <c r="AI227" s="3">
        <v>0.65</v>
      </c>
      <c r="AJ227" s="18">
        <v>0.35</v>
      </c>
      <c r="AK227" s="6">
        <f>ROUND((AD227-(AD227*BG227)),2)</f>
        <v>315.98</v>
      </c>
      <c r="AL227" s="6">
        <f>ROUND((AD227-(AD227*BH227)),2)</f>
        <v>312.79000000000002</v>
      </c>
      <c r="AM227" s="6">
        <f>ROUND((AD227-(AD227*BI227)),2)</f>
        <v>309.58999999999997</v>
      </c>
      <c r="AN227" s="6">
        <f>ROUND((AD227-(AD227*BJ227)),2)</f>
        <v>309.58999999999997</v>
      </c>
      <c r="AO227" s="6">
        <f>ROUND((AD227-(AD227*BK227)),2)</f>
        <v>319.17</v>
      </c>
      <c r="BG227" s="12">
        <v>0.01</v>
      </c>
      <c r="BH227" s="12">
        <v>0.02</v>
      </c>
      <c r="BI227" s="12">
        <v>0.03</v>
      </c>
      <c r="BJ227" s="12">
        <v>0.03</v>
      </c>
      <c r="CC227" s="3" t="str">
        <f>IF(B227&lt;&gt;"",CONCATENATE(SUBSTITUTE(B227," ","-"),".jpg"),"")</f>
        <v>Allied-Moulded-AMU1648LWF.jpg</v>
      </c>
      <c r="CD227" s="16" t="s">
        <v>111</v>
      </c>
      <c r="CE227" s="3"/>
      <c r="CF227" s="3"/>
      <c r="CG227" s="3" t="s">
        <v>112</v>
      </c>
      <c r="CI227" s="3" t="s">
        <v>97</v>
      </c>
      <c r="CJ227" s="3" t="s">
        <v>467</v>
      </c>
      <c r="CK227" s="3" t="s">
        <v>114</v>
      </c>
      <c r="CL227" s="3" t="s">
        <v>115</v>
      </c>
      <c r="CM227" s="3" t="s">
        <v>116</v>
      </c>
      <c r="CN227" t="s">
        <v>117</v>
      </c>
      <c r="CO227" s="3" t="s">
        <v>118</v>
      </c>
      <c r="CP227" s="3" t="s">
        <v>139</v>
      </c>
      <c r="CQ227" s="3" t="s">
        <v>120</v>
      </c>
      <c r="CR227" s="3" t="s">
        <v>140</v>
      </c>
      <c r="CS227" s="16" t="s">
        <v>122</v>
      </c>
      <c r="CT227" s="16" t="s">
        <v>242</v>
      </c>
      <c r="CU227" s="16" t="s">
        <v>1037</v>
      </c>
      <c r="CV227" s="16" t="s">
        <v>385</v>
      </c>
    </row>
    <row r="228" spans="1:100" ht="15" customHeight="1">
      <c r="A228" t="s">
        <v>1550</v>
      </c>
      <c r="B228" s="3" t="s">
        <v>1551</v>
      </c>
      <c r="C228" s="16" t="s">
        <v>97</v>
      </c>
      <c r="D228" s="44" t="s">
        <v>1552</v>
      </c>
      <c r="E228" s="16" t="s">
        <v>97</v>
      </c>
      <c r="F228" s="131" t="s">
        <v>1553</v>
      </c>
      <c r="I228" s="100" t="s">
        <v>342</v>
      </c>
      <c r="J228" s="16" t="s">
        <v>101</v>
      </c>
      <c r="K228" s="16"/>
      <c r="L228" s="3" t="s">
        <v>102</v>
      </c>
      <c r="M228" s="3" t="s">
        <v>103</v>
      </c>
      <c r="N228" s="3" t="s">
        <v>104</v>
      </c>
      <c r="O228" s="16" t="s">
        <v>105</v>
      </c>
      <c r="P228" s="3" t="s">
        <v>1554</v>
      </c>
      <c r="Q228" s="3" t="s">
        <v>1554</v>
      </c>
      <c r="R228" s="3" t="s">
        <v>1554</v>
      </c>
      <c r="S228" t="s">
        <v>1550</v>
      </c>
      <c r="T228" s="130" t="s">
        <v>465</v>
      </c>
      <c r="U228" s="34">
        <v>12</v>
      </c>
      <c r="V228" s="39"/>
      <c r="W228" s="39"/>
      <c r="X228" s="59" t="s">
        <v>108</v>
      </c>
      <c r="Y228" s="93">
        <f>IF(AD228=0, 0, IF(OR(H228="", H228&lt;&gt;0), 1, 0))</f>
        <v>1</v>
      </c>
      <c r="Z228" s="3">
        <v>0</v>
      </c>
      <c r="AA228" s="3" t="s">
        <v>1555</v>
      </c>
      <c r="AD228" s="6">
        <f>ROUND((AG228*(1+AJ228)),2)</f>
        <v>310.55</v>
      </c>
      <c r="AE228" s="69">
        <v>353.90723162</v>
      </c>
      <c r="AF228" s="17">
        <f>(AE228*1)</f>
        <v>353.90723162</v>
      </c>
      <c r="AG228" s="6">
        <f>ROUND((AE228*AI228),2)</f>
        <v>230.04</v>
      </c>
      <c r="AH228" s="30" t="s">
        <v>110</v>
      </c>
      <c r="AI228" s="3">
        <v>0.65</v>
      </c>
      <c r="AJ228" s="18">
        <v>0.35</v>
      </c>
      <c r="AK228" s="6">
        <f>ROUND((AD228-(AD228*BG228)),2)</f>
        <v>307.44</v>
      </c>
      <c r="AL228" s="6">
        <f>ROUND((AD228-(AD228*BH228)),2)</f>
        <v>304.33999999999997</v>
      </c>
      <c r="AM228" s="6">
        <f>ROUND((AD228-(AD228*BI228)),2)</f>
        <v>301.23</v>
      </c>
      <c r="AN228" s="6">
        <f>ROUND((AD228-(AD228*BJ228)),2)</f>
        <v>301.23</v>
      </c>
      <c r="AO228" s="6">
        <f>ROUND((AD228-(AD228*BK228)),2)</f>
        <v>310.55</v>
      </c>
      <c r="BG228" s="12">
        <v>0.01</v>
      </c>
      <c r="BH228" s="12">
        <v>0.02</v>
      </c>
      <c r="BI228" s="12">
        <v>0.03</v>
      </c>
      <c r="BJ228" s="12">
        <v>0.03</v>
      </c>
      <c r="CC228" s="3" t="str">
        <f>IF(B228&lt;&gt;"",CONCATENATE(SUBSTITUTE(B228," ","-"),".jpg"),"")</f>
        <v>Allied-Moulded-AMU1648TW.jpg</v>
      </c>
      <c r="CD228" s="16" t="s">
        <v>111</v>
      </c>
      <c r="CE228" s="3"/>
      <c r="CF228" s="3"/>
      <c r="CG228" s="3" t="s">
        <v>112</v>
      </c>
      <c r="CI228" s="3" t="s">
        <v>97</v>
      </c>
      <c r="CJ228" s="3" t="s">
        <v>467</v>
      </c>
      <c r="CK228" s="3" t="s">
        <v>114</v>
      </c>
      <c r="CL228" s="3" t="s">
        <v>115</v>
      </c>
      <c r="CM228" s="3" t="s">
        <v>116</v>
      </c>
      <c r="CN228" s="16" t="s">
        <v>132</v>
      </c>
      <c r="CO228" s="3" t="s">
        <v>118</v>
      </c>
      <c r="CP228" s="3" t="s">
        <v>139</v>
      </c>
      <c r="CQ228" s="3" t="s">
        <v>120</v>
      </c>
      <c r="CR228" s="16" t="s">
        <v>121</v>
      </c>
      <c r="CS228" s="16" t="s">
        <v>122</v>
      </c>
      <c r="CT228" s="16" t="s">
        <v>242</v>
      </c>
      <c r="CU228" s="16" t="s">
        <v>1037</v>
      </c>
      <c r="CV228" s="16" t="s">
        <v>385</v>
      </c>
    </row>
    <row r="229" spans="1:100" ht="15" customHeight="1">
      <c r="A229" t="s">
        <v>1556</v>
      </c>
      <c r="B229" s="3" t="s">
        <v>1557</v>
      </c>
      <c r="C229" s="16" t="s">
        <v>97</v>
      </c>
      <c r="D229" s="43" t="s">
        <v>1558</v>
      </c>
      <c r="E229" s="16" t="s">
        <v>97</v>
      </c>
      <c r="F229" s="131" t="s">
        <v>1559</v>
      </c>
      <c r="I229" s="100" t="s">
        <v>342</v>
      </c>
      <c r="J229" s="16" t="s">
        <v>101</v>
      </c>
      <c r="K229" s="16"/>
      <c r="L229" s="3" t="s">
        <v>102</v>
      </c>
      <c r="M229" s="3" t="s">
        <v>103</v>
      </c>
      <c r="N229" s="3" t="s">
        <v>104</v>
      </c>
      <c r="O229" s="16" t="s">
        <v>105</v>
      </c>
      <c r="P229" s="3" t="s">
        <v>1560</v>
      </c>
      <c r="Q229" s="3" t="s">
        <v>1560</v>
      </c>
      <c r="R229" s="3" t="s">
        <v>1560</v>
      </c>
      <c r="S229" t="s">
        <v>1556</v>
      </c>
      <c r="T229" s="130" t="s">
        <v>465</v>
      </c>
      <c r="U229" s="35">
        <v>12</v>
      </c>
      <c r="V229" s="40"/>
      <c r="W229" s="40"/>
      <c r="X229" s="59" t="s">
        <v>108</v>
      </c>
      <c r="Y229" s="93">
        <f>IF(AD229=0, 0, IF(OR(H229="", H229&lt;&gt;0), 1, 0))</f>
        <v>1</v>
      </c>
      <c r="Z229" s="3">
        <v>0</v>
      </c>
      <c r="AA229" s="3" t="s">
        <v>1561</v>
      </c>
      <c r="AD229" s="6">
        <f>ROUND((AG229*(1+AJ229)),2)</f>
        <v>319.17</v>
      </c>
      <c r="AE229" s="69">
        <v>363.72625664000003</v>
      </c>
      <c r="AF229" s="17">
        <f>(AE229*1)</f>
        <v>363.72625664000003</v>
      </c>
      <c r="AG229" s="6">
        <f>ROUND((AE229*AI229),2)</f>
        <v>236.42</v>
      </c>
      <c r="AH229" s="30" t="s">
        <v>110</v>
      </c>
      <c r="AI229" s="3">
        <v>0.65</v>
      </c>
      <c r="AJ229" s="18">
        <v>0.35</v>
      </c>
      <c r="AK229" s="6">
        <f>ROUND((AD229-(AD229*BG229)),2)</f>
        <v>315.98</v>
      </c>
      <c r="AL229" s="6">
        <f>ROUND((AD229-(AD229*BH229)),2)</f>
        <v>312.79000000000002</v>
      </c>
      <c r="AM229" s="6">
        <f>ROUND((AD229-(AD229*BI229)),2)</f>
        <v>309.58999999999997</v>
      </c>
      <c r="AN229" s="6">
        <f>ROUND((AD229-(AD229*BJ229)),2)</f>
        <v>309.58999999999997</v>
      </c>
      <c r="AO229" s="6">
        <f>ROUND((AD229-(AD229*BK229)),2)</f>
        <v>319.17</v>
      </c>
      <c r="BG229" s="12">
        <v>0.01</v>
      </c>
      <c r="BH229" s="12">
        <v>0.02</v>
      </c>
      <c r="BI229" s="12">
        <v>0.03</v>
      </c>
      <c r="BJ229" s="12">
        <v>0.03</v>
      </c>
      <c r="CC229" s="3" t="str">
        <f>IF(B229&lt;&gt;"",CONCATENATE(SUBSTITUTE(B229," ","-"),".jpg"),"")</f>
        <v>Allied-Moulded-AMU1648TWF.jpg</v>
      </c>
      <c r="CD229" s="16" t="s">
        <v>111</v>
      </c>
      <c r="CE229" s="3"/>
      <c r="CF229" s="3"/>
      <c r="CG229" s="3" t="s">
        <v>112</v>
      </c>
      <c r="CI229" s="3" t="s">
        <v>97</v>
      </c>
      <c r="CJ229" s="3" t="s">
        <v>467</v>
      </c>
      <c r="CK229" s="3" t="s">
        <v>114</v>
      </c>
      <c r="CL229" s="3" t="s">
        <v>115</v>
      </c>
      <c r="CM229" s="3" t="s">
        <v>116</v>
      </c>
      <c r="CN229" s="16" t="s">
        <v>132</v>
      </c>
      <c r="CO229" s="3" t="s">
        <v>118</v>
      </c>
      <c r="CP229" s="3" t="s">
        <v>139</v>
      </c>
      <c r="CQ229" s="3" t="s">
        <v>120</v>
      </c>
      <c r="CR229" s="16" t="s">
        <v>121</v>
      </c>
      <c r="CS229" s="16" t="s">
        <v>122</v>
      </c>
      <c r="CT229" s="16" t="s">
        <v>242</v>
      </c>
      <c r="CU229" s="16" t="s">
        <v>1037</v>
      </c>
      <c r="CV229" s="16" t="s">
        <v>385</v>
      </c>
    </row>
    <row r="230" spans="1:100" ht="15" customHeight="1">
      <c r="A230" t="s">
        <v>1562</v>
      </c>
      <c r="B230" s="3" t="s">
        <v>1563</v>
      </c>
      <c r="C230" s="16" t="s">
        <v>97</v>
      </c>
      <c r="D230" s="44" t="s">
        <v>1564</v>
      </c>
      <c r="E230" s="16" t="s">
        <v>97</v>
      </c>
      <c r="F230" s="131" t="s">
        <v>1565</v>
      </c>
      <c r="I230" s="100" t="s">
        <v>342</v>
      </c>
      <c r="J230" s="16" t="s">
        <v>101</v>
      </c>
      <c r="K230" s="16"/>
      <c r="L230" s="3" t="s">
        <v>102</v>
      </c>
      <c r="M230" s="3" t="s">
        <v>103</v>
      </c>
      <c r="N230" s="3" t="s">
        <v>104</v>
      </c>
      <c r="O230" s="16" t="s">
        <v>105</v>
      </c>
      <c r="P230" s="3" t="s">
        <v>1566</v>
      </c>
      <c r="Q230" s="3" t="s">
        <v>1566</v>
      </c>
      <c r="R230" s="3" t="s">
        <v>1566</v>
      </c>
      <c r="S230" t="s">
        <v>1562</v>
      </c>
      <c r="T230" s="130" t="s">
        <v>465</v>
      </c>
      <c r="U230" s="34">
        <v>12</v>
      </c>
      <c r="V230" s="39"/>
      <c r="W230" s="39"/>
      <c r="X230" s="59" t="s">
        <v>108</v>
      </c>
      <c r="Y230" s="93">
        <f>IF(AD230=0, 0, IF(OR(H230="", H230&lt;&gt;0), 1, 0))</f>
        <v>1</v>
      </c>
      <c r="Z230" s="3">
        <v>0</v>
      </c>
      <c r="AA230" s="3" t="s">
        <v>1567</v>
      </c>
      <c r="AD230" s="6">
        <f>ROUND((AG230*(1+AJ230)),2)</f>
        <v>221.31</v>
      </c>
      <c r="AE230" s="69">
        <v>252.19829953999999</v>
      </c>
      <c r="AF230" s="17">
        <f>(AE230*1)</f>
        <v>252.19829953999999</v>
      </c>
      <c r="AG230" s="6">
        <f>ROUND((AE230*AI230),2)</f>
        <v>163.93</v>
      </c>
      <c r="AH230" s="30" t="s">
        <v>110</v>
      </c>
      <c r="AI230" s="3">
        <v>0.65</v>
      </c>
      <c r="AJ230" s="18">
        <v>0.35</v>
      </c>
      <c r="AK230" s="6">
        <f>ROUND((AD230-(AD230*BG230)),2)</f>
        <v>219.1</v>
      </c>
      <c r="AL230" s="6">
        <f>ROUND((AD230-(AD230*BH230)),2)</f>
        <v>216.88</v>
      </c>
      <c r="AM230" s="6">
        <f>ROUND((AD230-(AD230*BI230)),2)</f>
        <v>214.67</v>
      </c>
      <c r="AN230" s="6">
        <f>ROUND((AD230-(AD230*BJ230)),2)</f>
        <v>214.67</v>
      </c>
      <c r="AO230" s="6">
        <f>ROUND((AD230-(AD230*BK230)),2)</f>
        <v>221.31</v>
      </c>
      <c r="BG230" s="12">
        <v>0.01</v>
      </c>
      <c r="BH230" s="12">
        <v>0.02</v>
      </c>
      <c r="BI230" s="12">
        <v>0.03</v>
      </c>
      <c r="BJ230" s="12">
        <v>0.03</v>
      </c>
      <c r="CC230" s="3" t="str">
        <f>IF(B230&lt;&gt;"",CONCATENATE(SUBSTITUTE(B230," ","-"),".jpg"),"")</f>
        <v>Allied-Moulded-AMU1648CCTF.jpg</v>
      </c>
      <c r="CD230" s="16" t="s">
        <v>111</v>
      </c>
      <c r="CE230" s="3"/>
      <c r="CF230" s="3"/>
      <c r="CG230" s="3" t="s">
        <v>112</v>
      </c>
      <c r="CI230" s="3" t="s">
        <v>97</v>
      </c>
      <c r="CJ230" s="3" t="s">
        <v>467</v>
      </c>
      <c r="CK230" s="3" t="s">
        <v>114</v>
      </c>
      <c r="CL230" s="3" t="s">
        <v>115</v>
      </c>
      <c r="CM230" s="3" t="s">
        <v>116</v>
      </c>
      <c r="CN230" s="16" t="s">
        <v>132</v>
      </c>
      <c r="CO230" s="3" t="s">
        <v>118</v>
      </c>
      <c r="CP230" s="3" t="s">
        <v>139</v>
      </c>
      <c r="CQ230" s="3" t="s">
        <v>120</v>
      </c>
      <c r="CR230" s="16" t="s">
        <v>121</v>
      </c>
      <c r="CS230" s="16" t="s">
        <v>122</v>
      </c>
      <c r="CT230" s="16" t="s">
        <v>242</v>
      </c>
      <c r="CU230" s="16" t="s">
        <v>1037</v>
      </c>
      <c r="CV230" s="16" t="s">
        <v>385</v>
      </c>
    </row>
    <row r="231" spans="1:100" ht="15" customHeight="1">
      <c r="A231" t="s">
        <v>1568</v>
      </c>
      <c r="B231" s="3" t="s">
        <v>1569</v>
      </c>
      <c r="C231" s="16" t="s">
        <v>97</v>
      </c>
      <c r="D231" s="43" t="s">
        <v>1570</v>
      </c>
      <c r="E231" s="16" t="s">
        <v>97</v>
      </c>
      <c r="F231" s="131" t="s">
        <v>1571</v>
      </c>
      <c r="I231" s="100" t="s">
        <v>342</v>
      </c>
      <c r="J231" s="16" t="s">
        <v>101</v>
      </c>
      <c r="K231" s="16"/>
      <c r="L231" s="3" t="s">
        <v>102</v>
      </c>
      <c r="M231" s="3" t="s">
        <v>103</v>
      </c>
      <c r="N231" s="3" t="s">
        <v>104</v>
      </c>
      <c r="O231" s="16" t="s">
        <v>478</v>
      </c>
      <c r="P231" s="3" t="s">
        <v>1572</v>
      </c>
      <c r="Q231" s="3" t="s">
        <v>1572</v>
      </c>
      <c r="R231" s="3" t="s">
        <v>1572</v>
      </c>
      <c r="S231" t="s">
        <v>1568</v>
      </c>
      <c r="T231" s="130" t="s">
        <v>465</v>
      </c>
      <c r="U231" s="35">
        <v>12</v>
      </c>
      <c r="V231" s="40"/>
      <c r="W231" s="40"/>
      <c r="X231" s="59" t="s">
        <v>108</v>
      </c>
      <c r="Y231" s="93">
        <f>IF(AD231=0, 0, IF(OR(H231="", H231&lt;&gt;0), 1, 0))</f>
        <v>1</v>
      </c>
      <c r="Z231" s="3">
        <v>0</v>
      </c>
      <c r="AA231" s="3" t="s">
        <v>1573</v>
      </c>
      <c r="AD231" s="6">
        <f>ROUND((AG231*(1+AJ231)),2)</f>
        <v>173.15</v>
      </c>
      <c r="AE231" s="69">
        <v>197.31614805000001</v>
      </c>
      <c r="AF231" s="17">
        <f>(AE231*1)</f>
        <v>197.31614805000001</v>
      </c>
      <c r="AG231" s="6">
        <f>ROUND((AE231*AI231),2)</f>
        <v>128.26</v>
      </c>
      <c r="AH231" s="30" t="s">
        <v>110</v>
      </c>
      <c r="AI231" s="3">
        <v>0.65</v>
      </c>
      <c r="AJ231" s="18">
        <v>0.35</v>
      </c>
      <c r="AK231" s="6">
        <f>ROUND((AD231-(AD231*BG231)),2)</f>
        <v>171.42</v>
      </c>
      <c r="AL231" s="6">
        <f>ROUND((AD231-(AD231*BH231)),2)</f>
        <v>169.69</v>
      </c>
      <c r="AM231" s="6">
        <f>ROUND((AD231-(AD231*BI231)),2)</f>
        <v>167.96</v>
      </c>
      <c r="AN231" s="6">
        <f>ROUND((AD231-(AD231*BJ231)),2)</f>
        <v>167.96</v>
      </c>
      <c r="AO231" s="6">
        <f>ROUND((AD231-(AD231*BK231)),2)</f>
        <v>173.15</v>
      </c>
      <c r="BG231" s="12">
        <v>0.01</v>
      </c>
      <c r="BH231" s="12">
        <v>0.02</v>
      </c>
      <c r="BI231" s="12">
        <v>0.03</v>
      </c>
      <c r="BJ231" s="12">
        <v>0.03</v>
      </c>
      <c r="CC231" s="3" t="str">
        <f>IF(B231&lt;&gt;"",CONCATENATE(SUBSTITUTE(B231," ","-"),".jpg"),"")</f>
        <v>Allied-Moulded-AMP1860CCNL.jpg</v>
      </c>
      <c r="CD231" s="16" t="s">
        <v>111</v>
      </c>
      <c r="CE231" s="3"/>
      <c r="CF231" s="3"/>
      <c r="CG231" s="3" t="s">
        <v>112</v>
      </c>
      <c r="CI231" s="3" t="s">
        <v>97</v>
      </c>
      <c r="CJ231" s="3" t="s">
        <v>481</v>
      </c>
      <c r="CK231" s="3" t="s">
        <v>114</v>
      </c>
      <c r="CL231" s="3" t="s">
        <v>115</v>
      </c>
      <c r="CM231" s="3" t="s">
        <v>116</v>
      </c>
      <c r="CN231" t="s">
        <v>117</v>
      </c>
      <c r="CO231" s="3" t="s">
        <v>482</v>
      </c>
      <c r="CP231" s="3" t="s">
        <v>139</v>
      </c>
      <c r="CQ231" s="3" t="s">
        <v>120</v>
      </c>
      <c r="CR231" s="16" t="s">
        <v>121</v>
      </c>
      <c r="CS231" s="16" t="s">
        <v>122</v>
      </c>
      <c r="CT231" s="16" t="s">
        <v>242</v>
      </c>
      <c r="CU231" s="16" t="s">
        <v>1037</v>
      </c>
      <c r="CV231" s="16" t="s">
        <v>385</v>
      </c>
    </row>
    <row r="232" spans="1:100" ht="15" customHeight="1">
      <c r="A232" t="s">
        <v>1574</v>
      </c>
      <c r="B232" s="3" t="s">
        <v>1575</v>
      </c>
      <c r="C232" s="16" t="s">
        <v>97</v>
      </c>
      <c r="D232" s="43" t="s">
        <v>1576</v>
      </c>
      <c r="E232" s="16" t="s">
        <v>97</v>
      </c>
      <c r="F232" s="131" t="s">
        <v>1577</v>
      </c>
      <c r="I232" s="100" t="s">
        <v>342</v>
      </c>
      <c r="J232" s="16" t="s">
        <v>101</v>
      </c>
      <c r="K232" s="16"/>
      <c r="L232" s="3" t="s">
        <v>102</v>
      </c>
      <c r="M232" s="3" t="s">
        <v>103</v>
      </c>
      <c r="N232" s="3" t="s">
        <v>104</v>
      </c>
      <c r="O232" s="16" t="s">
        <v>105</v>
      </c>
      <c r="P232" s="3" t="s">
        <v>1578</v>
      </c>
      <c r="Q232" s="3" t="s">
        <v>1578</v>
      </c>
      <c r="R232" s="3" t="s">
        <v>1578</v>
      </c>
      <c r="S232" t="s">
        <v>1574</v>
      </c>
      <c r="T232" s="130" t="s">
        <v>465</v>
      </c>
      <c r="U232" s="35">
        <v>11</v>
      </c>
      <c r="V232" s="40"/>
      <c r="W232" s="40"/>
      <c r="X232" s="59" t="s">
        <v>108</v>
      </c>
      <c r="Y232" s="93">
        <f>IF(AD232=0, 0, IF(OR(H232="", H232&lt;&gt;0), 1, 0))</f>
        <v>1</v>
      </c>
      <c r="Z232" s="3">
        <v>0</v>
      </c>
      <c r="AA232" s="3" t="s">
        <v>1579</v>
      </c>
      <c r="AD232" s="6">
        <f>ROUND((AG232*(1+AJ232)),2)</f>
        <v>161.91999999999999</v>
      </c>
      <c r="AE232" s="69">
        <v>184.52024815999997</v>
      </c>
      <c r="AF232" s="17">
        <f>(AE232*1)</f>
        <v>184.52024815999997</v>
      </c>
      <c r="AG232" s="6">
        <f>ROUND((AE232*AI232),2)</f>
        <v>119.94</v>
      </c>
      <c r="AH232" s="30" t="s">
        <v>110</v>
      </c>
      <c r="AI232" s="3">
        <v>0.65</v>
      </c>
      <c r="AJ232" s="18">
        <v>0.35</v>
      </c>
      <c r="AK232" s="6">
        <f>ROUND((AD232-(AD232*BG232)),2)</f>
        <v>160.30000000000001</v>
      </c>
      <c r="AL232" s="6">
        <f>ROUND((AD232-(AD232*BH232)),2)</f>
        <v>158.68</v>
      </c>
      <c r="AM232" s="6">
        <f>ROUND((AD232-(AD232*BI232)),2)</f>
        <v>157.06</v>
      </c>
      <c r="AN232" s="6">
        <f>ROUND((AD232-(AD232*BJ232)),2)</f>
        <v>157.06</v>
      </c>
      <c r="AO232" s="6">
        <f>ROUND((AD232-(AD232*BK232)),2)</f>
        <v>161.91999999999999</v>
      </c>
      <c r="BG232" s="12">
        <v>0.01</v>
      </c>
      <c r="BH232" s="12">
        <v>0.02</v>
      </c>
      <c r="BI232" s="12">
        <v>0.03</v>
      </c>
      <c r="BJ232" s="12">
        <v>0.03</v>
      </c>
      <c r="CC232" s="3" t="str">
        <f>IF(B232&lt;&gt;"",CONCATENATE(SUBSTITUTE(B232," ","-"),".jpg"),"")</f>
        <v>Allied-Moulded-AMU1648.jpg</v>
      </c>
      <c r="CD232" s="16" t="s">
        <v>111</v>
      </c>
      <c r="CE232" s="3"/>
      <c r="CF232" s="3"/>
      <c r="CG232" s="3" t="s">
        <v>112</v>
      </c>
      <c r="CI232" s="3" t="s">
        <v>97</v>
      </c>
      <c r="CJ232" s="3" t="s">
        <v>467</v>
      </c>
      <c r="CK232" s="3" t="s">
        <v>114</v>
      </c>
      <c r="CL232" s="3" t="s">
        <v>115</v>
      </c>
      <c r="CM232" s="16"/>
      <c r="CN232" s="16" t="s">
        <v>349</v>
      </c>
      <c r="CO232" s="3" t="s">
        <v>118</v>
      </c>
      <c r="CP232" s="3" t="s">
        <v>139</v>
      </c>
      <c r="CQ232" s="3" t="s">
        <v>120</v>
      </c>
      <c r="CR232" s="3" t="s">
        <v>140</v>
      </c>
      <c r="CS232" s="3" t="s">
        <v>384</v>
      </c>
      <c r="CT232" s="16" t="s">
        <v>242</v>
      </c>
      <c r="CU232" s="16" t="s">
        <v>1037</v>
      </c>
      <c r="CV232" s="16" t="s">
        <v>385</v>
      </c>
    </row>
    <row r="233" spans="1:100" ht="15" customHeight="1">
      <c r="A233" t="s">
        <v>1580</v>
      </c>
      <c r="B233" s="3" t="s">
        <v>1581</v>
      </c>
      <c r="C233" s="16" t="s">
        <v>97</v>
      </c>
      <c r="D233" s="39" t="s">
        <v>1582</v>
      </c>
      <c r="E233" s="16" t="s">
        <v>97</v>
      </c>
      <c r="F233" s="131" t="s">
        <v>1583</v>
      </c>
      <c r="I233" s="100" t="s">
        <v>342</v>
      </c>
      <c r="J233" s="16" t="s">
        <v>101</v>
      </c>
      <c r="K233" s="16"/>
      <c r="L233" s="3" t="s">
        <v>102</v>
      </c>
      <c r="M233" s="3" t="s">
        <v>103</v>
      </c>
      <c r="N233" s="3" t="s">
        <v>104</v>
      </c>
      <c r="O233" s="16" t="s">
        <v>105</v>
      </c>
      <c r="P233" s="3" t="s">
        <v>1584</v>
      </c>
      <c r="Q233" s="3" t="s">
        <v>1584</v>
      </c>
      <c r="R233" s="3" t="s">
        <v>1584</v>
      </c>
      <c r="S233" t="s">
        <v>1580</v>
      </c>
      <c r="T233" s="130" t="s">
        <v>465</v>
      </c>
      <c r="U233" s="39">
        <v>11</v>
      </c>
      <c r="V233" s="39"/>
      <c r="W233" s="39"/>
      <c r="X233" s="59" t="s">
        <v>108</v>
      </c>
      <c r="Y233" s="93">
        <f>IF(AD233=0, 0, IF(OR(H233="", H233&lt;&gt;0), 1, 0))</f>
        <v>1</v>
      </c>
      <c r="Z233" s="3">
        <v>0</v>
      </c>
      <c r="AA233" s="3" t="s">
        <v>1585</v>
      </c>
      <c r="AD233" s="6">
        <f>ROUND((AG233*(1+AJ233)),2)</f>
        <v>166.32</v>
      </c>
      <c r="AE233" s="74">
        <v>189.53534185000001</v>
      </c>
      <c r="AF233" s="17">
        <f>(AE233*1)</f>
        <v>189.53534185000001</v>
      </c>
      <c r="AG233" s="6">
        <f>ROUND((AE233*AI233),2)</f>
        <v>123.2</v>
      </c>
      <c r="AH233" s="30" t="s">
        <v>110</v>
      </c>
      <c r="AI233" s="3">
        <v>0.65</v>
      </c>
      <c r="AJ233" s="18">
        <v>0.35</v>
      </c>
      <c r="AK233" s="6">
        <f>ROUND((AD233-(AD233*BG233)),2)</f>
        <v>164.66</v>
      </c>
      <c r="AL233" s="6">
        <f>ROUND((AD233-(AD233*BH233)),2)</f>
        <v>162.99</v>
      </c>
      <c r="AM233" s="6">
        <f>ROUND((AD233-(AD233*BI233)),2)</f>
        <v>161.33000000000001</v>
      </c>
      <c r="AN233" s="6">
        <f>ROUND((AD233-(AD233*BJ233)),2)</f>
        <v>161.33000000000001</v>
      </c>
      <c r="AO233" s="6">
        <f>ROUND((AD233-(AD233*BK233)),2)</f>
        <v>166.32</v>
      </c>
      <c r="BG233" s="12">
        <v>0.01</v>
      </c>
      <c r="BH233" s="12">
        <v>0.02</v>
      </c>
      <c r="BI233" s="12">
        <v>0.03</v>
      </c>
      <c r="BJ233" s="12">
        <v>0.03</v>
      </c>
      <c r="CC233" s="3" t="str">
        <f>IF(B233&lt;&gt;"",CONCATENATE(SUBSTITUTE(B233," ","-"),".jpg"),"")</f>
        <v>Allied-Moulded-AMU1648F.jpg</v>
      </c>
      <c r="CD233" s="16" t="s">
        <v>111</v>
      </c>
      <c r="CE233" s="3"/>
      <c r="CF233" s="3"/>
      <c r="CG233" s="3" t="s">
        <v>112</v>
      </c>
      <c r="CI233" s="3" t="s">
        <v>97</v>
      </c>
      <c r="CJ233" s="3" t="s">
        <v>467</v>
      </c>
      <c r="CK233" s="3" t="s">
        <v>114</v>
      </c>
      <c r="CL233" s="3" t="s">
        <v>115</v>
      </c>
      <c r="CM233" s="16"/>
      <c r="CN233" s="16" t="s">
        <v>349</v>
      </c>
      <c r="CO233" s="3" t="s">
        <v>118</v>
      </c>
      <c r="CP233" s="3" t="s">
        <v>139</v>
      </c>
      <c r="CQ233" s="3" t="s">
        <v>120</v>
      </c>
      <c r="CR233" s="3" t="s">
        <v>140</v>
      </c>
      <c r="CS233" s="3" t="s">
        <v>384</v>
      </c>
      <c r="CT233" s="16" t="s">
        <v>242</v>
      </c>
      <c r="CU233" s="16" t="s">
        <v>1037</v>
      </c>
      <c r="CV233" s="16" t="s">
        <v>385</v>
      </c>
    </row>
    <row r="234" spans="1:100" ht="15" customHeight="1">
      <c r="A234" t="s">
        <v>1586</v>
      </c>
      <c r="B234" s="3" t="s">
        <v>1587</v>
      </c>
      <c r="C234" s="16" t="s">
        <v>97</v>
      </c>
      <c r="D234" s="42" t="s">
        <v>1588</v>
      </c>
      <c r="E234" s="16" t="s">
        <v>97</v>
      </c>
      <c r="F234" s="131" t="s">
        <v>1589</v>
      </c>
      <c r="I234" s="100" t="s">
        <v>342</v>
      </c>
      <c r="J234" s="16" t="s">
        <v>101</v>
      </c>
      <c r="K234" s="16"/>
      <c r="L234" s="3" t="s">
        <v>102</v>
      </c>
      <c r="M234" s="3" t="s">
        <v>103</v>
      </c>
      <c r="N234" s="3" t="s">
        <v>104</v>
      </c>
      <c r="O234" s="16" t="s">
        <v>105</v>
      </c>
      <c r="P234" s="3" t="s">
        <v>1590</v>
      </c>
      <c r="Q234" s="3" t="s">
        <v>1590</v>
      </c>
      <c r="R234" s="3" t="s">
        <v>1590</v>
      </c>
      <c r="S234" t="s">
        <v>1586</v>
      </c>
      <c r="T234" s="130" t="s">
        <v>465</v>
      </c>
      <c r="U234" s="36">
        <v>11</v>
      </c>
      <c r="V234" s="39"/>
      <c r="W234" s="39"/>
      <c r="X234" s="59" t="s">
        <v>108</v>
      </c>
      <c r="Y234" s="93">
        <f>IF(AD234=0, 0, IF(OR(H234="", H234&lt;&gt;0), 1, 0))</f>
        <v>1</v>
      </c>
      <c r="Z234" s="3">
        <v>0</v>
      </c>
      <c r="AA234" s="3" t="s">
        <v>1591</v>
      </c>
      <c r="AD234" s="6">
        <f>ROUND((AG234*(1+AJ234)),2)</f>
        <v>170.57</v>
      </c>
      <c r="AE234" s="68">
        <v>194.39206377000002</v>
      </c>
      <c r="AF234" s="17">
        <f>(AE234*1)</f>
        <v>194.39206377000002</v>
      </c>
      <c r="AG234" s="6">
        <f>ROUND((AE234*AI234),2)</f>
        <v>126.35</v>
      </c>
      <c r="AH234" s="30" t="s">
        <v>110</v>
      </c>
      <c r="AI234" s="3">
        <v>0.65</v>
      </c>
      <c r="AJ234" s="18">
        <v>0.35</v>
      </c>
      <c r="AK234" s="6">
        <f>ROUND((AD234-(AD234*BG234)),2)</f>
        <v>168.86</v>
      </c>
      <c r="AL234" s="6">
        <f>ROUND((AD234-(AD234*BH234)),2)</f>
        <v>167.16</v>
      </c>
      <c r="AM234" s="6">
        <f>ROUND((AD234-(AD234*BI234)),2)</f>
        <v>165.45</v>
      </c>
      <c r="AN234" s="6">
        <f>ROUND((AD234-(AD234*BJ234)),2)</f>
        <v>165.45</v>
      </c>
      <c r="AO234" s="6">
        <f>ROUND((AD234-(AD234*BK234)),2)</f>
        <v>170.57</v>
      </c>
      <c r="BG234" s="12">
        <v>0.01</v>
      </c>
      <c r="BH234" s="12">
        <v>0.02</v>
      </c>
      <c r="BI234" s="12">
        <v>0.03</v>
      </c>
      <c r="BJ234" s="12">
        <v>0.03</v>
      </c>
      <c r="CC234" s="3" t="str">
        <f>IF(B234&lt;&gt;"",CONCATENATE(SUBSTITUTE(B234," ","-"),".jpg"),"")</f>
        <v>Allied-Moulded-AMU1648H.jpg</v>
      </c>
      <c r="CD234" s="16" t="s">
        <v>111</v>
      </c>
      <c r="CE234" s="3"/>
      <c r="CF234" s="3"/>
      <c r="CG234" s="3" t="s">
        <v>112</v>
      </c>
      <c r="CI234" s="3" t="s">
        <v>97</v>
      </c>
      <c r="CJ234" s="3" t="s">
        <v>467</v>
      </c>
      <c r="CK234" s="3" t="s">
        <v>114</v>
      </c>
      <c r="CL234" s="3" t="s">
        <v>115</v>
      </c>
      <c r="CM234" s="3" t="s">
        <v>116</v>
      </c>
      <c r="CN234" s="16" t="s">
        <v>349</v>
      </c>
      <c r="CO234" s="3" t="s">
        <v>118</v>
      </c>
      <c r="CP234" s="3" t="s">
        <v>139</v>
      </c>
      <c r="CQ234" s="3" t="s">
        <v>120</v>
      </c>
      <c r="CR234" s="3" t="s">
        <v>140</v>
      </c>
      <c r="CS234" s="3" t="s">
        <v>384</v>
      </c>
      <c r="CT234" s="16" t="s">
        <v>242</v>
      </c>
      <c r="CU234" s="16" t="s">
        <v>1037</v>
      </c>
      <c r="CV234" s="16" t="s">
        <v>385</v>
      </c>
    </row>
    <row r="235" spans="1:100" ht="15" customHeight="1">
      <c r="A235" t="s">
        <v>1592</v>
      </c>
      <c r="B235" s="3" t="s">
        <v>1593</v>
      </c>
      <c r="C235" s="16" t="s">
        <v>97</v>
      </c>
      <c r="D235" s="43" t="s">
        <v>1594</v>
      </c>
      <c r="E235" s="16" t="s">
        <v>97</v>
      </c>
      <c r="F235" s="131" t="s">
        <v>1595</v>
      </c>
      <c r="I235" s="100" t="s">
        <v>342</v>
      </c>
      <c r="J235" s="16" t="s">
        <v>101</v>
      </c>
      <c r="K235" s="16"/>
      <c r="L235" s="3" t="s">
        <v>102</v>
      </c>
      <c r="M235" s="3" t="s">
        <v>103</v>
      </c>
      <c r="N235" s="3" t="s">
        <v>104</v>
      </c>
      <c r="O235" s="16" t="s">
        <v>105</v>
      </c>
      <c r="P235" s="3" t="s">
        <v>1596</v>
      </c>
      <c r="Q235" s="3" t="s">
        <v>1596</v>
      </c>
      <c r="R235" s="3" t="s">
        <v>1596</v>
      </c>
      <c r="S235" t="s">
        <v>1592</v>
      </c>
      <c r="T235" s="130" t="s">
        <v>465</v>
      </c>
      <c r="U235" s="35">
        <v>11</v>
      </c>
      <c r="V235" s="40"/>
      <c r="W235" s="40"/>
      <c r="X235" s="59" t="s">
        <v>108</v>
      </c>
      <c r="Y235" s="93">
        <f>IF(AD235=0, 0, IF(OR(H235="", H235&lt;&gt;0), 1, 0))</f>
        <v>1</v>
      </c>
      <c r="Z235" s="3">
        <v>0</v>
      </c>
      <c r="AA235" s="3" t="s">
        <v>1597</v>
      </c>
      <c r="AD235" s="6">
        <f>ROUND((AG235*(1+AJ235)),2)</f>
        <v>175.18</v>
      </c>
      <c r="AE235" s="69">
        <v>199.63591531</v>
      </c>
      <c r="AF235" s="17">
        <f>(AE235*1)</f>
        <v>199.63591531</v>
      </c>
      <c r="AG235" s="6">
        <f>ROUND((AE235*AI235),2)</f>
        <v>129.76</v>
      </c>
      <c r="AH235" s="30" t="s">
        <v>110</v>
      </c>
      <c r="AI235" s="3">
        <v>0.65</v>
      </c>
      <c r="AJ235" s="18">
        <v>0.35</v>
      </c>
      <c r="AK235" s="6">
        <f>ROUND((AD235-(AD235*BG235)),2)</f>
        <v>173.43</v>
      </c>
      <c r="AL235" s="6">
        <f>ROUND((AD235-(AD235*BH235)),2)</f>
        <v>171.68</v>
      </c>
      <c r="AM235" s="6">
        <f>ROUND((AD235-(AD235*BI235)),2)</f>
        <v>169.92</v>
      </c>
      <c r="AN235" s="6">
        <f>ROUND((AD235-(AD235*BJ235)),2)</f>
        <v>169.92</v>
      </c>
      <c r="AO235" s="6">
        <f>ROUND((AD235-(AD235*BK235)),2)</f>
        <v>175.18</v>
      </c>
      <c r="BG235" s="12">
        <v>0.01</v>
      </c>
      <c r="BH235" s="12">
        <v>0.02</v>
      </c>
      <c r="BI235" s="12">
        <v>0.03</v>
      </c>
      <c r="BJ235" s="12">
        <v>0.03</v>
      </c>
      <c r="CC235" s="3" t="str">
        <f>IF(B235&lt;&gt;"",CONCATENATE(SUBSTITUTE(B235," ","-"),".jpg"),"")</f>
        <v>Allied-Moulded-AMU1648HF.jpg</v>
      </c>
      <c r="CD235" s="16" t="s">
        <v>111</v>
      </c>
      <c r="CE235" s="3"/>
      <c r="CF235" s="3"/>
      <c r="CG235" s="3" t="s">
        <v>112</v>
      </c>
      <c r="CI235" s="3" t="s">
        <v>97</v>
      </c>
      <c r="CJ235" s="3" t="s">
        <v>467</v>
      </c>
      <c r="CK235" s="3" t="s">
        <v>114</v>
      </c>
      <c r="CL235" s="3" t="s">
        <v>115</v>
      </c>
      <c r="CM235" s="3" t="s">
        <v>116</v>
      </c>
      <c r="CN235" s="16" t="s">
        <v>349</v>
      </c>
      <c r="CO235" s="3" t="s">
        <v>118</v>
      </c>
      <c r="CP235" s="3" t="s">
        <v>139</v>
      </c>
      <c r="CQ235" s="3" t="s">
        <v>120</v>
      </c>
      <c r="CR235" s="3" t="s">
        <v>140</v>
      </c>
      <c r="CS235" s="3" t="s">
        <v>384</v>
      </c>
      <c r="CT235" s="16" t="s">
        <v>242</v>
      </c>
      <c r="CU235" s="16" t="s">
        <v>1037</v>
      </c>
      <c r="CV235" s="16" t="s">
        <v>385</v>
      </c>
    </row>
    <row r="236" spans="1:100" ht="15" customHeight="1">
      <c r="A236" t="s">
        <v>1598</v>
      </c>
      <c r="B236" s="3" t="s">
        <v>1599</v>
      </c>
      <c r="C236" s="16" t="s">
        <v>97</v>
      </c>
      <c r="D236" s="43" t="s">
        <v>1600</v>
      </c>
      <c r="E236" s="16" t="s">
        <v>97</v>
      </c>
      <c r="F236" s="131" t="s">
        <v>1601</v>
      </c>
      <c r="I236" s="100" t="s">
        <v>342</v>
      </c>
      <c r="J236" s="16" t="s">
        <v>101</v>
      </c>
      <c r="K236" s="16"/>
      <c r="L236" s="3" t="s">
        <v>102</v>
      </c>
      <c r="M236" s="3" t="s">
        <v>103</v>
      </c>
      <c r="N236" s="3" t="s">
        <v>104</v>
      </c>
      <c r="O236" s="16" t="s">
        <v>105</v>
      </c>
      <c r="P236" s="3" t="s">
        <v>1602</v>
      </c>
      <c r="Q236" s="3" t="s">
        <v>1602</v>
      </c>
      <c r="R236" s="3" t="s">
        <v>1602</v>
      </c>
      <c r="S236" t="s">
        <v>1598</v>
      </c>
      <c r="T236" s="130" t="s">
        <v>465</v>
      </c>
      <c r="U236" s="35">
        <v>11</v>
      </c>
      <c r="V236" s="40"/>
      <c r="W236" s="40"/>
      <c r="X236" s="59" t="s">
        <v>108</v>
      </c>
      <c r="Y236" s="93">
        <f>IF(AD236=0, 0, IF(OR(H236="", H236&lt;&gt;0), 1, 0))</f>
        <v>1</v>
      </c>
      <c r="Z236" s="3">
        <v>0</v>
      </c>
      <c r="AA236" s="3" t="s">
        <v>1603</v>
      </c>
      <c r="AD236" s="6">
        <f>ROUND((AG236*(1+AJ236)),2)</f>
        <v>194.67</v>
      </c>
      <c r="AE236" s="69">
        <v>221.84310259</v>
      </c>
      <c r="AF236" s="17">
        <f>(AE236*1)</f>
        <v>221.84310259</v>
      </c>
      <c r="AG236" s="6">
        <f>ROUND((AE236*AI236),2)</f>
        <v>144.19999999999999</v>
      </c>
      <c r="AH236" s="30" t="s">
        <v>110</v>
      </c>
      <c r="AI236" s="3">
        <v>0.65</v>
      </c>
      <c r="AJ236" s="18">
        <v>0.35</v>
      </c>
      <c r="AK236" s="6">
        <f>ROUND((AD236-(AD236*BG236)),2)</f>
        <v>192.72</v>
      </c>
      <c r="AL236" s="6">
        <f>ROUND((AD236-(AD236*BH236)),2)</f>
        <v>190.78</v>
      </c>
      <c r="AM236" s="6">
        <f>ROUND((AD236-(AD236*BI236)),2)</f>
        <v>188.83</v>
      </c>
      <c r="AN236" s="6">
        <f>ROUND((AD236-(AD236*BJ236)),2)</f>
        <v>188.83</v>
      </c>
      <c r="AO236" s="6">
        <f>ROUND((AD236-(AD236*BK236)),2)</f>
        <v>194.67</v>
      </c>
      <c r="BG236" s="12">
        <v>0.01</v>
      </c>
      <c r="BH236" s="12">
        <v>0.02</v>
      </c>
      <c r="BI236" s="12">
        <v>0.03</v>
      </c>
      <c r="BJ236" s="12">
        <v>0.03</v>
      </c>
      <c r="CC236" s="3" t="str">
        <f>IF(B236&lt;&gt;"",CONCATENATE(SUBSTITUTE(B236," ","-"),".jpg"),"")</f>
        <v>Allied-Moulded-AMU1648L.jpg</v>
      </c>
      <c r="CD236" s="16" t="s">
        <v>111</v>
      </c>
      <c r="CE236" s="3"/>
      <c r="CF236" s="3"/>
      <c r="CG236" s="3" t="s">
        <v>112</v>
      </c>
      <c r="CI236" s="3" t="s">
        <v>97</v>
      </c>
      <c r="CJ236" s="3" t="s">
        <v>467</v>
      </c>
      <c r="CK236" s="3" t="s">
        <v>114</v>
      </c>
      <c r="CL236" s="3" t="s">
        <v>115</v>
      </c>
      <c r="CM236" s="3" t="s">
        <v>116</v>
      </c>
      <c r="CN236" t="s">
        <v>117</v>
      </c>
      <c r="CO236" s="3" t="s">
        <v>118</v>
      </c>
      <c r="CP236" s="3" t="s">
        <v>139</v>
      </c>
      <c r="CQ236" s="3" t="s">
        <v>120</v>
      </c>
      <c r="CR236" s="3" t="s">
        <v>140</v>
      </c>
      <c r="CS236" s="16" t="s">
        <v>122</v>
      </c>
      <c r="CT236" s="16" t="s">
        <v>242</v>
      </c>
      <c r="CU236" s="16" t="s">
        <v>1037</v>
      </c>
      <c r="CV236" s="16" t="s">
        <v>385</v>
      </c>
    </row>
    <row r="237" spans="1:100" ht="15" customHeight="1">
      <c r="A237" t="s">
        <v>1604</v>
      </c>
      <c r="B237" s="3" t="s">
        <v>1605</v>
      </c>
      <c r="C237" s="16" t="s">
        <v>97</v>
      </c>
      <c r="D237" s="44" t="s">
        <v>1606</v>
      </c>
      <c r="E237" s="16" t="s">
        <v>97</v>
      </c>
      <c r="F237" s="131" t="s">
        <v>1607</v>
      </c>
      <c r="I237" s="100" t="s">
        <v>342</v>
      </c>
      <c r="J237" s="16" t="s">
        <v>101</v>
      </c>
      <c r="K237" s="16"/>
      <c r="L237" s="3" t="s">
        <v>102</v>
      </c>
      <c r="M237" s="3" t="s">
        <v>103</v>
      </c>
      <c r="N237" s="3" t="s">
        <v>104</v>
      </c>
      <c r="O237" s="16" t="s">
        <v>105</v>
      </c>
      <c r="P237" s="3" t="s">
        <v>1608</v>
      </c>
      <c r="Q237" s="3" t="s">
        <v>1608</v>
      </c>
      <c r="R237" s="3" t="s">
        <v>1608</v>
      </c>
      <c r="S237" t="s">
        <v>1604</v>
      </c>
      <c r="T237" s="130" t="s">
        <v>465</v>
      </c>
      <c r="U237" s="34">
        <v>11</v>
      </c>
      <c r="V237" s="39"/>
      <c r="W237" s="39"/>
      <c r="X237" s="59" t="s">
        <v>108</v>
      </c>
      <c r="Y237" s="93">
        <f>IF(AD237=0, 0, IF(OR(H237="", H237&lt;&gt;0), 1, 0))</f>
        <v>1</v>
      </c>
      <c r="Z237" s="3">
        <v>0</v>
      </c>
      <c r="AA237" s="3" t="s">
        <v>1609</v>
      </c>
      <c r="AD237" s="6">
        <f>ROUND((AG237*(1+AJ237)),2)</f>
        <v>184.94</v>
      </c>
      <c r="AE237" s="69">
        <v>210.75710649999999</v>
      </c>
      <c r="AF237" s="17">
        <f>(AE237*1)</f>
        <v>210.75710649999999</v>
      </c>
      <c r="AG237" s="6">
        <f>ROUND((AE237*AI237),2)</f>
        <v>136.99</v>
      </c>
      <c r="AH237" s="30" t="s">
        <v>110</v>
      </c>
      <c r="AI237" s="3">
        <v>0.65</v>
      </c>
      <c r="AJ237" s="18">
        <v>0.35</v>
      </c>
      <c r="AK237" s="6">
        <f>ROUND((AD237-(AD237*BG237)),2)</f>
        <v>183.09</v>
      </c>
      <c r="AL237" s="6">
        <f>ROUND((AD237-(AD237*BH237)),2)</f>
        <v>181.24</v>
      </c>
      <c r="AM237" s="6">
        <f>ROUND((AD237-(AD237*BI237)),2)</f>
        <v>179.39</v>
      </c>
      <c r="AN237" s="6">
        <f>ROUND((AD237-(AD237*BJ237)),2)</f>
        <v>179.39</v>
      </c>
      <c r="AO237" s="6">
        <f>ROUND((AD237-(AD237*BK237)),2)</f>
        <v>184.94</v>
      </c>
      <c r="BG237" s="12">
        <v>0.01</v>
      </c>
      <c r="BH237" s="12">
        <v>0.02</v>
      </c>
      <c r="BI237" s="12">
        <v>0.03</v>
      </c>
      <c r="BJ237" s="12">
        <v>0.03</v>
      </c>
      <c r="CC237" s="3" t="str">
        <f>IF(B237&lt;&gt;"",CONCATENATE(SUBSTITUTE(B237," ","-"),".jpg"),"")</f>
        <v>Allied-Moulded-AMU1648NL.jpg</v>
      </c>
      <c r="CD237" s="16" t="s">
        <v>111</v>
      </c>
      <c r="CE237" s="3"/>
      <c r="CF237" s="3"/>
      <c r="CG237" s="3" t="s">
        <v>112</v>
      </c>
      <c r="CI237" s="3" t="s">
        <v>97</v>
      </c>
      <c r="CJ237" s="3" t="s">
        <v>467</v>
      </c>
      <c r="CK237" s="3" t="s">
        <v>114</v>
      </c>
      <c r="CL237" s="3" t="s">
        <v>115</v>
      </c>
      <c r="CM237" s="3" t="s">
        <v>116</v>
      </c>
      <c r="CN237" t="s">
        <v>117</v>
      </c>
      <c r="CO237" s="3" t="s">
        <v>118</v>
      </c>
      <c r="CP237" s="3" t="s">
        <v>139</v>
      </c>
      <c r="CQ237" s="3" t="s">
        <v>120</v>
      </c>
      <c r="CR237" s="3" t="s">
        <v>140</v>
      </c>
      <c r="CS237" s="16" t="s">
        <v>122</v>
      </c>
      <c r="CT237" s="16" t="s">
        <v>242</v>
      </c>
      <c r="CU237" s="16" t="s">
        <v>1037</v>
      </c>
      <c r="CV237" s="16" t="s">
        <v>385</v>
      </c>
    </row>
    <row r="238" spans="1:100" ht="15" customHeight="1">
      <c r="A238" t="s">
        <v>1610</v>
      </c>
      <c r="B238" s="3" t="s">
        <v>1611</v>
      </c>
      <c r="C238" s="16" t="s">
        <v>97</v>
      </c>
      <c r="D238" s="43" t="s">
        <v>1612</v>
      </c>
      <c r="E238" s="16" t="s">
        <v>97</v>
      </c>
      <c r="F238" s="131" t="s">
        <v>1613</v>
      </c>
      <c r="I238" s="100" t="s">
        <v>342</v>
      </c>
      <c r="J238" s="16" t="s">
        <v>101</v>
      </c>
      <c r="K238" s="16"/>
      <c r="L238" s="3" t="s">
        <v>102</v>
      </c>
      <c r="M238" s="3" t="s">
        <v>103</v>
      </c>
      <c r="N238" s="3" t="s">
        <v>104</v>
      </c>
      <c r="O238" s="16" t="s">
        <v>105</v>
      </c>
      <c r="P238" s="3" t="s">
        <v>1614</v>
      </c>
      <c r="Q238" s="3" t="s">
        <v>1614</v>
      </c>
      <c r="R238" s="3" t="s">
        <v>1614</v>
      </c>
      <c r="S238" t="s">
        <v>1610</v>
      </c>
      <c r="T238" s="130" t="s">
        <v>465</v>
      </c>
      <c r="U238" s="35">
        <v>11</v>
      </c>
      <c r="V238" s="40"/>
      <c r="W238" s="40"/>
      <c r="X238" s="59" t="s">
        <v>108</v>
      </c>
      <c r="Y238" s="93">
        <f>IF(AD238=0, 0, IF(OR(H238="", H238&lt;&gt;0), 1, 0))</f>
        <v>1</v>
      </c>
      <c r="Z238" s="3">
        <v>0</v>
      </c>
      <c r="AA238" s="3" t="s">
        <v>1615</v>
      </c>
      <c r="AD238" s="6">
        <f>ROUND((AG238*(1+AJ238)),2)</f>
        <v>189.93</v>
      </c>
      <c r="AE238" s="69">
        <v>216.44087927999999</v>
      </c>
      <c r="AF238" s="17">
        <f>(AE238*1)</f>
        <v>216.44087927999999</v>
      </c>
      <c r="AG238" s="6">
        <f>ROUND((AE238*AI238),2)</f>
        <v>140.69</v>
      </c>
      <c r="AH238" s="30" t="s">
        <v>110</v>
      </c>
      <c r="AI238" s="3">
        <v>0.65</v>
      </c>
      <c r="AJ238" s="18">
        <v>0.35</v>
      </c>
      <c r="AK238" s="6">
        <f>ROUND((AD238-(AD238*BG238)),2)</f>
        <v>188.03</v>
      </c>
      <c r="AL238" s="6">
        <f>ROUND((AD238-(AD238*BH238)),2)</f>
        <v>186.13</v>
      </c>
      <c r="AM238" s="6">
        <f>ROUND((AD238-(AD238*BI238)),2)</f>
        <v>184.23</v>
      </c>
      <c r="AN238" s="6">
        <f>ROUND((AD238-(AD238*BJ238)),2)</f>
        <v>184.23</v>
      </c>
      <c r="AO238" s="6">
        <f>ROUND((AD238-(AD238*BK238)),2)</f>
        <v>189.93</v>
      </c>
      <c r="BG238" s="12">
        <v>0.01</v>
      </c>
      <c r="BH238" s="12">
        <v>0.02</v>
      </c>
      <c r="BI238" s="12">
        <v>0.03</v>
      </c>
      <c r="BJ238" s="12">
        <v>0.03</v>
      </c>
      <c r="CC238" s="3" t="str">
        <f>IF(B238&lt;&gt;"",CONCATENATE(SUBSTITUTE(B238," ","-"),".jpg"),"")</f>
        <v>Allied-Moulded-AMU1648NLF.jpg</v>
      </c>
      <c r="CD238" s="16" t="s">
        <v>111</v>
      </c>
      <c r="CE238" s="3"/>
      <c r="CF238" s="3"/>
      <c r="CG238" s="3" t="s">
        <v>112</v>
      </c>
      <c r="CI238" s="3" t="s">
        <v>97</v>
      </c>
      <c r="CJ238" s="3" t="s">
        <v>467</v>
      </c>
      <c r="CK238" s="3" t="s">
        <v>114</v>
      </c>
      <c r="CL238" s="3" t="s">
        <v>115</v>
      </c>
      <c r="CM238" s="3" t="s">
        <v>116</v>
      </c>
      <c r="CN238" t="s">
        <v>117</v>
      </c>
      <c r="CO238" s="3" t="s">
        <v>118</v>
      </c>
      <c r="CP238" s="3" t="s">
        <v>139</v>
      </c>
      <c r="CQ238" s="3" t="s">
        <v>120</v>
      </c>
      <c r="CR238" s="3" t="s">
        <v>140</v>
      </c>
      <c r="CS238" s="16" t="s">
        <v>122</v>
      </c>
      <c r="CT238" s="16" t="s">
        <v>242</v>
      </c>
      <c r="CU238" s="16" t="s">
        <v>1037</v>
      </c>
      <c r="CV238" s="16" t="s">
        <v>385</v>
      </c>
    </row>
    <row r="239" spans="1:100" ht="15" customHeight="1">
      <c r="A239" t="s">
        <v>1616</v>
      </c>
      <c r="B239" s="3" t="s">
        <v>1617</v>
      </c>
      <c r="C239" s="16" t="s">
        <v>97</v>
      </c>
      <c r="D239" s="43" t="s">
        <v>1618</v>
      </c>
      <c r="E239" s="16" t="s">
        <v>97</v>
      </c>
      <c r="F239" s="131" t="s">
        <v>1619</v>
      </c>
      <c r="I239" s="100" t="s">
        <v>342</v>
      </c>
      <c r="J239" s="16" t="s">
        <v>101</v>
      </c>
      <c r="K239" s="16"/>
      <c r="L239" s="3" t="s">
        <v>102</v>
      </c>
      <c r="M239" s="3" t="s">
        <v>103</v>
      </c>
      <c r="N239" s="3" t="s">
        <v>104</v>
      </c>
      <c r="O239" s="16" t="s">
        <v>105</v>
      </c>
      <c r="P239" s="3" t="s">
        <v>1620</v>
      </c>
      <c r="Q239" s="3" t="s">
        <v>1620</v>
      </c>
      <c r="R239" s="3" t="s">
        <v>1620</v>
      </c>
      <c r="S239" t="s">
        <v>1616</v>
      </c>
      <c r="T239" s="130" t="s">
        <v>465</v>
      </c>
      <c r="U239" s="35">
        <v>11</v>
      </c>
      <c r="V239" s="40"/>
      <c r="W239" s="40"/>
      <c r="X239" s="59" t="s">
        <v>108</v>
      </c>
      <c r="Y239" s="93">
        <f>IF(AD239=0, 0, IF(OR(H239="", H239&lt;&gt;0), 1, 0))</f>
        <v>1</v>
      </c>
      <c r="Z239" s="3">
        <v>0</v>
      </c>
      <c r="AA239" s="3" t="s">
        <v>1621</v>
      </c>
      <c r="AD239" s="6">
        <f>ROUND((AG239*(1+AJ239)),2)</f>
        <v>194.67</v>
      </c>
      <c r="AE239" s="69">
        <v>221.84310259</v>
      </c>
      <c r="AF239" s="17">
        <f>(AE239*1)</f>
        <v>221.84310259</v>
      </c>
      <c r="AG239" s="6">
        <f>ROUND((AE239*AI239),2)</f>
        <v>144.19999999999999</v>
      </c>
      <c r="AH239" s="30" t="s">
        <v>110</v>
      </c>
      <c r="AI239" s="3">
        <v>0.65</v>
      </c>
      <c r="AJ239" s="18">
        <v>0.35</v>
      </c>
      <c r="AK239" s="6">
        <f>ROUND((AD239-(AD239*BG239)),2)</f>
        <v>192.72</v>
      </c>
      <c r="AL239" s="6">
        <f>ROUND((AD239-(AD239*BH239)),2)</f>
        <v>190.78</v>
      </c>
      <c r="AM239" s="6">
        <f>ROUND((AD239-(AD239*BI239)),2)</f>
        <v>188.83</v>
      </c>
      <c r="AN239" s="6">
        <f>ROUND((AD239-(AD239*BJ239)),2)</f>
        <v>188.83</v>
      </c>
      <c r="AO239" s="6">
        <f>ROUND((AD239-(AD239*BK239)),2)</f>
        <v>194.67</v>
      </c>
      <c r="BG239" s="12">
        <v>0.01</v>
      </c>
      <c r="BH239" s="12">
        <v>0.02</v>
      </c>
      <c r="BI239" s="12">
        <v>0.03</v>
      </c>
      <c r="BJ239" s="12">
        <v>0.03</v>
      </c>
      <c r="CC239" s="3" t="str">
        <f>IF(B239&lt;&gt;"",CONCATENATE(SUBSTITUTE(B239," ","-"),".jpg"),"")</f>
        <v>Allied-Moulded-AMU1648T.jpg</v>
      </c>
      <c r="CD239" s="16" t="s">
        <v>111</v>
      </c>
      <c r="CE239" s="3"/>
      <c r="CF239" s="3"/>
      <c r="CG239" s="3" t="s">
        <v>112</v>
      </c>
      <c r="CI239" s="3" t="s">
        <v>97</v>
      </c>
      <c r="CJ239" s="3" t="s">
        <v>467</v>
      </c>
      <c r="CK239" s="3" t="s">
        <v>114</v>
      </c>
      <c r="CL239" s="3" t="s">
        <v>115</v>
      </c>
      <c r="CM239" s="3" t="s">
        <v>116</v>
      </c>
      <c r="CN239" s="16" t="s">
        <v>132</v>
      </c>
      <c r="CO239" s="3" t="s">
        <v>118</v>
      </c>
      <c r="CP239" s="3" t="s">
        <v>139</v>
      </c>
      <c r="CQ239" s="3" t="s">
        <v>120</v>
      </c>
      <c r="CR239" s="3" t="s">
        <v>140</v>
      </c>
      <c r="CS239" s="16" t="s">
        <v>122</v>
      </c>
      <c r="CT239" s="16" t="s">
        <v>242</v>
      </c>
      <c r="CU239" s="16" t="s">
        <v>1037</v>
      </c>
      <c r="CV239" s="16" t="s">
        <v>385</v>
      </c>
    </row>
    <row r="240" spans="1:100" ht="15" customHeight="1">
      <c r="A240" t="s">
        <v>1622</v>
      </c>
      <c r="B240" s="3" t="s">
        <v>1623</v>
      </c>
      <c r="C240" s="16" t="s">
        <v>97</v>
      </c>
      <c r="D240" s="43" t="s">
        <v>1624</v>
      </c>
      <c r="E240" s="16" t="s">
        <v>97</v>
      </c>
      <c r="F240" s="131" t="s">
        <v>1625</v>
      </c>
      <c r="I240" s="100" t="s">
        <v>342</v>
      </c>
      <c r="J240" s="16" t="s">
        <v>101</v>
      </c>
      <c r="K240" s="16"/>
      <c r="L240" s="3" t="s">
        <v>102</v>
      </c>
      <c r="M240" s="3" t="s">
        <v>103</v>
      </c>
      <c r="N240" s="3" t="s">
        <v>104</v>
      </c>
      <c r="O240" s="16" t="s">
        <v>105</v>
      </c>
      <c r="P240" s="3" t="s">
        <v>1626</v>
      </c>
      <c r="Q240" s="3" t="s">
        <v>1626</v>
      </c>
      <c r="R240" s="3" t="s">
        <v>1626</v>
      </c>
      <c r="S240" t="s">
        <v>1622</v>
      </c>
      <c r="T240" s="130" t="s">
        <v>465</v>
      </c>
      <c r="U240" s="35">
        <v>11</v>
      </c>
      <c r="V240" s="40"/>
      <c r="W240" s="40"/>
      <c r="X240" s="59" t="s">
        <v>108</v>
      </c>
      <c r="Y240" s="93">
        <f>IF(AD240=0, 0, IF(OR(H240="", H240&lt;&gt;0), 1, 0))</f>
        <v>1</v>
      </c>
      <c r="Z240" s="3">
        <v>0</v>
      </c>
      <c r="AA240" s="3" t="s">
        <v>1627</v>
      </c>
      <c r="AD240" s="6">
        <f>ROUND((AG240*(1+AJ240)),2)</f>
        <v>284.2</v>
      </c>
      <c r="AE240" s="69">
        <v>323.86946110000002</v>
      </c>
      <c r="AF240" s="17">
        <f>(AE240*1)</f>
        <v>323.86946110000002</v>
      </c>
      <c r="AG240" s="6">
        <f>ROUND((AE240*AI240),2)</f>
        <v>210.52</v>
      </c>
      <c r="AH240" s="30" t="s">
        <v>110</v>
      </c>
      <c r="AI240" s="3">
        <v>0.65</v>
      </c>
      <c r="AJ240" s="18">
        <v>0.35</v>
      </c>
      <c r="AK240" s="6">
        <f>ROUND((AD240-(AD240*BG240)),2)</f>
        <v>281.36</v>
      </c>
      <c r="AL240" s="6">
        <f>ROUND((AD240-(AD240*BH240)),2)</f>
        <v>278.52</v>
      </c>
      <c r="AM240" s="6">
        <f>ROUND((AD240-(AD240*BI240)),2)</f>
        <v>275.67</v>
      </c>
      <c r="AN240" s="6">
        <f>ROUND((AD240-(AD240*BJ240)),2)</f>
        <v>275.67</v>
      </c>
      <c r="AO240" s="6">
        <f>ROUND((AD240-(AD240*BK240)),2)</f>
        <v>284.2</v>
      </c>
      <c r="BG240" s="12">
        <v>0.01</v>
      </c>
      <c r="BH240" s="12">
        <v>0.02</v>
      </c>
      <c r="BI240" s="12">
        <v>0.03</v>
      </c>
      <c r="BJ240" s="12">
        <v>0.03</v>
      </c>
      <c r="CC240" s="3" t="str">
        <f>IF(B240&lt;&gt;"",CONCATENATE(SUBSTITUTE(B240," ","-"),".jpg"),"")</f>
        <v>Allied-Moulded-AMU1648W.jpg</v>
      </c>
      <c r="CD240" s="16" t="s">
        <v>111</v>
      </c>
      <c r="CE240" s="3"/>
      <c r="CF240" s="3"/>
      <c r="CG240" s="3" t="s">
        <v>112</v>
      </c>
      <c r="CI240" s="3" t="s">
        <v>97</v>
      </c>
      <c r="CJ240" s="3" t="s">
        <v>467</v>
      </c>
      <c r="CK240" s="3" t="s">
        <v>114</v>
      </c>
      <c r="CL240" s="3" t="s">
        <v>115</v>
      </c>
      <c r="CM240" s="16"/>
      <c r="CN240" s="16" t="s">
        <v>349</v>
      </c>
      <c r="CO240" s="3" t="s">
        <v>118</v>
      </c>
      <c r="CP240" s="3" t="s">
        <v>139</v>
      </c>
      <c r="CQ240" s="3" t="s">
        <v>120</v>
      </c>
      <c r="CR240" s="3" t="s">
        <v>140</v>
      </c>
      <c r="CS240" s="3" t="s">
        <v>384</v>
      </c>
      <c r="CT240" s="16" t="s">
        <v>242</v>
      </c>
      <c r="CU240" s="16" t="s">
        <v>1037</v>
      </c>
      <c r="CV240" s="16" t="s">
        <v>385</v>
      </c>
    </row>
    <row r="241" spans="1:100" ht="15" customHeight="1">
      <c r="A241" t="s">
        <v>1628</v>
      </c>
      <c r="B241" s="3" t="s">
        <v>1629</v>
      </c>
      <c r="C241" s="16" t="s">
        <v>97</v>
      </c>
      <c r="D241" s="44" t="s">
        <v>1630</v>
      </c>
      <c r="E241" s="16" t="s">
        <v>97</v>
      </c>
      <c r="F241" s="131" t="s">
        <v>1631</v>
      </c>
      <c r="I241" s="100" t="s">
        <v>342</v>
      </c>
      <c r="J241" s="16" t="s">
        <v>101</v>
      </c>
      <c r="K241" s="16"/>
      <c r="L241" s="3" t="s">
        <v>102</v>
      </c>
      <c r="M241" s="3" t="s">
        <v>103</v>
      </c>
      <c r="N241" s="3" t="s">
        <v>104</v>
      </c>
      <c r="O241" s="16" t="s">
        <v>105</v>
      </c>
      <c r="P241" s="3" t="s">
        <v>1632</v>
      </c>
      <c r="Q241" s="3" t="s">
        <v>1632</v>
      </c>
      <c r="R241" s="3" t="s">
        <v>1632</v>
      </c>
      <c r="S241" t="s">
        <v>1628</v>
      </c>
      <c r="T241" s="130" t="s">
        <v>465</v>
      </c>
      <c r="U241" s="34">
        <v>11</v>
      </c>
      <c r="V241" s="39"/>
      <c r="W241" s="39"/>
      <c r="X241" s="59" t="s">
        <v>108</v>
      </c>
      <c r="Y241" s="93">
        <f>IF(AD241=0, 0, IF(OR(H241="", H241&lt;&gt;0), 1, 0))</f>
        <v>1</v>
      </c>
      <c r="Z241" s="3">
        <v>0</v>
      </c>
      <c r="AA241" s="3" t="s">
        <v>1633</v>
      </c>
      <c r="AD241" s="6">
        <f>ROUND((AG241*(1+AJ241)),2)</f>
        <v>291.99</v>
      </c>
      <c r="AE241" s="69">
        <v>332.75585511000003</v>
      </c>
      <c r="AF241" s="17">
        <f>(AE241*1)</f>
        <v>332.75585511000003</v>
      </c>
      <c r="AG241" s="6">
        <f>ROUND((AE241*AI241),2)</f>
        <v>216.29</v>
      </c>
      <c r="AH241" s="30" t="s">
        <v>110</v>
      </c>
      <c r="AI241" s="3">
        <v>0.65</v>
      </c>
      <c r="AJ241" s="18">
        <v>0.35</v>
      </c>
      <c r="AK241" s="6">
        <f>ROUND((AD241-(AD241*BG241)),2)</f>
        <v>289.07</v>
      </c>
      <c r="AL241" s="6">
        <f>ROUND((AD241-(AD241*BH241)),2)</f>
        <v>286.14999999999998</v>
      </c>
      <c r="AM241" s="6">
        <f>ROUND((AD241-(AD241*BI241)),2)</f>
        <v>283.23</v>
      </c>
      <c r="AN241" s="6">
        <f>ROUND((AD241-(AD241*BJ241)),2)</f>
        <v>283.23</v>
      </c>
      <c r="AO241" s="6">
        <f>ROUND((AD241-(AD241*BK241)),2)</f>
        <v>291.99</v>
      </c>
      <c r="BG241" s="12">
        <v>0.01</v>
      </c>
      <c r="BH241" s="12">
        <v>0.02</v>
      </c>
      <c r="BI241" s="12">
        <v>0.03</v>
      </c>
      <c r="BJ241" s="12">
        <v>0.03</v>
      </c>
      <c r="CC241" s="3" t="str">
        <f>IF(B241&lt;&gt;"",CONCATENATE(SUBSTITUTE(B241," ","-"),".jpg"),"")</f>
        <v>Allied-Moulded-AMU1648WF.jpg</v>
      </c>
      <c r="CD241" s="16" t="s">
        <v>111</v>
      </c>
      <c r="CE241" s="3"/>
      <c r="CF241" s="3"/>
      <c r="CG241" s="3" t="s">
        <v>112</v>
      </c>
      <c r="CI241" s="3" t="s">
        <v>97</v>
      </c>
      <c r="CJ241" s="3" t="s">
        <v>467</v>
      </c>
      <c r="CK241" s="3" t="s">
        <v>114</v>
      </c>
      <c r="CL241" s="3" t="s">
        <v>115</v>
      </c>
      <c r="CM241" s="16"/>
      <c r="CN241" s="16" t="s">
        <v>349</v>
      </c>
      <c r="CO241" s="3" t="s">
        <v>118</v>
      </c>
      <c r="CP241" s="3" t="s">
        <v>139</v>
      </c>
      <c r="CQ241" s="3" t="s">
        <v>120</v>
      </c>
      <c r="CR241" s="3" t="s">
        <v>140</v>
      </c>
      <c r="CS241" s="3" t="s">
        <v>384</v>
      </c>
      <c r="CT241" s="16" t="s">
        <v>242</v>
      </c>
      <c r="CU241" s="16" t="s">
        <v>1037</v>
      </c>
      <c r="CV241" s="16" t="s">
        <v>385</v>
      </c>
    </row>
    <row r="242" spans="1:100" ht="15" customHeight="1">
      <c r="A242" t="s">
        <v>1634</v>
      </c>
      <c r="B242" s="3" t="s">
        <v>1635</v>
      </c>
      <c r="C242" s="16" t="s">
        <v>97</v>
      </c>
      <c r="D242" s="43" t="s">
        <v>1636</v>
      </c>
      <c r="E242" s="16" t="s">
        <v>97</v>
      </c>
      <c r="F242" s="131" t="s">
        <v>1637</v>
      </c>
      <c r="I242" s="100" t="s">
        <v>342</v>
      </c>
      <c r="J242" s="16" t="s">
        <v>101</v>
      </c>
      <c r="K242" s="16"/>
      <c r="L242" s="3" t="s">
        <v>102</v>
      </c>
      <c r="M242" s="3" t="s">
        <v>103</v>
      </c>
      <c r="N242" s="3" t="s">
        <v>104</v>
      </c>
      <c r="O242" s="16" t="s">
        <v>105</v>
      </c>
      <c r="P242" s="3" t="s">
        <v>1638</v>
      </c>
      <c r="Q242" s="3" t="s">
        <v>1638</v>
      </c>
      <c r="R242" s="3" t="s">
        <v>1638</v>
      </c>
      <c r="S242" t="s">
        <v>1634</v>
      </c>
      <c r="T242" s="130" t="s">
        <v>465</v>
      </c>
      <c r="U242" s="35">
        <v>11</v>
      </c>
      <c r="V242" s="40"/>
      <c r="W242" s="40"/>
      <c r="X242" s="59" t="s">
        <v>108</v>
      </c>
      <c r="Y242" s="93">
        <f>IF(AD242=0, 0, IF(OR(H242="", H242&lt;&gt;0), 1, 0))</f>
        <v>1</v>
      </c>
      <c r="Z242" s="3">
        <v>0</v>
      </c>
      <c r="AA242" s="3" t="s">
        <v>1639</v>
      </c>
      <c r="AD242" s="6">
        <f>ROUND((AG242*(1+AJ242)),2)</f>
        <v>286.52</v>
      </c>
      <c r="AE242" s="69">
        <v>326.52658094000003</v>
      </c>
      <c r="AF242" s="17">
        <f>(AE242*1)</f>
        <v>326.52658094000003</v>
      </c>
      <c r="AG242" s="6">
        <f>ROUND((AE242*AI242),2)</f>
        <v>212.24</v>
      </c>
      <c r="AH242" s="30" t="s">
        <v>110</v>
      </c>
      <c r="AI242" s="3">
        <v>0.65</v>
      </c>
      <c r="AJ242" s="18">
        <v>0.35</v>
      </c>
      <c r="AK242" s="6">
        <f>ROUND((AD242-(AD242*BG242)),2)</f>
        <v>283.64999999999998</v>
      </c>
      <c r="AL242" s="6">
        <f>ROUND((AD242-(AD242*BH242)),2)</f>
        <v>280.79000000000002</v>
      </c>
      <c r="AM242" s="6">
        <f>ROUND((AD242-(AD242*BI242)),2)</f>
        <v>277.92</v>
      </c>
      <c r="AN242" s="6">
        <f>ROUND((AD242-(AD242*BJ242)),2)</f>
        <v>277.92</v>
      </c>
      <c r="AO242" s="6">
        <f>ROUND((AD242-(AD242*BK242)),2)</f>
        <v>286.52</v>
      </c>
      <c r="BG242" s="12">
        <v>0.01</v>
      </c>
      <c r="BH242" s="12">
        <v>0.02</v>
      </c>
      <c r="BI242" s="12">
        <v>0.03</v>
      </c>
      <c r="BJ242" s="12">
        <v>0.03</v>
      </c>
      <c r="CC242" s="3" t="str">
        <f>IF(B242&lt;&gt;"",CONCATENATE(SUBSTITUTE(B242," ","-"),".jpg"),"")</f>
        <v>Allied-Moulded-AMU1648HW.jpg</v>
      </c>
      <c r="CD242" s="16" t="s">
        <v>111</v>
      </c>
      <c r="CE242" s="3"/>
      <c r="CF242" s="3"/>
      <c r="CG242" s="3" t="s">
        <v>112</v>
      </c>
      <c r="CI242" s="3" t="s">
        <v>97</v>
      </c>
      <c r="CJ242" s="3" t="s">
        <v>467</v>
      </c>
      <c r="CK242" s="3" t="s">
        <v>114</v>
      </c>
      <c r="CL242" s="3" t="s">
        <v>115</v>
      </c>
      <c r="CM242" s="3" t="s">
        <v>116</v>
      </c>
      <c r="CN242" s="16" t="s">
        <v>349</v>
      </c>
      <c r="CO242" s="3" t="s">
        <v>118</v>
      </c>
      <c r="CP242" s="3" t="s">
        <v>139</v>
      </c>
      <c r="CQ242" s="3" t="s">
        <v>120</v>
      </c>
      <c r="CR242" s="3" t="s">
        <v>140</v>
      </c>
      <c r="CS242" s="3" t="s">
        <v>384</v>
      </c>
      <c r="CT242" s="16" t="s">
        <v>242</v>
      </c>
      <c r="CU242" s="16" t="s">
        <v>1037</v>
      </c>
      <c r="CV242" s="16" t="s">
        <v>385</v>
      </c>
    </row>
    <row r="243" spans="1:100" ht="15" customHeight="1">
      <c r="A243" t="s">
        <v>1640</v>
      </c>
      <c r="B243" s="3" t="s">
        <v>1641</v>
      </c>
      <c r="C243" s="16" t="s">
        <v>97</v>
      </c>
      <c r="D243" s="44" t="s">
        <v>1642</v>
      </c>
      <c r="E243" s="16" t="s">
        <v>97</v>
      </c>
      <c r="F243" s="131" t="s">
        <v>1643</v>
      </c>
      <c r="I243" s="100" t="s">
        <v>342</v>
      </c>
      <c r="J243" s="16" t="s">
        <v>101</v>
      </c>
      <c r="K243" s="16"/>
      <c r="L243" s="3" t="s">
        <v>102</v>
      </c>
      <c r="M243" s="3" t="s">
        <v>103</v>
      </c>
      <c r="N243" s="3" t="s">
        <v>104</v>
      </c>
      <c r="O243" s="16" t="s">
        <v>105</v>
      </c>
      <c r="P243" s="3" t="s">
        <v>1644</v>
      </c>
      <c r="Q243" s="3" t="s">
        <v>1644</v>
      </c>
      <c r="R243" s="3" t="s">
        <v>1644</v>
      </c>
      <c r="S243" t="s">
        <v>1640</v>
      </c>
      <c r="T243" s="130" t="s">
        <v>465</v>
      </c>
      <c r="U243" s="34">
        <v>11</v>
      </c>
      <c r="V243" s="39"/>
      <c r="W243" s="39"/>
      <c r="X243" s="59" t="s">
        <v>108</v>
      </c>
      <c r="Y243" s="93">
        <f>IF(AD243=0, 0, IF(OR(H243="", H243&lt;&gt;0), 1, 0))</f>
        <v>1</v>
      </c>
      <c r="Z243" s="3">
        <v>0</v>
      </c>
      <c r="AA243" s="3" t="s">
        <v>1645</v>
      </c>
      <c r="AD243" s="6">
        <f>ROUND((AG243*(1+AJ243)),2)</f>
        <v>294.33</v>
      </c>
      <c r="AE243" s="69">
        <v>335.41297495000003</v>
      </c>
      <c r="AF243" s="17">
        <f>(AE243*1)</f>
        <v>335.41297495000003</v>
      </c>
      <c r="AG243" s="6">
        <f>ROUND((AE243*AI243),2)</f>
        <v>218.02</v>
      </c>
      <c r="AH243" s="30" t="s">
        <v>110</v>
      </c>
      <c r="AI243" s="3">
        <v>0.65</v>
      </c>
      <c r="AJ243" s="18">
        <v>0.35</v>
      </c>
      <c r="AK243" s="6">
        <f>ROUND((AD243-(AD243*BG243)),2)</f>
        <v>291.39</v>
      </c>
      <c r="AL243" s="6">
        <f>ROUND((AD243-(AD243*BH243)),2)</f>
        <v>288.44</v>
      </c>
      <c r="AM243" s="6">
        <f>ROUND((AD243-(AD243*BI243)),2)</f>
        <v>285.5</v>
      </c>
      <c r="AN243" s="6">
        <f>ROUND((AD243-(AD243*BJ243)),2)</f>
        <v>285.5</v>
      </c>
      <c r="AO243" s="6">
        <f>ROUND((AD243-(AD243*BK243)),2)</f>
        <v>294.33</v>
      </c>
      <c r="BG243" s="12">
        <v>0.01</v>
      </c>
      <c r="BH243" s="12">
        <v>0.02</v>
      </c>
      <c r="BI243" s="12">
        <v>0.03</v>
      </c>
      <c r="BJ243" s="12">
        <v>0.03</v>
      </c>
      <c r="CC243" s="3" t="str">
        <f>IF(B243&lt;&gt;"",CONCATENATE(SUBSTITUTE(B243," ","-"),".jpg"),"")</f>
        <v>Allied-Moulded-AMU1648HWF.jpg</v>
      </c>
      <c r="CD243" s="16" t="s">
        <v>111</v>
      </c>
      <c r="CE243" s="3"/>
      <c r="CF243" s="3"/>
      <c r="CG243" s="3" t="s">
        <v>112</v>
      </c>
      <c r="CI243" s="3" t="s">
        <v>97</v>
      </c>
      <c r="CJ243" s="3" t="s">
        <v>467</v>
      </c>
      <c r="CK243" s="3" t="s">
        <v>114</v>
      </c>
      <c r="CL243" s="3" t="s">
        <v>115</v>
      </c>
      <c r="CM243" s="3" t="s">
        <v>116</v>
      </c>
      <c r="CN243" s="16" t="s">
        <v>349</v>
      </c>
      <c r="CO243" s="3" t="s">
        <v>118</v>
      </c>
      <c r="CP243" s="3" t="s">
        <v>139</v>
      </c>
      <c r="CQ243" s="3" t="s">
        <v>120</v>
      </c>
      <c r="CR243" s="3" t="s">
        <v>140</v>
      </c>
      <c r="CS243" s="3" t="s">
        <v>384</v>
      </c>
      <c r="CT243" s="16" t="s">
        <v>242</v>
      </c>
      <c r="CU243" s="16" t="s">
        <v>1037</v>
      </c>
      <c r="CV243" s="16" t="s">
        <v>385</v>
      </c>
    </row>
    <row r="244" spans="1:100" ht="15" customHeight="1">
      <c r="A244" t="s">
        <v>1646</v>
      </c>
      <c r="B244" s="3" t="s">
        <v>1647</v>
      </c>
      <c r="C244" s="16" t="s">
        <v>97</v>
      </c>
      <c r="D244" s="44" t="s">
        <v>1648</v>
      </c>
      <c r="E244" s="16" t="s">
        <v>97</v>
      </c>
      <c r="F244" s="131" t="s">
        <v>1649</v>
      </c>
      <c r="I244" s="100" t="s">
        <v>342</v>
      </c>
      <c r="J244" s="16" t="s">
        <v>101</v>
      </c>
      <c r="K244" s="16"/>
      <c r="L244" s="3" t="s">
        <v>102</v>
      </c>
      <c r="M244" s="3" t="s">
        <v>103</v>
      </c>
      <c r="N244" s="3" t="s">
        <v>104</v>
      </c>
      <c r="O244" s="16" t="s">
        <v>105</v>
      </c>
      <c r="P244" s="3" t="s">
        <v>1650</v>
      </c>
      <c r="Q244" s="3" t="s">
        <v>1650</v>
      </c>
      <c r="R244" s="3" t="s">
        <v>1650</v>
      </c>
      <c r="S244" t="s">
        <v>1646</v>
      </c>
      <c r="T244" s="130" t="s">
        <v>465</v>
      </c>
      <c r="U244" s="34">
        <v>11</v>
      </c>
      <c r="V244" s="39"/>
      <c r="W244" s="39"/>
      <c r="X244" s="59" t="s">
        <v>108</v>
      </c>
      <c r="Y244" s="93">
        <f>IF(AD244=0, 0, IF(OR(H244="", H244&lt;&gt;0), 1, 0))</f>
        <v>1</v>
      </c>
      <c r="Z244" s="3">
        <v>0</v>
      </c>
      <c r="AA244" s="3" t="s">
        <v>1651</v>
      </c>
      <c r="AD244" s="6">
        <f>ROUND((AG244*(1+AJ244)),2)</f>
        <v>310.55</v>
      </c>
      <c r="AE244" s="69">
        <v>353.90723162</v>
      </c>
      <c r="AF244" s="17">
        <f>(AE244*1)</f>
        <v>353.90723162</v>
      </c>
      <c r="AG244" s="6">
        <f>ROUND((AE244*AI244),2)</f>
        <v>230.04</v>
      </c>
      <c r="AH244" s="30" t="s">
        <v>110</v>
      </c>
      <c r="AI244" s="3">
        <v>0.65</v>
      </c>
      <c r="AJ244" s="18">
        <v>0.35</v>
      </c>
      <c r="AK244" s="6">
        <f>ROUND((AD244-(AD244*BG244)),2)</f>
        <v>307.44</v>
      </c>
      <c r="AL244" s="6">
        <f>ROUND((AD244-(AD244*BH244)),2)</f>
        <v>304.33999999999997</v>
      </c>
      <c r="AM244" s="6">
        <f>ROUND((AD244-(AD244*BI244)),2)</f>
        <v>301.23</v>
      </c>
      <c r="AN244" s="6">
        <f>ROUND((AD244-(AD244*BJ244)),2)</f>
        <v>301.23</v>
      </c>
      <c r="AO244" s="6">
        <f>ROUND((AD244-(AD244*BK244)),2)</f>
        <v>310.55</v>
      </c>
      <c r="BG244" s="12">
        <v>0.01</v>
      </c>
      <c r="BH244" s="12">
        <v>0.02</v>
      </c>
      <c r="BI244" s="12">
        <v>0.03</v>
      </c>
      <c r="BJ244" s="12">
        <v>0.03</v>
      </c>
      <c r="CC244" s="3" t="str">
        <f>IF(B244&lt;&gt;"",CONCATENATE(SUBSTITUTE(B244," ","-"),".jpg"),"")</f>
        <v>Allied-Moulded-AMU1648LW.jpg</v>
      </c>
      <c r="CD244" s="16" t="s">
        <v>111</v>
      </c>
      <c r="CE244" s="3"/>
      <c r="CF244" s="3"/>
      <c r="CG244" s="3" t="s">
        <v>112</v>
      </c>
      <c r="CI244" s="3" t="s">
        <v>97</v>
      </c>
      <c r="CJ244" s="3" t="s">
        <v>467</v>
      </c>
      <c r="CK244" s="3" t="s">
        <v>114</v>
      </c>
      <c r="CL244" s="3" t="s">
        <v>115</v>
      </c>
      <c r="CM244" s="3" t="s">
        <v>116</v>
      </c>
      <c r="CN244" t="s">
        <v>117</v>
      </c>
      <c r="CO244" s="3" t="s">
        <v>118</v>
      </c>
      <c r="CP244" s="3" t="s">
        <v>139</v>
      </c>
      <c r="CQ244" s="3" t="s">
        <v>120</v>
      </c>
      <c r="CR244" s="3" t="s">
        <v>140</v>
      </c>
      <c r="CS244" s="16" t="s">
        <v>122</v>
      </c>
      <c r="CT244" s="16" t="s">
        <v>242</v>
      </c>
      <c r="CU244" s="16" t="s">
        <v>1037</v>
      </c>
      <c r="CV244" s="16" t="s">
        <v>385</v>
      </c>
    </row>
    <row r="245" spans="1:100" ht="15" customHeight="1">
      <c r="A245" t="s">
        <v>1652</v>
      </c>
      <c r="B245" s="3" t="s">
        <v>1653</v>
      </c>
      <c r="C245" s="16" t="s">
        <v>97</v>
      </c>
      <c r="D245" s="43" t="s">
        <v>1654</v>
      </c>
      <c r="E245" s="16" t="s">
        <v>97</v>
      </c>
      <c r="F245" s="131" t="s">
        <v>1655</v>
      </c>
      <c r="I245" s="100" t="s">
        <v>342</v>
      </c>
      <c r="J245" s="16" t="s">
        <v>101</v>
      </c>
      <c r="K245" s="16"/>
      <c r="L245" s="3" t="s">
        <v>102</v>
      </c>
      <c r="M245" s="3" t="s">
        <v>103</v>
      </c>
      <c r="N245" s="3" t="s">
        <v>104</v>
      </c>
      <c r="O245" s="16" t="s">
        <v>105</v>
      </c>
      <c r="P245" s="3" t="s">
        <v>1656</v>
      </c>
      <c r="Q245" s="3" t="s">
        <v>1656</v>
      </c>
      <c r="R245" s="3" t="s">
        <v>1656</v>
      </c>
      <c r="S245" t="s">
        <v>1652</v>
      </c>
      <c r="T245" s="130" t="s">
        <v>465</v>
      </c>
      <c r="U245" s="35">
        <v>11</v>
      </c>
      <c r="V245" s="40"/>
      <c r="W245" s="40"/>
      <c r="X245" s="59" t="s">
        <v>108</v>
      </c>
      <c r="Y245" s="93">
        <f>IF(AD245=0, 0, IF(OR(H245="", H245&lt;&gt;0), 1, 0))</f>
        <v>1</v>
      </c>
      <c r="Z245" s="3">
        <v>0</v>
      </c>
      <c r="AA245" s="3" t="s">
        <v>1657</v>
      </c>
      <c r="AD245" s="6">
        <f>ROUND((AG245*(1+AJ245)),2)</f>
        <v>295.02</v>
      </c>
      <c r="AE245" s="69">
        <v>336.20483174000003</v>
      </c>
      <c r="AF245" s="17">
        <f>(AE245*1)</f>
        <v>336.20483174000003</v>
      </c>
      <c r="AG245" s="6">
        <f>ROUND((AE245*AI245),2)</f>
        <v>218.53</v>
      </c>
      <c r="AH245" s="30" t="s">
        <v>110</v>
      </c>
      <c r="AI245" s="3">
        <v>0.65</v>
      </c>
      <c r="AJ245" s="18">
        <v>0.35</v>
      </c>
      <c r="AK245" s="6">
        <f>ROUND((AD245-(AD245*BG245)),2)</f>
        <v>292.07</v>
      </c>
      <c r="AL245" s="6">
        <f>ROUND((AD245-(AD245*BH245)),2)</f>
        <v>289.12</v>
      </c>
      <c r="AM245" s="6">
        <f>ROUND((AD245-(AD245*BI245)),2)</f>
        <v>286.17</v>
      </c>
      <c r="AN245" s="6">
        <f>ROUND((AD245-(AD245*BJ245)),2)</f>
        <v>286.17</v>
      </c>
      <c r="AO245" s="6">
        <f>ROUND((AD245-(AD245*BK245)),2)</f>
        <v>295.02</v>
      </c>
      <c r="BG245" s="12">
        <v>0.01</v>
      </c>
      <c r="BH245" s="12">
        <v>0.02</v>
      </c>
      <c r="BI245" s="12">
        <v>0.03</v>
      </c>
      <c r="BJ245" s="12">
        <v>0.03</v>
      </c>
      <c r="CC245" s="3" t="str">
        <f>IF(B245&lt;&gt;"",CONCATENATE(SUBSTITUTE(B245," ","-"),".jpg"),"")</f>
        <v>Allied-Moulded-AMU1648NLW.jpg</v>
      </c>
      <c r="CD245" s="16" t="s">
        <v>111</v>
      </c>
      <c r="CE245" s="3"/>
      <c r="CF245" s="3"/>
      <c r="CG245" s="3" t="s">
        <v>112</v>
      </c>
      <c r="CI245" s="3" t="s">
        <v>97</v>
      </c>
      <c r="CJ245" s="3" t="s">
        <v>467</v>
      </c>
      <c r="CK245" s="3" t="s">
        <v>114</v>
      </c>
      <c r="CL245" s="3" t="s">
        <v>115</v>
      </c>
      <c r="CM245" s="3" t="s">
        <v>116</v>
      </c>
      <c r="CN245" t="s">
        <v>117</v>
      </c>
      <c r="CO245" s="3" t="s">
        <v>118</v>
      </c>
      <c r="CP245" s="3" t="s">
        <v>139</v>
      </c>
      <c r="CQ245" s="3" t="s">
        <v>120</v>
      </c>
      <c r="CR245" s="16" t="s">
        <v>121</v>
      </c>
      <c r="CS245" s="16" t="s">
        <v>122</v>
      </c>
      <c r="CT245" s="16" t="s">
        <v>242</v>
      </c>
      <c r="CU245" s="16" t="s">
        <v>1037</v>
      </c>
      <c r="CV245" s="16" t="s">
        <v>385</v>
      </c>
    </row>
    <row r="246" spans="1:100" ht="15" customHeight="1">
      <c r="A246" t="s">
        <v>1658</v>
      </c>
      <c r="B246" s="3" t="s">
        <v>1659</v>
      </c>
      <c r="C246" s="16" t="s">
        <v>97</v>
      </c>
      <c r="D246" s="44" t="s">
        <v>1660</v>
      </c>
      <c r="E246" s="16" t="s">
        <v>97</v>
      </c>
      <c r="F246" s="131" t="s">
        <v>1661</v>
      </c>
      <c r="I246" s="100" t="s">
        <v>342</v>
      </c>
      <c r="J246" s="16" t="s">
        <v>101</v>
      </c>
      <c r="K246" s="16"/>
      <c r="L246" s="3" t="s">
        <v>102</v>
      </c>
      <c r="M246" s="3" t="s">
        <v>103</v>
      </c>
      <c r="N246" s="3" t="s">
        <v>104</v>
      </c>
      <c r="O246" s="16" t="s">
        <v>105</v>
      </c>
      <c r="P246" s="3" t="s">
        <v>1662</v>
      </c>
      <c r="Q246" s="3" t="s">
        <v>1662</v>
      </c>
      <c r="R246" s="3" t="s">
        <v>1662</v>
      </c>
      <c r="S246" t="s">
        <v>1658</v>
      </c>
      <c r="T246" s="130" t="s">
        <v>465</v>
      </c>
      <c r="U246" s="34">
        <v>11</v>
      </c>
      <c r="V246" s="39"/>
      <c r="W246" s="39"/>
      <c r="X246" s="59" t="s">
        <v>108</v>
      </c>
      <c r="Y246" s="93">
        <f>IF(AD246=0, 0, IF(OR(H246="", H246&lt;&gt;0), 1, 0))</f>
        <v>1</v>
      </c>
      <c r="Z246" s="3">
        <v>0</v>
      </c>
      <c r="AA246" s="3" t="s">
        <v>1663</v>
      </c>
      <c r="AD246" s="6">
        <f>ROUND((AG246*(1+AJ246)),2)</f>
        <v>303.20999999999998</v>
      </c>
      <c r="AE246" s="69">
        <v>345.53114492999998</v>
      </c>
      <c r="AF246" s="17">
        <f>(AE246*1)</f>
        <v>345.53114492999998</v>
      </c>
      <c r="AG246" s="6">
        <f>ROUND((AE246*AI246),2)</f>
        <v>224.6</v>
      </c>
      <c r="AH246" s="30" t="s">
        <v>110</v>
      </c>
      <c r="AI246" s="3">
        <v>0.65</v>
      </c>
      <c r="AJ246" s="18">
        <v>0.35</v>
      </c>
      <c r="AK246" s="6">
        <f>ROUND((AD246-(AD246*BG246)),2)</f>
        <v>300.18</v>
      </c>
      <c r="AL246" s="6">
        <f>ROUND((AD246-(AD246*BH246)),2)</f>
        <v>297.14999999999998</v>
      </c>
      <c r="AM246" s="6">
        <f>ROUND((AD246-(AD246*BI246)),2)</f>
        <v>294.11</v>
      </c>
      <c r="AN246" s="6">
        <f>ROUND((AD246-(AD246*BJ246)),2)</f>
        <v>294.11</v>
      </c>
      <c r="AO246" s="6">
        <f>ROUND((AD246-(AD246*BK246)),2)</f>
        <v>303.20999999999998</v>
      </c>
      <c r="BG246" s="12">
        <v>0.01</v>
      </c>
      <c r="BH246" s="12">
        <v>0.02</v>
      </c>
      <c r="BI246" s="12">
        <v>0.03</v>
      </c>
      <c r="BJ246" s="12">
        <v>0.03</v>
      </c>
      <c r="CC246" s="3" t="str">
        <f>IF(B246&lt;&gt;"",CONCATENATE(SUBSTITUTE(B246," ","-"),".jpg"),"")</f>
        <v>Allied-Moulded-AMU1648NLWF.jpg</v>
      </c>
      <c r="CD246" s="16" t="s">
        <v>111</v>
      </c>
      <c r="CE246" s="3"/>
      <c r="CF246" s="3"/>
      <c r="CG246" s="3" t="s">
        <v>112</v>
      </c>
      <c r="CI246" s="3" t="s">
        <v>97</v>
      </c>
      <c r="CJ246" s="3" t="s">
        <v>467</v>
      </c>
      <c r="CK246" s="3" t="s">
        <v>114</v>
      </c>
      <c r="CL246" s="3" t="s">
        <v>115</v>
      </c>
      <c r="CM246" s="3" t="s">
        <v>116</v>
      </c>
      <c r="CN246" t="s">
        <v>117</v>
      </c>
      <c r="CO246" s="3" t="s">
        <v>118</v>
      </c>
      <c r="CP246" s="3" t="s">
        <v>139</v>
      </c>
      <c r="CQ246" s="3" t="s">
        <v>120</v>
      </c>
      <c r="CR246" s="16" t="s">
        <v>121</v>
      </c>
      <c r="CS246" s="16" t="s">
        <v>122</v>
      </c>
      <c r="CT246" s="16" t="s">
        <v>242</v>
      </c>
      <c r="CU246" s="16" t="s">
        <v>1037</v>
      </c>
      <c r="CV246" s="16" t="s">
        <v>385</v>
      </c>
    </row>
    <row r="247" spans="1:100" ht="15" customHeight="1">
      <c r="A247" t="s">
        <v>1664</v>
      </c>
      <c r="B247" s="3" t="s">
        <v>1665</v>
      </c>
      <c r="C247" s="16" t="s">
        <v>97</v>
      </c>
      <c r="D247" s="43" t="s">
        <v>1666</v>
      </c>
      <c r="E247" s="16" t="s">
        <v>97</v>
      </c>
      <c r="F247" s="131" t="s">
        <v>1667</v>
      </c>
      <c r="I247" s="100" t="s">
        <v>342</v>
      </c>
      <c r="J247" s="16" t="s">
        <v>101</v>
      </c>
      <c r="K247" s="16"/>
      <c r="L247" s="3" t="s">
        <v>102</v>
      </c>
      <c r="M247" s="3" t="s">
        <v>103</v>
      </c>
      <c r="N247" s="3" t="s">
        <v>104</v>
      </c>
      <c r="O247" s="16" t="s">
        <v>105</v>
      </c>
      <c r="P247" s="3" t="s">
        <v>1668</v>
      </c>
      <c r="Q247" s="3" t="s">
        <v>1668</v>
      </c>
      <c r="R247" s="3" t="s">
        <v>1668</v>
      </c>
      <c r="S247" t="s">
        <v>1664</v>
      </c>
      <c r="T247" s="130" t="s">
        <v>465</v>
      </c>
      <c r="U247" s="35">
        <v>11</v>
      </c>
      <c r="V247" s="40"/>
      <c r="W247" s="40"/>
      <c r="X247" s="59" t="s">
        <v>108</v>
      </c>
      <c r="Y247" s="93">
        <f>IF(AD247=0, 0, IF(OR(H247="", H247&lt;&gt;0), 1, 0))</f>
        <v>1</v>
      </c>
      <c r="Z247" s="3">
        <v>0</v>
      </c>
      <c r="AA247" s="3" t="s">
        <v>1669</v>
      </c>
      <c r="AD247" s="6">
        <f>ROUND((AG247*(1+AJ247)),2)</f>
        <v>180.01</v>
      </c>
      <c r="AE247" s="69">
        <v>205.13107861</v>
      </c>
      <c r="AF247" s="17">
        <f>(AE247*1)</f>
        <v>205.13107861</v>
      </c>
      <c r="AG247" s="6">
        <f>ROUND((AE247*AI247),2)</f>
        <v>133.34</v>
      </c>
      <c r="AH247" s="30" t="s">
        <v>110</v>
      </c>
      <c r="AI247" s="3">
        <v>0.65</v>
      </c>
      <c r="AJ247" s="18">
        <v>0.35</v>
      </c>
      <c r="AK247" s="6">
        <f>ROUND((AD247-(AD247*BG247)),2)</f>
        <v>178.21</v>
      </c>
      <c r="AL247" s="6">
        <f>ROUND((AD247-(AD247*BH247)),2)</f>
        <v>176.41</v>
      </c>
      <c r="AM247" s="6">
        <f>ROUND((AD247-(AD247*BI247)),2)</f>
        <v>174.61</v>
      </c>
      <c r="AN247" s="6">
        <f>ROUND((AD247-(AD247*BJ247)),2)</f>
        <v>174.61</v>
      </c>
      <c r="AO247" s="6">
        <f>ROUND((AD247-(AD247*BK247)),2)</f>
        <v>180.01</v>
      </c>
      <c r="BG247" s="12">
        <v>0.01</v>
      </c>
      <c r="BH247" s="12">
        <v>0.02</v>
      </c>
      <c r="BI247" s="12">
        <v>0.03</v>
      </c>
      <c r="BJ247" s="12">
        <v>0.03</v>
      </c>
      <c r="CC247" s="3" t="str">
        <f>IF(B247&lt;&gt;"",CONCATENATE(SUBSTITUTE(B247," ","-"),".jpg"),"")</f>
        <v>Allied-Moulded-AMU1648CC.jpg</v>
      </c>
      <c r="CD247" s="16" t="s">
        <v>111</v>
      </c>
      <c r="CE247" s="3"/>
      <c r="CF247" s="3"/>
      <c r="CG247" s="3" t="s">
        <v>112</v>
      </c>
      <c r="CI247" s="3" t="s">
        <v>97</v>
      </c>
      <c r="CJ247" s="3" t="s">
        <v>467</v>
      </c>
      <c r="CK247" s="3" t="s">
        <v>114</v>
      </c>
      <c r="CL247" s="3" t="s">
        <v>115</v>
      </c>
      <c r="CM247" s="16"/>
      <c r="CN247" s="16" t="s">
        <v>349</v>
      </c>
      <c r="CO247" s="3" t="s">
        <v>118</v>
      </c>
      <c r="CP247" s="3" t="s">
        <v>139</v>
      </c>
      <c r="CQ247" s="3" t="s">
        <v>120</v>
      </c>
      <c r="CR247" s="16" t="s">
        <v>121</v>
      </c>
      <c r="CS247" s="3" t="s">
        <v>384</v>
      </c>
      <c r="CT247" s="16" t="s">
        <v>242</v>
      </c>
      <c r="CU247" s="16" t="s">
        <v>1037</v>
      </c>
      <c r="CV247" s="16" t="s">
        <v>385</v>
      </c>
    </row>
    <row r="248" spans="1:100" ht="15" customHeight="1">
      <c r="A248" t="s">
        <v>1670</v>
      </c>
      <c r="B248" s="3" t="s">
        <v>1671</v>
      </c>
      <c r="C248" s="16" t="s">
        <v>97</v>
      </c>
      <c r="D248" s="44" t="s">
        <v>1672</v>
      </c>
      <c r="E248" s="16" t="s">
        <v>97</v>
      </c>
      <c r="F248" s="131" t="s">
        <v>1673</v>
      </c>
      <c r="I248" s="100" t="s">
        <v>342</v>
      </c>
      <c r="J248" s="16" t="s">
        <v>101</v>
      </c>
      <c r="K248" s="16"/>
      <c r="L248" s="3" t="s">
        <v>102</v>
      </c>
      <c r="M248" s="3" t="s">
        <v>103</v>
      </c>
      <c r="N248" s="3" t="s">
        <v>104</v>
      </c>
      <c r="O248" s="16" t="s">
        <v>105</v>
      </c>
      <c r="P248" s="3" t="s">
        <v>1674</v>
      </c>
      <c r="Q248" s="3" t="s">
        <v>1674</v>
      </c>
      <c r="R248" s="3" t="s">
        <v>1674</v>
      </c>
      <c r="S248" t="s">
        <v>1670</v>
      </c>
      <c r="T248" s="130" t="s">
        <v>465</v>
      </c>
      <c r="U248" s="34">
        <v>11</v>
      </c>
      <c r="V248" s="39"/>
      <c r="W248" s="39"/>
      <c r="X248" s="59" t="s">
        <v>108</v>
      </c>
      <c r="Y248" s="93">
        <f>IF(AD248=0, 0, IF(OR(H248="", H248&lt;&gt;0), 1, 0))</f>
        <v>1</v>
      </c>
      <c r="Z248" s="3">
        <v>0</v>
      </c>
      <c r="AA248" s="3" t="s">
        <v>1675</v>
      </c>
      <c r="AD248" s="6">
        <f>ROUND((AG248*(1+AJ248)),2)</f>
        <v>184.18</v>
      </c>
      <c r="AE248" s="69">
        <v>209.89759416000001</v>
      </c>
      <c r="AF248" s="17">
        <f>(AE248*1)</f>
        <v>209.89759416000001</v>
      </c>
      <c r="AG248" s="6">
        <f>ROUND((AE248*AI248),2)</f>
        <v>136.43</v>
      </c>
      <c r="AH248" s="30" t="s">
        <v>110</v>
      </c>
      <c r="AI248" s="3">
        <v>0.65</v>
      </c>
      <c r="AJ248" s="18">
        <v>0.35</v>
      </c>
      <c r="AK248" s="6">
        <f>ROUND((AD248-(AD248*BG248)),2)</f>
        <v>182.34</v>
      </c>
      <c r="AL248" s="6">
        <f>ROUND((AD248-(AD248*BH248)),2)</f>
        <v>180.5</v>
      </c>
      <c r="AM248" s="6">
        <f>ROUND((AD248-(AD248*BI248)),2)</f>
        <v>178.65</v>
      </c>
      <c r="AN248" s="6">
        <f>ROUND((AD248-(AD248*BJ248)),2)</f>
        <v>178.65</v>
      </c>
      <c r="AO248" s="6">
        <f>ROUND((AD248-(AD248*BK248)),2)</f>
        <v>184.18</v>
      </c>
      <c r="BG248" s="12">
        <v>0.01</v>
      </c>
      <c r="BH248" s="12">
        <v>0.02</v>
      </c>
      <c r="BI248" s="12">
        <v>0.03</v>
      </c>
      <c r="BJ248" s="12">
        <v>0.03</v>
      </c>
      <c r="CC248" s="3" t="str">
        <f>IF(B248&lt;&gt;"",CONCATENATE(SUBSTITUTE(B248," ","-"),".jpg"),"")</f>
        <v>Allied-Moulded-AMU1648CCF.jpg</v>
      </c>
      <c r="CD248" s="16" t="s">
        <v>111</v>
      </c>
      <c r="CE248" s="3"/>
      <c r="CF248" s="3"/>
      <c r="CG248" s="3" t="s">
        <v>112</v>
      </c>
      <c r="CI248" s="3" t="s">
        <v>97</v>
      </c>
      <c r="CJ248" s="3" t="s">
        <v>467</v>
      </c>
      <c r="CK248" s="3" t="s">
        <v>114</v>
      </c>
      <c r="CL248" s="3" t="s">
        <v>115</v>
      </c>
      <c r="CM248" s="16"/>
      <c r="CN248" s="16" t="s">
        <v>349</v>
      </c>
      <c r="CO248" s="3" t="s">
        <v>118</v>
      </c>
      <c r="CP248" s="3" t="s">
        <v>139</v>
      </c>
      <c r="CQ248" s="3" t="s">
        <v>120</v>
      </c>
      <c r="CR248" s="16" t="s">
        <v>121</v>
      </c>
      <c r="CS248" s="3" t="s">
        <v>384</v>
      </c>
      <c r="CT248" s="16" t="s">
        <v>242</v>
      </c>
      <c r="CU248" s="16" t="s">
        <v>1037</v>
      </c>
      <c r="CV248" s="16" t="s">
        <v>385</v>
      </c>
    </row>
    <row r="249" spans="1:100" ht="15" customHeight="1">
      <c r="A249" t="s">
        <v>1676</v>
      </c>
      <c r="B249" s="3" t="s">
        <v>1677</v>
      </c>
      <c r="C249" s="16" t="s">
        <v>97</v>
      </c>
      <c r="D249" s="44" t="s">
        <v>1678</v>
      </c>
      <c r="E249" s="16" t="s">
        <v>97</v>
      </c>
      <c r="F249" s="131" t="s">
        <v>1679</v>
      </c>
      <c r="I249" s="100" t="s">
        <v>342</v>
      </c>
      <c r="J249" s="16" t="s">
        <v>101</v>
      </c>
      <c r="K249" s="16"/>
      <c r="L249" s="3" t="s">
        <v>102</v>
      </c>
      <c r="M249" s="3" t="s">
        <v>103</v>
      </c>
      <c r="N249" s="3" t="s">
        <v>104</v>
      </c>
      <c r="O249" s="16" t="s">
        <v>105</v>
      </c>
      <c r="P249" s="3" t="s">
        <v>1680</v>
      </c>
      <c r="Q249" s="3" t="s">
        <v>1680</v>
      </c>
      <c r="R249" s="3" t="s">
        <v>1680</v>
      </c>
      <c r="S249" t="s">
        <v>1676</v>
      </c>
      <c r="T249" s="130" t="s">
        <v>465</v>
      </c>
      <c r="U249" s="34">
        <v>11</v>
      </c>
      <c r="V249" s="39"/>
      <c r="W249" s="39"/>
      <c r="X249" s="59" t="s">
        <v>108</v>
      </c>
      <c r="Y249" s="93">
        <f>IF(AD249=0, 0, IF(OR(H249="", H249&lt;&gt;0), 1, 0))</f>
        <v>1</v>
      </c>
      <c r="Z249" s="3">
        <v>0</v>
      </c>
      <c r="AA249" s="3" t="s">
        <v>1681</v>
      </c>
      <c r="AD249" s="6">
        <f>ROUND((AG249*(1+AJ249)),2)</f>
        <v>189.58</v>
      </c>
      <c r="AE249" s="69">
        <v>216.04793839999996</v>
      </c>
      <c r="AF249" s="17">
        <f>(AE249*1)</f>
        <v>216.04793839999996</v>
      </c>
      <c r="AG249" s="6">
        <f>ROUND((AE249*AI249),2)</f>
        <v>140.43</v>
      </c>
      <c r="AH249" s="30" t="s">
        <v>110</v>
      </c>
      <c r="AI249" s="3">
        <v>0.65</v>
      </c>
      <c r="AJ249" s="18">
        <v>0.35</v>
      </c>
      <c r="AK249" s="6">
        <f>ROUND((AD249-(AD249*BG249)),2)</f>
        <v>187.68</v>
      </c>
      <c r="AL249" s="6">
        <f>ROUND((AD249-(AD249*BH249)),2)</f>
        <v>185.79</v>
      </c>
      <c r="AM249" s="6">
        <f>ROUND((AD249-(AD249*BI249)),2)</f>
        <v>183.89</v>
      </c>
      <c r="AN249" s="6">
        <f>ROUND((AD249-(AD249*BJ249)),2)</f>
        <v>183.89</v>
      </c>
      <c r="AO249" s="6">
        <f>ROUND((AD249-(AD249*BK249)),2)</f>
        <v>189.58</v>
      </c>
      <c r="BG249" s="12">
        <v>0.01</v>
      </c>
      <c r="BH249" s="12">
        <v>0.02</v>
      </c>
      <c r="BI249" s="12">
        <v>0.03</v>
      </c>
      <c r="BJ249" s="12">
        <v>0.03</v>
      </c>
      <c r="CC249" s="3" t="str">
        <f>IF(B249&lt;&gt;"",CONCATENATE(SUBSTITUTE(B249," ","-"),".jpg"),"")</f>
        <v>Allied-Moulded-AMU1648CCH.jpg</v>
      </c>
      <c r="CD249" s="16" t="s">
        <v>111</v>
      </c>
      <c r="CE249" s="3"/>
      <c r="CF249" s="3"/>
      <c r="CG249" s="3" t="s">
        <v>112</v>
      </c>
      <c r="CI249" s="3" t="s">
        <v>97</v>
      </c>
      <c r="CJ249" s="3" t="s">
        <v>467</v>
      </c>
      <c r="CK249" s="3" t="s">
        <v>114</v>
      </c>
      <c r="CL249" s="3" t="s">
        <v>115</v>
      </c>
      <c r="CM249" s="3" t="s">
        <v>116</v>
      </c>
      <c r="CN249" s="16" t="s">
        <v>349</v>
      </c>
      <c r="CO249" s="3" t="s">
        <v>118</v>
      </c>
      <c r="CP249" s="3" t="s">
        <v>139</v>
      </c>
      <c r="CQ249" s="3" t="s">
        <v>120</v>
      </c>
      <c r="CR249" s="16" t="s">
        <v>121</v>
      </c>
      <c r="CS249" s="3" t="s">
        <v>384</v>
      </c>
      <c r="CT249" s="16" t="s">
        <v>242</v>
      </c>
      <c r="CU249" s="16" t="s">
        <v>1037</v>
      </c>
      <c r="CV249" s="16" t="s">
        <v>385</v>
      </c>
    </row>
    <row r="250" spans="1:100" ht="15" customHeight="1">
      <c r="A250" t="s">
        <v>1682</v>
      </c>
      <c r="B250" s="3" t="s">
        <v>1683</v>
      </c>
      <c r="C250" s="16" t="s">
        <v>97</v>
      </c>
      <c r="D250" s="43" t="s">
        <v>1684</v>
      </c>
      <c r="E250" s="16" t="s">
        <v>97</v>
      </c>
      <c r="F250" s="131" t="s">
        <v>1685</v>
      </c>
      <c r="I250" s="100" t="s">
        <v>342</v>
      </c>
      <c r="J250" s="16" t="s">
        <v>101</v>
      </c>
      <c r="K250" s="16"/>
      <c r="L250" s="3" t="s">
        <v>102</v>
      </c>
      <c r="M250" s="3" t="s">
        <v>103</v>
      </c>
      <c r="N250" s="3" t="s">
        <v>104</v>
      </c>
      <c r="O250" s="16" t="s">
        <v>105</v>
      </c>
      <c r="P250" s="3" t="s">
        <v>1686</v>
      </c>
      <c r="Q250" s="3" t="s">
        <v>1686</v>
      </c>
      <c r="R250" s="3" t="s">
        <v>1686</v>
      </c>
      <c r="S250" t="s">
        <v>1682</v>
      </c>
      <c r="T250" s="130" t="s">
        <v>465</v>
      </c>
      <c r="U250" s="35">
        <v>11</v>
      </c>
      <c r="V250" s="40"/>
      <c r="W250" s="40"/>
      <c r="X250" s="59" t="s">
        <v>108</v>
      </c>
      <c r="Y250" s="93">
        <f>IF(AD250=0, 0, IF(OR(H250="", H250&lt;&gt;0), 1, 0))</f>
        <v>1</v>
      </c>
      <c r="Z250" s="3">
        <v>0</v>
      </c>
      <c r="AA250" s="3" t="s">
        <v>1687</v>
      </c>
      <c r="AD250" s="6">
        <f>ROUND((AG250*(1+AJ250)),2)</f>
        <v>193.91</v>
      </c>
      <c r="AE250" s="69">
        <v>220.98530108000003</v>
      </c>
      <c r="AF250" s="17">
        <f>(AE250*1)</f>
        <v>220.98530108000003</v>
      </c>
      <c r="AG250" s="6">
        <f>ROUND((AE250*AI250),2)</f>
        <v>143.63999999999999</v>
      </c>
      <c r="AH250" s="30" t="s">
        <v>110</v>
      </c>
      <c r="AI250" s="3">
        <v>0.65</v>
      </c>
      <c r="AJ250" s="18">
        <v>0.35</v>
      </c>
      <c r="AK250" s="6">
        <f>ROUND((AD250-(AD250*BG250)),2)</f>
        <v>191.97</v>
      </c>
      <c r="AL250" s="6">
        <f>ROUND((AD250-(AD250*BH250)),2)</f>
        <v>190.03</v>
      </c>
      <c r="AM250" s="6">
        <f>ROUND((AD250-(AD250*BI250)),2)</f>
        <v>188.09</v>
      </c>
      <c r="AN250" s="6">
        <f>ROUND((AD250-(AD250*BJ250)),2)</f>
        <v>188.09</v>
      </c>
      <c r="AO250" s="6">
        <f>ROUND((AD250-(AD250*BK250)),2)</f>
        <v>193.91</v>
      </c>
      <c r="BG250" s="12">
        <v>0.01</v>
      </c>
      <c r="BH250" s="12">
        <v>0.02</v>
      </c>
      <c r="BI250" s="12">
        <v>0.03</v>
      </c>
      <c r="BJ250" s="12">
        <v>0.03</v>
      </c>
      <c r="CC250" s="3" t="str">
        <f>IF(B250&lt;&gt;"",CONCATENATE(SUBSTITUTE(B250," ","-"),".jpg"),"")</f>
        <v>Allied-Moulded-AMU1648CCHF.jpg</v>
      </c>
      <c r="CD250" s="16" t="s">
        <v>111</v>
      </c>
      <c r="CE250" s="3"/>
      <c r="CF250" s="3"/>
      <c r="CG250" s="3" t="s">
        <v>112</v>
      </c>
      <c r="CI250" s="3" t="s">
        <v>97</v>
      </c>
      <c r="CJ250" s="3" t="s">
        <v>467</v>
      </c>
      <c r="CK250" s="3" t="s">
        <v>114</v>
      </c>
      <c r="CL250" s="3" t="s">
        <v>115</v>
      </c>
      <c r="CM250" s="3" t="s">
        <v>116</v>
      </c>
      <c r="CN250" s="16" t="s">
        <v>349</v>
      </c>
      <c r="CO250" s="3" t="s">
        <v>118</v>
      </c>
      <c r="CP250" s="3" t="s">
        <v>139</v>
      </c>
      <c r="CQ250" s="3" t="s">
        <v>120</v>
      </c>
      <c r="CR250" s="16" t="s">
        <v>121</v>
      </c>
      <c r="CS250" s="3" t="s">
        <v>384</v>
      </c>
      <c r="CT250" s="16" t="s">
        <v>242</v>
      </c>
      <c r="CU250" s="16" t="s">
        <v>1037</v>
      </c>
      <c r="CV250" s="16" t="s">
        <v>385</v>
      </c>
    </row>
    <row r="251" spans="1:100" ht="15" customHeight="1">
      <c r="A251" t="s">
        <v>1688</v>
      </c>
      <c r="B251" s="3" t="s">
        <v>1689</v>
      </c>
      <c r="C251" s="16" t="s">
        <v>97</v>
      </c>
      <c r="D251" s="43" t="s">
        <v>1690</v>
      </c>
      <c r="E251" s="16" t="s">
        <v>97</v>
      </c>
      <c r="F251" s="131" t="s">
        <v>1691</v>
      </c>
      <c r="I251" s="100" t="s">
        <v>342</v>
      </c>
      <c r="J251" s="16" t="s">
        <v>101</v>
      </c>
      <c r="K251" s="16"/>
      <c r="L251" s="3" t="s">
        <v>102</v>
      </c>
      <c r="M251" s="3" t="s">
        <v>103</v>
      </c>
      <c r="N251" s="3" t="s">
        <v>104</v>
      </c>
      <c r="O251" s="16" t="s">
        <v>105</v>
      </c>
      <c r="P251" s="3" t="s">
        <v>1692</v>
      </c>
      <c r="Q251" s="3" t="s">
        <v>1692</v>
      </c>
      <c r="R251" s="3" t="s">
        <v>1692</v>
      </c>
      <c r="S251" t="s">
        <v>1688</v>
      </c>
      <c r="T251" s="130" t="s">
        <v>465</v>
      </c>
      <c r="U251" s="35">
        <v>11</v>
      </c>
      <c r="V251" s="40"/>
      <c r="W251" s="40"/>
      <c r="X251" s="59" t="s">
        <v>108</v>
      </c>
      <c r="Y251" s="93">
        <f>IF(AD251=0, 0, IF(OR(H251="", H251&lt;&gt;0), 1, 0))</f>
        <v>1</v>
      </c>
      <c r="Z251" s="3">
        <v>0</v>
      </c>
      <c r="AA251" s="3" t="s">
        <v>1693</v>
      </c>
      <c r="AD251" s="6">
        <f>ROUND((AG251*(1+AJ251)),2)</f>
        <v>216.39</v>
      </c>
      <c r="AE251" s="69">
        <v>246.59465252000001</v>
      </c>
      <c r="AF251" s="17">
        <f>(AE251*1)</f>
        <v>246.59465252000001</v>
      </c>
      <c r="AG251" s="6">
        <f>ROUND((AE251*AI251),2)</f>
        <v>160.29</v>
      </c>
      <c r="AH251" s="30" t="s">
        <v>110</v>
      </c>
      <c r="AI251" s="3">
        <v>0.65</v>
      </c>
      <c r="AJ251" s="18">
        <v>0.35</v>
      </c>
      <c r="AK251" s="6">
        <f>ROUND((AD251-(AD251*BG251)),2)</f>
        <v>214.23</v>
      </c>
      <c r="AL251" s="6">
        <f>ROUND((AD251-(AD251*BH251)),2)</f>
        <v>212.06</v>
      </c>
      <c r="AM251" s="6">
        <f>ROUND((AD251-(AD251*BI251)),2)</f>
        <v>209.9</v>
      </c>
      <c r="AN251" s="6">
        <f>ROUND((AD251-(AD251*BJ251)),2)</f>
        <v>209.9</v>
      </c>
      <c r="AO251" s="6">
        <f>ROUND((AD251-(AD251*BK251)),2)</f>
        <v>216.39</v>
      </c>
      <c r="BG251" s="12">
        <v>0.01</v>
      </c>
      <c r="BH251" s="12">
        <v>0.02</v>
      </c>
      <c r="BI251" s="12">
        <v>0.03</v>
      </c>
      <c r="BJ251" s="12">
        <v>0.03</v>
      </c>
      <c r="CC251" s="3" t="str">
        <f>IF(B251&lt;&gt;"",CONCATENATE(SUBSTITUTE(B251," ","-"),".jpg"),"")</f>
        <v>Allied-Moulded-AMU1648CCL.jpg</v>
      </c>
      <c r="CD251" s="16" t="s">
        <v>111</v>
      </c>
      <c r="CE251" s="3"/>
      <c r="CF251" s="3"/>
      <c r="CG251" s="3" t="s">
        <v>112</v>
      </c>
      <c r="CI251" s="3" t="s">
        <v>97</v>
      </c>
      <c r="CJ251" s="3" t="s">
        <v>467</v>
      </c>
      <c r="CK251" s="3" t="s">
        <v>114</v>
      </c>
      <c r="CL251" s="3" t="s">
        <v>115</v>
      </c>
      <c r="CM251" s="3" t="s">
        <v>116</v>
      </c>
      <c r="CN251" t="s">
        <v>117</v>
      </c>
      <c r="CO251" s="3" t="s">
        <v>118</v>
      </c>
      <c r="CP251" s="3" t="s">
        <v>139</v>
      </c>
      <c r="CQ251" s="3" t="s">
        <v>120</v>
      </c>
      <c r="CR251" s="16" t="s">
        <v>121</v>
      </c>
      <c r="CS251" s="16" t="s">
        <v>122</v>
      </c>
      <c r="CT251" s="16" t="s">
        <v>242</v>
      </c>
      <c r="CU251" s="16" t="s">
        <v>1037</v>
      </c>
      <c r="CV251" s="16" t="s">
        <v>385</v>
      </c>
    </row>
    <row r="252" spans="1:100" ht="15" customHeight="1">
      <c r="A252" t="s">
        <v>1694</v>
      </c>
      <c r="B252" s="3" t="s">
        <v>1695</v>
      </c>
      <c r="C252" s="16" t="s">
        <v>97</v>
      </c>
      <c r="D252" s="42" t="s">
        <v>1696</v>
      </c>
      <c r="E252" s="16" t="s">
        <v>97</v>
      </c>
      <c r="F252" s="131" t="s">
        <v>1697</v>
      </c>
      <c r="I252" s="100" t="s">
        <v>342</v>
      </c>
      <c r="J252" s="16" t="s">
        <v>101</v>
      </c>
      <c r="K252" s="16"/>
      <c r="L252" s="3" t="s">
        <v>102</v>
      </c>
      <c r="M252" s="3" t="s">
        <v>103</v>
      </c>
      <c r="N252" s="3" t="s">
        <v>104</v>
      </c>
      <c r="O252" s="16" t="s">
        <v>105</v>
      </c>
      <c r="P252" s="3" t="s">
        <v>1698</v>
      </c>
      <c r="Q252" s="3" t="s">
        <v>1698</v>
      </c>
      <c r="R252" s="3" t="s">
        <v>1698</v>
      </c>
      <c r="S252" t="s">
        <v>1694</v>
      </c>
      <c r="T252" s="130" t="s">
        <v>465</v>
      </c>
      <c r="U252" s="36">
        <v>11</v>
      </c>
      <c r="V252" s="39"/>
      <c r="W252" s="39"/>
      <c r="X252" s="59" t="s">
        <v>108</v>
      </c>
      <c r="Y252" s="93">
        <f>IF(AD252=0, 0, IF(OR(H252="", H252&lt;&gt;0), 1, 0))</f>
        <v>1</v>
      </c>
      <c r="Z252" s="3">
        <v>0</v>
      </c>
      <c r="AA252" s="3" t="s">
        <v>1699</v>
      </c>
      <c r="AD252" s="6">
        <f>ROUND((AG252*(1+AJ252)),2)</f>
        <v>221.31</v>
      </c>
      <c r="AE252" s="68">
        <v>252.19829953999999</v>
      </c>
      <c r="AF252" s="17">
        <f>(AE252*1)</f>
        <v>252.19829953999999</v>
      </c>
      <c r="AG252" s="6">
        <f>ROUND((AE252*AI252),2)</f>
        <v>163.93</v>
      </c>
      <c r="AH252" s="30" t="s">
        <v>110</v>
      </c>
      <c r="AI252" s="3">
        <v>0.65</v>
      </c>
      <c r="AJ252" s="18">
        <v>0.35</v>
      </c>
      <c r="AK252" s="6">
        <f>ROUND((AD252-(AD252*BG252)),2)</f>
        <v>219.1</v>
      </c>
      <c r="AL252" s="6">
        <f>ROUND((AD252-(AD252*BH252)),2)</f>
        <v>216.88</v>
      </c>
      <c r="AM252" s="6">
        <f>ROUND((AD252-(AD252*BI252)),2)</f>
        <v>214.67</v>
      </c>
      <c r="AN252" s="6">
        <f>ROUND((AD252-(AD252*BJ252)),2)</f>
        <v>214.67</v>
      </c>
      <c r="AO252" s="6">
        <f>ROUND((AD252-(AD252*BK252)),2)</f>
        <v>221.31</v>
      </c>
      <c r="BG252" s="12">
        <v>0.01</v>
      </c>
      <c r="BH252" s="12">
        <v>0.02</v>
      </c>
      <c r="BI252" s="12">
        <v>0.03</v>
      </c>
      <c r="BJ252" s="12">
        <v>0.03</v>
      </c>
      <c r="CC252" s="3" t="str">
        <f>IF(B252&lt;&gt;"",CONCATENATE(SUBSTITUTE(B252," ","-"),".jpg"),"")</f>
        <v>Allied-Moulded-AMU1648CCLF.jpg</v>
      </c>
      <c r="CD252" s="16" t="s">
        <v>111</v>
      </c>
      <c r="CE252" s="3"/>
      <c r="CF252" s="3"/>
      <c r="CG252" s="3" t="s">
        <v>112</v>
      </c>
      <c r="CI252" s="3" t="s">
        <v>97</v>
      </c>
      <c r="CJ252" s="3" t="s">
        <v>467</v>
      </c>
      <c r="CK252" s="3" t="s">
        <v>114</v>
      </c>
      <c r="CL252" s="3" t="s">
        <v>115</v>
      </c>
      <c r="CM252" s="3" t="s">
        <v>116</v>
      </c>
      <c r="CN252" t="s">
        <v>117</v>
      </c>
      <c r="CO252" s="3" t="s">
        <v>118</v>
      </c>
      <c r="CP252" s="3" t="s">
        <v>139</v>
      </c>
      <c r="CQ252" s="3" t="s">
        <v>120</v>
      </c>
      <c r="CR252" s="16" t="s">
        <v>121</v>
      </c>
      <c r="CS252" s="16" t="s">
        <v>122</v>
      </c>
      <c r="CT252" s="16" t="s">
        <v>242</v>
      </c>
      <c r="CU252" s="16" t="s">
        <v>1037</v>
      </c>
      <c r="CV252" s="16" t="s">
        <v>385</v>
      </c>
    </row>
    <row r="253" spans="1:100" ht="15" customHeight="1">
      <c r="A253" t="s">
        <v>1700</v>
      </c>
      <c r="B253" s="3" t="s">
        <v>1701</v>
      </c>
      <c r="C253" s="16" t="s">
        <v>97</v>
      </c>
      <c r="D253" s="44" t="s">
        <v>1702</v>
      </c>
      <c r="E253" s="16" t="s">
        <v>97</v>
      </c>
      <c r="F253" s="131" t="s">
        <v>1703</v>
      </c>
      <c r="I253" s="100" t="s">
        <v>342</v>
      </c>
      <c r="J253" s="16" t="s">
        <v>101</v>
      </c>
      <c r="K253" s="16"/>
      <c r="L253" s="3" t="s">
        <v>102</v>
      </c>
      <c r="M253" s="3" t="s">
        <v>103</v>
      </c>
      <c r="N253" s="3" t="s">
        <v>104</v>
      </c>
      <c r="O253" s="16" t="s">
        <v>105</v>
      </c>
      <c r="P253" s="3" t="s">
        <v>1704</v>
      </c>
      <c r="Q253" s="3" t="s">
        <v>1704</v>
      </c>
      <c r="R253" s="3" t="s">
        <v>1704</v>
      </c>
      <c r="S253" t="s">
        <v>1700</v>
      </c>
      <c r="T253" s="130" t="s">
        <v>465</v>
      </c>
      <c r="U253" s="34">
        <v>11</v>
      </c>
      <c r="V253" s="39"/>
      <c r="W253" s="39"/>
      <c r="X253" s="59" t="s">
        <v>108</v>
      </c>
      <c r="Y253" s="93">
        <f>IF(AD253=0, 0, IF(OR(H253="", H253&lt;&gt;0), 1, 0))</f>
        <v>1</v>
      </c>
      <c r="Z253" s="3">
        <v>0</v>
      </c>
      <c r="AA253" s="3" t="s">
        <v>1705</v>
      </c>
      <c r="AD253" s="6">
        <f>ROUND((AG253*(1+AJ253)),2)</f>
        <v>205.58</v>
      </c>
      <c r="AE253" s="69">
        <v>234.27687840000002</v>
      </c>
      <c r="AF253" s="17">
        <f>(AE253*1)</f>
        <v>234.27687840000002</v>
      </c>
      <c r="AG253" s="6">
        <f>ROUND((AE253*AI253),2)</f>
        <v>152.28</v>
      </c>
      <c r="AH253" s="30" t="s">
        <v>110</v>
      </c>
      <c r="AI253" s="3">
        <v>0.65</v>
      </c>
      <c r="AJ253" s="18">
        <v>0.35</v>
      </c>
      <c r="AK253" s="6">
        <f>ROUND((AD253-(AD253*BG253)),2)</f>
        <v>203.52</v>
      </c>
      <c r="AL253" s="6">
        <f>ROUND((AD253-(AD253*BH253)),2)</f>
        <v>201.47</v>
      </c>
      <c r="AM253" s="6">
        <f>ROUND((AD253-(AD253*BI253)),2)</f>
        <v>199.41</v>
      </c>
      <c r="AN253" s="6">
        <f>ROUND((AD253-(AD253*BJ253)),2)</f>
        <v>199.41</v>
      </c>
      <c r="AO253" s="6">
        <f>ROUND((AD253-(AD253*BK253)),2)</f>
        <v>205.58</v>
      </c>
      <c r="BG253" s="12">
        <v>0.01</v>
      </c>
      <c r="BH253" s="12">
        <v>0.02</v>
      </c>
      <c r="BI253" s="12">
        <v>0.03</v>
      </c>
      <c r="BJ253" s="12">
        <v>0.03</v>
      </c>
      <c r="CC253" s="3" t="str">
        <f>IF(B253&lt;&gt;"",CONCATENATE(SUBSTITUTE(B253," ","-"),".jpg"),"")</f>
        <v>Allied-Moulded-AMU1648CCNL.jpg</v>
      </c>
      <c r="CD253" s="16" t="s">
        <v>111</v>
      </c>
      <c r="CE253" s="3"/>
      <c r="CF253" s="3"/>
      <c r="CG253" s="3" t="s">
        <v>112</v>
      </c>
      <c r="CI253" s="3" t="s">
        <v>97</v>
      </c>
      <c r="CJ253" s="3" t="s">
        <v>467</v>
      </c>
      <c r="CK253" s="3" t="s">
        <v>114</v>
      </c>
      <c r="CL253" s="3" t="s">
        <v>115</v>
      </c>
      <c r="CM253" s="3" t="s">
        <v>116</v>
      </c>
      <c r="CN253" t="s">
        <v>117</v>
      </c>
      <c r="CO253" s="3" t="s">
        <v>118</v>
      </c>
      <c r="CP253" s="3" t="s">
        <v>139</v>
      </c>
      <c r="CQ253" s="3" t="s">
        <v>120</v>
      </c>
      <c r="CR253" s="16" t="s">
        <v>121</v>
      </c>
      <c r="CS253" s="16" t="s">
        <v>122</v>
      </c>
      <c r="CT253" s="16" t="s">
        <v>242</v>
      </c>
      <c r="CU253" s="16" t="s">
        <v>1037</v>
      </c>
      <c r="CV253" s="16" t="s">
        <v>385</v>
      </c>
    </row>
    <row r="254" spans="1:100" ht="15" customHeight="1">
      <c r="A254" t="s">
        <v>1706</v>
      </c>
      <c r="B254" s="3" t="s">
        <v>1707</v>
      </c>
      <c r="C254" s="16" t="s">
        <v>97</v>
      </c>
      <c r="D254" s="43" t="s">
        <v>1708</v>
      </c>
      <c r="E254" s="16" t="s">
        <v>97</v>
      </c>
      <c r="F254" s="131" t="s">
        <v>1709</v>
      </c>
      <c r="I254" s="100" t="s">
        <v>342</v>
      </c>
      <c r="J254" s="16" t="s">
        <v>101</v>
      </c>
      <c r="K254" s="16"/>
      <c r="L254" s="3" t="s">
        <v>102</v>
      </c>
      <c r="M254" s="3" t="s">
        <v>103</v>
      </c>
      <c r="N254" s="3" t="s">
        <v>104</v>
      </c>
      <c r="O254" s="16" t="s">
        <v>105</v>
      </c>
      <c r="P254" s="3" t="s">
        <v>1710</v>
      </c>
      <c r="Q254" s="3" t="s">
        <v>1710</v>
      </c>
      <c r="R254" s="3" t="s">
        <v>1710</v>
      </c>
      <c r="S254" t="s">
        <v>1706</v>
      </c>
      <c r="T254" s="130" t="s">
        <v>465</v>
      </c>
      <c r="U254" s="35">
        <v>11</v>
      </c>
      <c r="V254" s="40"/>
      <c r="W254" s="40"/>
      <c r="X254" s="59" t="s">
        <v>108</v>
      </c>
      <c r="Y254" s="93">
        <f>IF(AD254=0, 0, IF(OR(H254="", H254&lt;&gt;0), 1, 0))</f>
        <v>1</v>
      </c>
      <c r="Z254" s="3">
        <v>0</v>
      </c>
      <c r="AA254" s="3" t="s">
        <v>1711</v>
      </c>
      <c r="AD254" s="6">
        <f>ROUND((AG254*(1+AJ254)),2)</f>
        <v>210.24</v>
      </c>
      <c r="AE254" s="69">
        <v>239.59009323000001</v>
      </c>
      <c r="AF254" s="17">
        <f>(AE254*1)</f>
        <v>239.59009323000001</v>
      </c>
      <c r="AG254" s="6">
        <f>ROUND((AE254*AI254),2)</f>
        <v>155.72999999999999</v>
      </c>
      <c r="AH254" s="30" t="s">
        <v>110</v>
      </c>
      <c r="AI254" s="3">
        <v>0.65</v>
      </c>
      <c r="AJ254" s="18">
        <v>0.35</v>
      </c>
      <c r="AK254" s="6">
        <f>ROUND((AD254-(AD254*BG254)),2)</f>
        <v>208.14</v>
      </c>
      <c r="AL254" s="6">
        <f>ROUND((AD254-(AD254*BH254)),2)</f>
        <v>206.04</v>
      </c>
      <c r="AM254" s="6">
        <f>ROUND((AD254-(AD254*BI254)),2)</f>
        <v>203.93</v>
      </c>
      <c r="AN254" s="6">
        <f>ROUND((AD254-(AD254*BJ254)),2)</f>
        <v>203.93</v>
      </c>
      <c r="AO254" s="6">
        <f>ROUND((AD254-(AD254*BK254)),2)</f>
        <v>210.24</v>
      </c>
      <c r="BG254" s="12">
        <v>0.01</v>
      </c>
      <c r="BH254" s="12">
        <v>0.02</v>
      </c>
      <c r="BI254" s="12">
        <v>0.03</v>
      </c>
      <c r="BJ254" s="12">
        <v>0.03</v>
      </c>
      <c r="CC254" s="3" t="str">
        <f>IF(B254&lt;&gt;"",CONCATENATE(SUBSTITUTE(B254," ","-"),".jpg"),"")</f>
        <v>Allied-Moulded-AMU1648CCNLF.jpg</v>
      </c>
      <c r="CD254" s="16" t="s">
        <v>111</v>
      </c>
      <c r="CE254" s="3"/>
      <c r="CF254" s="3"/>
      <c r="CG254" s="3" t="s">
        <v>112</v>
      </c>
      <c r="CI254" s="3" t="s">
        <v>97</v>
      </c>
      <c r="CJ254" s="3" t="s">
        <v>467</v>
      </c>
      <c r="CK254" s="3" t="s">
        <v>114</v>
      </c>
      <c r="CL254" s="3" t="s">
        <v>115</v>
      </c>
      <c r="CM254" s="3" t="s">
        <v>116</v>
      </c>
      <c r="CN254" t="s">
        <v>117</v>
      </c>
      <c r="CO254" s="3" t="s">
        <v>118</v>
      </c>
      <c r="CP254" s="3" t="s">
        <v>139</v>
      </c>
      <c r="CQ254" s="3" t="s">
        <v>120</v>
      </c>
      <c r="CR254" s="16" t="s">
        <v>121</v>
      </c>
      <c r="CS254" s="16" t="s">
        <v>122</v>
      </c>
      <c r="CT254" s="16" t="s">
        <v>242</v>
      </c>
      <c r="CU254" s="16" t="s">
        <v>1037</v>
      </c>
      <c r="CV254" s="16" t="s">
        <v>385</v>
      </c>
    </row>
    <row r="255" spans="1:100" ht="15" customHeight="1">
      <c r="A255" t="s">
        <v>1712</v>
      </c>
      <c r="B255" s="3" t="s">
        <v>1713</v>
      </c>
      <c r="C255" s="16" t="s">
        <v>97</v>
      </c>
      <c r="D255" s="43" t="s">
        <v>1714</v>
      </c>
      <c r="E255" s="16" t="s">
        <v>97</v>
      </c>
      <c r="F255" s="131" t="s">
        <v>1715</v>
      </c>
      <c r="I255" s="100" t="s">
        <v>342</v>
      </c>
      <c r="J255" s="16" t="s">
        <v>101</v>
      </c>
      <c r="K255" s="16"/>
      <c r="L255" s="3" t="s">
        <v>102</v>
      </c>
      <c r="M255" s="3" t="s">
        <v>103</v>
      </c>
      <c r="N255" s="3" t="s">
        <v>104</v>
      </c>
      <c r="O255" s="16" t="s">
        <v>105</v>
      </c>
      <c r="P255" s="3" t="s">
        <v>1716</v>
      </c>
      <c r="Q255" s="3" t="s">
        <v>1716</v>
      </c>
      <c r="R255" s="3" t="s">
        <v>1716</v>
      </c>
      <c r="S255" t="s">
        <v>1712</v>
      </c>
      <c r="T255" s="130" t="s">
        <v>465</v>
      </c>
      <c r="U255" s="35">
        <v>11</v>
      </c>
      <c r="V255" s="40"/>
      <c r="W255" s="40"/>
      <c r="X255" s="59" t="s">
        <v>108</v>
      </c>
      <c r="Y255" s="93">
        <f>IF(AD255=0, 0, IF(OR(H255="", H255&lt;&gt;0), 1, 0))</f>
        <v>1</v>
      </c>
      <c r="Z255" s="3">
        <v>0</v>
      </c>
      <c r="AA255" s="3" t="s">
        <v>1717</v>
      </c>
      <c r="AD255" s="6">
        <f>ROUND((AG255*(1+AJ255)),2)</f>
        <v>216.39</v>
      </c>
      <c r="AE255" s="69">
        <v>246.59465252000001</v>
      </c>
      <c r="AF255" s="17">
        <f>(AE255*1)</f>
        <v>246.59465252000001</v>
      </c>
      <c r="AG255" s="6">
        <f>ROUND((AE255*AI255),2)</f>
        <v>160.29</v>
      </c>
      <c r="AH255" s="30" t="s">
        <v>110</v>
      </c>
      <c r="AI255" s="3">
        <v>0.65</v>
      </c>
      <c r="AJ255" s="18">
        <v>0.35</v>
      </c>
      <c r="AK255" s="6">
        <f>ROUND((AD255-(AD255*BG255)),2)</f>
        <v>214.23</v>
      </c>
      <c r="AL255" s="6">
        <f>ROUND((AD255-(AD255*BH255)),2)</f>
        <v>212.06</v>
      </c>
      <c r="AM255" s="6">
        <f>ROUND((AD255-(AD255*BI255)),2)</f>
        <v>209.9</v>
      </c>
      <c r="AN255" s="6">
        <f>ROUND((AD255-(AD255*BJ255)),2)</f>
        <v>209.9</v>
      </c>
      <c r="AO255" s="6">
        <f>ROUND((AD255-(AD255*BK255)),2)</f>
        <v>216.39</v>
      </c>
      <c r="BG255" s="12">
        <v>0.01</v>
      </c>
      <c r="BH255" s="12">
        <v>0.02</v>
      </c>
      <c r="BI255" s="12">
        <v>0.03</v>
      </c>
      <c r="BJ255" s="12">
        <v>0.03</v>
      </c>
      <c r="CC255" s="3" t="str">
        <f>IF(B255&lt;&gt;"",CONCATENATE(SUBSTITUTE(B255," ","-"),".jpg"),"")</f>
        <v>Allied-Moulded-AMU1648CCT.jpg</v>
      </c>
      <c r="CD255" s="16" t="s">
        <v>111</v>
      </c>
      <c r="CE255" s="3"/>
      <c r="CF255" s="3"/>
      <c r="CG255" s="3" t="s">
        <v>112</v>
      </c>
      <c r="CI255" s="3" t="s">
        <v>97</v>
      </c>
      <c r="CJ255" s="3" t="s">
        <v>467</v>
      </c>
      <c r="CK255" s="3" t="s">
        <v>114</v>
      </c>
      <c r="CL255" s="3" t="s">
        <v>115</v>
      </c>
      <c r="CM255" s="3" t="s">
        <v>116</v>
      </c>
      <c r="CN255" s="16" t="s">
        <v>132</v>
      </c>
      <c r="CO255" s="3" t="s">
        <v>118</v>
      </c>
      <c r="CP255" s="3" t="s">
        <v>139</v>
      </c>
      <c r="CQ255" s="3" t="s">
        <v>120</v>
      </c>
      <c r="CR255" s="16" t="s">
        <v>121</v>
      </c>
      <c r="CS255" s="16" t="s">
        <v>122</v>
      </c>
      <c r="CT255" s="16" t="s">
        <v>242</v>
      </c>
      <c r="CU255" s="16" t="s">
        <v>1037</v>
      </c>
      <c r="CV255" s="16" t="s">
        <v>385</v>
      </c>
    </row>
    <row r="256" spans="1:100" ht="15" customHeight="1">
      <c r="A256" t="s">
        <v>1718</v>
      </c>
      <c r="B256" s="3" t="s">
        <v>1719</v>
      </c>
      <c r="C256" s="16" t="s">
        <v>97</v>
      </c>
      <c r="D256" s="44" t="s">
        <v>1720</v>
      </c>
      <c r="E256" s="16" t="s">
        <v>97</v>
      </c>
      <c r="F256" s="131" t="s">
        <v>1721</v>
      </c>
      <c r="I256" s="100" t="s">
        <v>342</v>
      </c>
      <c r="J256" s="16" t="s">
        <v>101</v>
      </c>
      <c r="K256" s="16"/>
      <c r="L256" s="3" t="s">
        <v>102</v>
      </c>
      <c r="M256" s="3" t="s">
        <v>103</v>
      </c>
      <c r="N256" s="3" t="s">
        <v>104</v>
      </c>
      <c r="O256" s="16" t="s">
        <v>478</v>
      </c>
      <c r="P256" s="3" t="s">
        <v>1722</v>
      </c>
      <c r="Q256" s="3" t="s">
        <v>1722</v>
      </c>
      <c r="R256" s="3" t="s">
        <v>1722</v>
      </c>
      <c r="S256" t="s">
        <v>1718</v>
      </c>
      <c r="T256" s="130" t="s">
        <v>465</v>
      </c>
      <c r="U256" s="50">
        <v>9</v>
      </c>
      <c r="V256" s="54"/>
      <c r="W256" s="54"/>
      <c r="X256" s="59" t="s">
        <v>108</v>
      </c>
      <c r="Y256" s="93">
        <f>IF(AD256=0, 0, IF(OR(H256="", H256&lt;&gt;0), 1, 0))</f>
        <v>1</v>
      </c>
      <c r="Z256" s="3">
        <v>0</v>
      </c>
      <c r="AA256" s="3" t="s">
        <v>1723</v>
      </c>
      <c r="AD256" s="6">
        <f>ROUND((AG256*(1+AJ256)),2)</f>
        <v>126.06</v>
      </c>
      <c r="AE256" s="69">
        <v>143.65999935000002</v>
      </c>
      <c r="AF256" s="17">
        <f>(AE256*1)</f>
        <v>143.65999935000002</v>
      </c>
      <c r="AG256" s="6">
        <f>ROUND((AE256*AI256),2)</f>
        <v>93.38</v>
      </c>
      <c r="AH256" s="30" t="s">
        <v>110</v>
      </c>
      <c r="AI256" s="3">
        <v>0.65</v>
      </c>
      <c r="AJ256" s="18">
        <v>0.35</v>
      </c>
      <c r="AK256" s="6">
        <f>ROUND((AD256-(AD256*BG256)),2)</f>
        <v>124.8</v>
      </c>
      <c r="AL256" s="6">
        <f>ROUND((AD256-(AD256*BH256)),2)</f>
        <v>123.54</v>
      </c>
      <c r="AM256" s="6">
        <f>ROUND((AD256-(AD256*BI256)),2)</f>
        <v>122.28</v>
      </c>
      <c r="AN256" s="6">
        <f>ROUND((AD256-(AD256*BJ256)),2)</f>
        <v>122.28</v>
      </c>
      <c r="AO256" s="6">
        <f>ROUND((AD256-(AD256*BK256)),2)</f>
        <v>126.06</v>
      </c>
      <c r="BG256" s="12">
        <v>0.01</v>
      </c>
      <c r="BH256" s="12">
        <v>0.02</v>
      </c>
      <c r="BI256" s="12">
        <v>0.03</v>
      </c>
      <c r="BJ256" s="12">
        <v>0.03</v>
      </c>
      <c r="CC256" s="3" t="str">
        <f>IF(B256&lt;&gt;"",CONCATENATE(SUBSTITUTE(B256," ","-"),".jpg"),"")</f>
        <v>Allied-Moulded-AMP1648CC.jpg</v>
      </c>
      <c r="CD256" s="16" t="s">
        <v>111</v>
      </c>
      <c r="CE256" s="3"/>
      <c r="CF256" s="3"/>
      <c r="CG256" s="3" t="s">
        <v>112</v>
      </c>
      <c r="CI256" s="3" t="s">
        <v>97</v>
      </c>
      <c r="CJ256" s="3" t="s">
        <v>481</v>
      </c>
      <c r="CK256" s="3" t="s">
        <v>114</v>
      </c>
      <c r="CL256" s="3" t="s">
        <v>115</v>
      </c>
      <c r="CM256" s="16"/>
      <c r="CN256" s="16" t="s">
        <v>349</v>
      </c>
      <c r="CO256" s="3" t="s">
        <v>482</v>
      </c>
      <c r="CP256" s="3" t="s">
        <v>139</v>
      </c>
      <c r="CQ256" s="3" t="s">
        <v>120</v>
      </c>
      <c r="CR256" s="16" t="s">
        <v>121</v>
      </c>
      <c r="CS256" s="3" t="s">
        <v>384</v>
      </c>
      <c r="CT256" s="16" t="s">
        <v>242</v>
      </c>
      <c r="CU256" s="16" t="s">
        <v>1037</v>
      </c>
      <c r="CV256" s="16" t="s">
        <v>385</v>
      </c>
    </row>
    <row r="257" spans="1:100" ht="15" customHeight="1">
      <c r="A257" t="s">
        <v>1724</v>
      </c>
      <c r="B257" s="3" t="s">
        <v>1725</v>
      </c>
      <c r="C257" s="16" t="s">
        <v>97</v>
      </c>
      <c r="D257" s="43" t="s">
        <v>1726</v>
      </c>
      <c r="E257" s="16" t="s">
        <v>97</v>
      </c>
      <c r="F257" s="131" t="s">
        <v>1727</v>
      </c>
      <c r="I257" s="100" t="s">
        <v>342</v>
      </c>
      <c r="J257" s="16" t="s">
        <v>101</v>
      </c>
      <c r="K257" s="16"/>
      <c r="L257" s="3" t="s">
        <v>102</v>
      </c>
      <c r="M257" s="3" t="s">
        <v>103</v>
      </c>
      <c r="N257" s="3" t="s">
        <v>104</v>
      </c>
      <c r="O257" s="16" t="s">
        <v>478</v>
      </c>
      <c r="P257" s="3" t="s">
        <v>1728</v>
      </c>
      <c r="Q257" s="3" t="s">
        <v>1728</v>
      </c>
      <c r="R257" s="3" t="s">
        <v>1728</v>
      </c>
      <c r="S257" t="s">
        <v>1724</v>
      </c>
      <c r="T257" s="130" t="s">
        <v>465</v>
      </c>
      <c r="U257" s="51">
        <v>9</v>
      </c>
      <c r="V257" s="58"/>
      <c r="W257" s="58"/>
      <c r="X257" s="59" t="s">
        <v>108</v>
      </c>
      <c r="Y257" s="93">
        <f>IF(AD257=0, 0, IF(OR(H257="", H257&lt;&gt;0), 1, 0))</f>
        <v>1</v>
      </c>
      <c r="Z257" s="3">
        <v>0</v>
      </c>
      <c r="AA257" s="3" t="s">
        <v>1729</v>
      </c>
      <c r="AD257" s="6">
        <f>ROUND((AG257*(1+AJ257)),2)</f>
        <v>132.35</v>
      </c>
      <c r="AE257" s="69">
        <v>150.83744444999999</v>
      </c>
      <c r="AF257" s="17">
        <f>(AE257*1)</f>
        <v>150.83744444999999</v>
      </c>
      <c r="AG257" s="6">
        <f>ROUND((AE257*AI257),2)</f>
        <v>98.04</v>
      </c>
      <c r="AH257" s="30" t="s">
        <v>110</v>
      </c>
      <c r="AI257" s="3">
        <v>0.65</v>
      </c>
      <c r="AJ257" s="18">
        <v>0.35</v>
      </c>
      <c r="AK257" s="6">
        <f>ROUND((AD257-(AD257*BG257)),2)</f>
        <v>131.03</v>
      </c>
      <c r="AL257" s="6">
        <f>ROUND((AD257-(AD257*BH257)),2)</f>
        <v>129.69999999999999</v>
      </c>
      <c r="AM257" s="6">
        <f>ROUND((AD257-(AD257*BI257)),2)</f>
        <v>128.38</v>
      </c>
      <c r="AN257" s="6">
        <f>ROUND((AD257-(AD257*BJ257)),2)</f>
        <v>128.38</v>
      </c>
      <c r="AO257" s="6">
        <f>ROUND((AD257-(AD257*BK257)),2)</f>
        <v>132.35</v>
      </c>
      <c r="BG257" s="12">
        <v>0.01</v>
      </c>
      <c r="BH257" s="12">
        <v>0.02</v>
      </c>
      <c r="BI257" s="12">
        <v>0.03</v>
      </c>
      <c r="BJ257" s="12">
        <v>0.03</v>
      </c>
      <c r="CC257" s="3" t="str">
        <f>IF(B257&lt;&gt;"",CONCATENATE(SUBSTITUTE(B257," ","-"),".jpg"),"")</f>
        <v>Allied-Moulded-AMP1648CCF.jpg</v>
      </c>
      <c r="CD257" s="16" t="s">
        <v>111</v>
      </c>
      <c r="CE257" s="3"/>
      <c r="CF257" s="3"/>
      <c r="CG257" s="3" t="s">
        <v>112</v>
      </c>
      <c r="CI257" s="3" t="s">
        <v>97</v>
      </c>
      <c r="CJ257" s="3" t="s">
        <v>481</v>
      </c>
      <c r="CK257" s="3" t="s">
        <v>114</v>
      </c>
      <c r="CL257" s="3" t="s">
        <v>115</v>
      </c>
      <c r="CM257" s="16"/>
      <c r="CN257" s="16" t="s">
        <v>349</v>
      </c>
      <c r="CO257" s="3" t="s">
        <v>482</v>
      </c>
      <c r="CP257" s="3" t="s">
        <v>139</v>
      </c>
      <c r="CQ257" s="3" t="s">
        <v>120</v>
      </c>
      <c r="CR257" s="16" t="s">
        <v>121</v>
      </c>
      <c r="CS257" s="3" t="s">
        <v>384</v>
      </c>
      <c r="CT257" s="16" t="s">
        <v>242</v>
      </c>
      <c r="CU257" s="16" t="s">
        <v>1037</v>
      </c>
      <c r="CV257" s="16" t="s">
        <v>385</v>
      </c>
    </row>
    <row r="258" spans="1:100" ht="15" customHeight="1">
      <c r="A258" t="s">
        <v>1730</v>
      </c>
      <c r="B258" s="3" t="s">
        <v>1731</v>
      </c>
      <c r="C258" s="16" t="s">
        <v>97</v>
      </c>
      <c r="D258" s="43" t="s">
        <v>1732</v>
      </c>
      <c r="E258" s="16" t="s">
        <v>97</v>
      </c>
      <c r="F258" s="131" t="s">
        <v>1733</v>
      </c>
      <c r="I258" s="100" t="s">
        <v>342</v>
      </c>
      <c r="J258" s="16" t="s">
        <v>101</v>
      </c>
      <c r="K258" s="16"/>
      <c r="L258" s="3" t="s">
        <v>102</v>
      </c>
      <c r="M258" s="3" t="s">
        <v>103</v>
      </c>
      <c r="N258" s="3" t="s">
        <v>104</v>
      </c>
      <c r="O258" s="16" t="s">
        <v>478</v>
      </c>
      <c r="P258" s="3" t="s">
        <v>1734</v>
      </c>
      <c r="Q258" s="3" t="s">
        <v>1734</v>
      </c>
      <c r="R258" s="3" t="s">
        <v>1734</v>
      </c>
      <c r="S258" t="s">
        <v>1730</v>
      </c>
      <c r="T258" s="130" t="s">
        <v>465</v>
      </c>
      <c r="U258" s="51">
        <v>9</v>
      </c>
      <c r="V258" s="58"/>
      <c r="W258" s="58"/>
      <c r="X258" s="59" t="s">
        <v>108</v>
      </c>
      <c r="Y258" s="93">
        <f>IF(AD258=0, 0, IF(OR(H258="", H258&lt;&gt;0), 1, 0))</f>
        <v>1</v>
      </c>
      <c r="Z258" s="3">
        <v>0</v>
      </c>
      <c r="AA258" s="3" t="s">
        <v>1735</v>
      </c>
      <c r="AD258" s="6">
        <f>ROUND((AG258*(1+AJ258)),2)</f>
        <v>129.1</v>
      </c>
      <c r="AE258" s="69">
        <v>147.12168555000002</v>
      </c>
      <c r="AF258" s="17">
        <f>(AE258*1)</f>
        <v>147.12168555000002</v>
      </c>
      <c r="AG258" s="6">
        <f>ROUND((AE258*AI258),2)</f>
        <v>95.63</v>
      </c>
      <c r="AH258" s="30" t="s">
        <v>110</v>
      </c>
      <c r="AI258" s="3">
        <v>0.65</v>
      </c>
      <c r="AJ258" s="18">
        <v>0.35</v>
      </c>
      <c r="AK258" s="6">
        <f>ROUND((AD258-(AD258*BG258)),2)</f>
        <v>127.81</v>
      </c>
      <c r="AL258" s="6">
        <f>ROUND((AD258-(AD258*BH258)),2)</f>
        <v>126.52</v>
      </c>
      <c r="AM258" s="6">
        <f>ROUND((AD258-(AD258*BI258)),2)</f>
        <v>125.23</v>
      </c>
      <c r="AN258" s="6">
        <f>ROUND((AD258-(AD258*BJ258)),2)</f>
        <v>125.23</v>
      </c>
      <c r="AO258" s="6">
        <f>ROUND((AD258-(AD258*BK258)),2)</f>
        <v>129.1</v>
      </c>
      <c r="BG258" s="12">
        <v>0.01</v>
      </c>
      <c r="BH258" s="12">
        <v>0.02</v>
      </c>
      <c r="BI258" s="12">
        <v>0.03</v>
      </c>
      <c r="BJ258" s="12">
        <v>0.03</v>
      </c>
      <c r="CC258" s="3" t="str">
        <f>IF(B258&lt;&gt;"",CONCATENATE(SUBSTITUTE(B258," ","-"),".jpg"),"")</f>
        <v>Allied-Moulded-AMP1648CCH.jpg</v>
      </c>
      <c r="CD258" s="16" t="s">
        <v>111</v>
      </c>
      <c r="CE258" s="3"/>
      <c r="CF258" s="3"/>
      <c r="CG258" s="3" t="s">
        <v>112</v>
      </c>
      <c r="CI258" s="3" t="s">
        <v>97</v>
      </c>
      <c r="CJ258" s="3" t="s">
        <v>481</v>
      </c>
      <c r="CK258" s="3" t="s">
        <v>114</v>
      </c>
      <c r="CL258" s="3" t="s">
        <v>115</v>
      </c>
      <c r="CM258" s="3" t="s">
        <v>116</v>
      </c>
      <c r="CN258" s="16" t="s">
        <v>349</v>
      </c>
      <c r="CO258" s="3" t="s">
        <v>482</v>
      </c>
      <c r="CP258" s="3" t="s">
        <v>139</v>
      </c>
      <c r="CQ258" s="3" t="s">
        <v>120</v>
      </c>
      <c r="CR258" s="16" t="s">
        <v>121</v>
      </c>
      <c r="CS258" s="3" t="s">
        <v>384</v>
      </c>
      <c r="CT258" s="16" t="s">
        <v>242</v>
      </c>
      <c r="CU258" s="16" t="s">
        <v>1037</v>
      </c>
      <c r="CV258" s="16" t="s">
        <v>385</v>
      </c>
    </row>
    <row r="259" spans="1:100" ht="15" customHeight="1">
      <c r="A259" t="s">
        <v>1736</v>
      </c>
      <c r="B259" s="3" t="s">
        <v>1737</v>
      </c>
      <c r="C259" s="16" t="s">
        <v>97</v>
      </c>
      <c r="D259" s="44" t="s">
        <v>1738</v>
      </c>
      <c r="E259" s="16" t="s">
        <v>97</v>
      </c>
      <c r="F259" s="131" t="s">
        <v>1739</v>
      </c>
      <c r="I259" s="100" t="s">
        <v>342</v>
      </c>
      <c r="J259" s="16" t="s">
        <v>101</v>
      </c>
      <c r="K259" s="16"/>
      <c r="L259" s="3" t="s">
        <v>102</v>
      </c>
      <c r="M259" s="3" t="s">
        <v>103</v>
      </c>
      <c r="N259" s="3" t="s">
        <v>104</v>
      </c>
      <c r="O259" s="16" t="s">
        <v>478</v>
      </c>
      <c r="P259" s="3" t="s">
        <v>1740</v>
      </c>
      <c r="Q259" s="3" t="s">
        <v>1740</v>
      </c>
      <c r="R259" s="3" t="s">
        <v>1740</v>
      </c>
      <c r="S259" t="s">
        <v>1736</v>
      </c>
      <c r="T259" s="130" t="s">
        <v>465</v>
      </c>
      <c r="U259" s="50">
        <v>9</v>
      </c>
      <c r="V259" s="54"/>
      <c r="W259" s="54"/>
      <c r="X259" s="59" t="s">
        <v>108</v>
      </c>
      <c r="Y259" s="93">
        <f>IF(AD259=0, 0, IF(OR(H259="", H259&lt;&gt;0), 1, 0))</f>
        <v>1</v>
      </c>
      <c r="Z259" s="3">
        <v>0</v>
      </c>
      <c r="AA259" s="3" t="s">
        <v>1741</v>
      </c>
      <c r="AD259" s="6">
        <f>ROUND((AG259*(1+AJ259)),2)</f>
        <v>135.55000000000001</v>
      </c>
      <c r="AE259" s="69">
        <v>154.47380340000001</v>
      </c>
      <c r="AF259" s="17">
        <f>(AE259*1)</f>
        <v>154.47380340000001</v>
      </c>
      <c r="AG259" s="6">
        <f>ROUND((AE259*AI259),2)</f>
        <v>100.41</v>
      </c>
      <c r="AH259" s="30" t="s">
        <v>110</v>
      </c>
      <c r="AI259" s="3">
        <v>0.65</v>
      </c>
      <c r="AJ259" s="18">
        <v>0.35</v>
      </c>
      <c r="AK259" s="6">
        <f>ROUND((AD259-(AD259*BG259)),2)</f>
        <v>134.19</v>
      </c>
      <c r="AL259" s="6">
        <f>ROUND((AD259-(AD259*BH259)),2)</f>
        <v>132.84</v>
      </c>
      <c r="AM259" s="6">
        <f>ROUND((AD259-(AD259*BI259)),2)</f>
        <v>131.47999999999999</v>
      </c>
      <c r="AN259" s="6">
        <f>ROUND((AD259-(AD259*BJ259)),2)</f>
        <v>131.47999999999999</v>
      </c>
      <c r="AO259" s="6">
        <f>ROUND((AD259-(AD259*BK259)),2)</f>
        <v>135.55000000000001</v>
      </c>
      <c r="BG259" s="12">
        <v>0.01</v>
      </c>
      <c r="BH259" s="12">
        <v>0.02</v>
      </c>
      <c r="BI259" s="12">
        <v>0.03</v>
      </c>
      <c r="BJ259" s="12">
        <v>0.03</v>
      </c>
      <c r="CC259" s="3" t="str">
        <f>IF(B259&lt;&gt;"",CONCATENATE(SUBSTITUTE(B259," ","-"),".jpg"),"")</f>
        <v>Allied-Moulded-AMP1648CCHF.jpg</v>
      </c>
      <c r="CD259" s="16" t="s">
        <v>111</v>
      </c>
      <c r="CE259" s="3"/>
      <c r="CF259" s="3"/>
      <c r="CG259" s="3" t="s">
        <v>112</v>
      </c>
      <c r="CI259" s="3" t="s">
        <v>97</v>
      </c>
      <c r="CJ259" s="3" t="s">
        <v>481</v>
      </c>
      <c r="CK259" s="3" t="s">
        <v>114</v>
      </c>
      <c r="CL259" s="3" t="s">
        <v>115</v>
      </c>
      <c r="CM259" s="3" t="s">
        <v>116</v>
      </c>
      <c r="CN259" s="16" t="s">
        <v>349</v>
      </c>
      <c r="CO259" s="3" t="s">
        <v>482</v>
      </c>
      <c r="CP259" s="3" t="s">
        <v>139</v>
      </c>
      <c r="CQ259" s="3" t="s">
        <v>120</v>
      </c>
      <c r="CR259" s="16" t="s">
        <v>121</v>
      </c>
      <c r="CS259" s="3" t="s">
        <v>384</v>
      </c>
      <c r="CT259" s="16" t="s">
        <v>242</v>
      </c>
      <c r="CU259" s="16" t="s">
        <v>1037</v>
      </c>
      <c r="CV259" s="16" t="s">
        <v>385</v>
      </c>
    </row>
    <row r="260" spans="1:100" ht="15" customHeight="1">
      <c r="A260" t="s">
        <v>1742</v>
      </c>
      <c r="B260" s="3" t="s">
        <v>1743</v>
      </c>
      <c r="C260" s="16" t="s">
        <v>97</v>
      </c>
      <c r="D260" s="44" t="s">
        <v>1744</v>
      </c>
      <c r="E260" s="16" t="s">
        <v>97</v>
      </c>
      <c r="F260" s="131" t="s">
        <v>1745</v>
      </c>
      <c r="I260" s="100" t="s">
        <v>342</v>
      </c>
      <c r="J260" s="16" t="s">
        <v>101</v>
      </c>
      <c r="K260" s="16"/>
      <c r="L260" s="3" t="s">
        <v>102</v>
      </c>
      <c r="M260" s="3" t="s">
        <v>103</v>
      </c>
      <c r="N260" s="3" t="s">
        <v>104</v>
      </c>
      <c r="O260" s="16" t="s">
        <v>478</v>
      </c>
      <c r="P260" s="3" t="s">
        <v>1746</v>
      </c>
      <c r="Q260" s="3" t="s">
        <v>1746</v>
      </c>
      <c r="R260" s="3" t="s">
        <v>1746</v>
      </c>
      <c r="S260" t="s">
        <v>1742</v>
      </c>
      <c r="T260" s="130" t="s">
        <v>465</v>
      </c>
      <c r="U260" s="50">
        <v>9</v>
      </c>
      <c r="V260" s="54"/>
      <c r="W260" s="54"/>
      <c r="X260" s="59" t="s">
        <v>108</v>
      </c>
      <c r="Y260" s="93">
        <f>IF(AD260=0, 0, IF(OR(H260="", H260&lt;&gt;0), 1, 0))</f>
        <v>1</v>
      </c>
      <c r="Z260" s="3">
        <v>0</v>
      </c>
      <c r="AA260" s="3" t="s">
        <v>1747</v>
      </c>
      <c r="AD260" s="6">
        <f>ROUND((AG260*(1+AJ260)),2)</f>
        <v>151.88</v>
      </c>
      <c r="AE260" s="69">
        <v>173.08434045000001</v>
      </c>
      <c r="AF260" s="17">
        <f>(AE260*1)</f>
        <v>173.08434045000001</v>
      </c>
      <c r="AG260" s="6">
        <f>ROUND((AE260*AI260),2)</f>
        <v>112.5</v>
      </c>
      <c r="AH260" s="30" t="s">
        <v>110</v>
      </c>
      <c r="AI260" s="3">
        <v>0.65</v>
      </c>
      <c r="AJ260" s="18">
        <v>0.35</v>
      </c>
      <c r="AK260" s="6">
        <f>ROUND((AD260-(AD260*BG260)),2)</f>
        <v>150.36000000000001</v>
      </c>
      <c r="AL260" s="6">
        <f>ROUND((AD260-(AD260*BH260)),2)</f>
        <v>148.84</v>
      </c>
      <c r="AM260" s="6">
        <f>ROUND((AD260-(AD260*BI260)),2)</f>
        <v>147.32</v>
      </c>
      <c r="AN260" s="6">
        <f>ROUND((AD260-(AD260*BJ260)),2)</f>
        <v>147.32</v>
      </c>
      <c r="AO260" s="6">
        <f>ROUND((AD260-(AD260*BK260)),2)</f>
        <v>151.88</v>
      </c>
      <c r="BG260" s="12">
        <v>0.01</v>
      </c>
      <c r="BH260" s="12">
        <v>0.02</v>
      </c>
      <c r="BI260" s="12">
        <v>0.03</v>
      </c>
      <c r="BJ260" s="12">
        <v>0.03</v>
      </c>
      <c r="CC260" s="3" t="str">
        <f>IF(B260&lt;&gt;"",CONCATENATE(SUBSTITUTE(B260," ","-"),".jpg"),"")</f>
        <v>Allied-Moulded-AMP1648CCL.jpg</v>
      </c>
      <c r="CD260" s="16" t="s">
        <v>111</v>
      </c>
      <c r="CE260" s="3"/>
      <c r="CF260" s="3"/>
      <c r="CG260" s="3" t="s">
        <v>112</v>
      </c>
      <c r="CI260" s="3" t="s">
        <v>97</v>
      </c>
      <c r="CJ260" s="3" t="s">
        <v>481</v>
      </c>
      <c r="CK260" s="3" t="s">
        <v>114</v>
      </c>
      <c r="CL260" s="3" t="s">
        <v>115</v>
      </c>
      <c r="CM260" s="3" t="s">
        <v>116</v>
      </c>
      <c r="CN260" t="s">
        <v>117</v>
      </c>
      <c r="CO260" s="3" t="s">
        <v>482</v>
      </c>
      <c r="CP260" s="3" t="s">
        <v>139</v>
      </c>
      <c r="CQ260" s="3" t="s">
        <v>120</v>
      </c>
      <c r="CR260" s="16" t="s">
        <v>121</v>
      </c>
      <c r="CS260" s="16" t="s">
        <v>122</v>
      </c>
      <c r="CT260" s="16" t="s">
        <v>242</v>
      </c>
      <c r="CU260" s="16" t="s">
        <v>1037</v>
      </c>
      <c r="CV260" s="16" t="s">
        <v>385</v>
      </c>
    </row>
    <row r="261" spans="1:100" ht="15" customHeight="1">
      <c r="A261" t="s">
        <v>1748</v>
      </c>
      <c r="B261" s="3" t="s">
        <v>1749</v>
      </c>
      <c r="C261" s="16" t="s">
        <v>97</v>
      </c>
      <c r="D261" s="43" t="s">
        <v>1750</v>
      </c>
      <c r="E261" s="16" t="s">
        <v>97</v>
      </c>
      <c r="F261" s="131" t="s">
        <v>1751</v>
      </c>
      <c r="I261" s="100" t="s">
        <v>342</v>
      </c>
      <c r="J261" s="16" t="s">
        <v>101</v>
      </c>
      <c r="K261" s="16"/>
      <c r="L261" s="3" t="s">
        <v>102</v>
      </c>
      <c r="M261" s="3" t="s">
        <v>103</v>
      </c>
      <c r="N261" s="3" t="s">
        <v>104</v>
      </c>
      <c r="O261" s="16" t="s">
        <v>478</v>
      </c>
      <c r="P261" s="3" t="s">
        <v>1752</v>
      </c>
      <c r="Q261" s="3" t="s">
        <v>1752</v>
      </c>
      <c r="R261" s="3" t="s">
        <v>1752</v>
      </c>
      <c r="S261" t="s">
        <v>1748</v>
      </c>
      <c r="T261" s="130" t="s">
        <v>465</v>
      </c>
      <c r="U261" s="51">
        <v>9</v>
      </c>
      <c r="V261" s="58"/>
      <c r="W261" s="58"/>
      <c r="X261" s="59" t="s">
        <v>108</v>
      </c>
      <c r="Y261" s="93">
        <f>IF(AD261=0, 0, IF(OR(H261="", H261&lt;&gt;0), 1, 0))</f>
        <v>1</v>
      </c>
      <c r="Z261" s="3">
        <v>0</v>
      </c>
      <c r="AA261" s="3" t="s">
        <v>1753</v>
      </c>
      <c r="AD261" s="6">
        <f>ROUND((AG261*(1+AJ261)),2)</f>
        <v>159.47999999999999</v>
      </c>
      <c r="AE261" s="69">
        <v>181.73855700000001</v>
      </c>
      <c r="AF261" s="17">
        <f>(AE261*1)</f>
        <v>181.73855700000001</v>
      </c>
      <c r="AG261" s="6">
        <f>ROUND((AE261*AI261),2)</f>
        <v>118.13</v>
      </c>
      <c r="AH261" s="30" t="s">
        <v>110</v>
      </c>
      <c r="AI261" s="3">
        <v>0.65</v>
      </c>
      <c r="AJ261" s="18">
        <v>0.35</v>
      </c>
      <c r="AK261" s="6">
        <f>ROUND((AD261-(AD261*BG261)),2)</f>
        <v>157.88999999999999</v>
      </c>
      <c r="AL261" s="6">
        <f>ROUND((AD261-(AD261*BH261)),2)</f>
        <v>156.29</v>
      </c>
      <c r="AM261" s="6">
        <f>ROUND((AD261-(AD261*BI261)),2)</f>
        <v>154.69999999999999</v>
      </c>
      <c r="AN261" s="6">
        <f>ROUND((AD261-(AD261*BJ261)),2)</f>
        <v>154.69999999999999</v>
      </c>
      <c r="AO261" s="6">
        <f>ROUND((AD261-(AD261*BK261)),2)</f>
        <v>159.47999999999999</v>
      </c>
      <c r="BG261" s="12">
        <v>0.01</v>
      </c>
      <c r="BH261" s="12">
        <v>0.02</v>
      </c>
      <c r="BI261" s="12">
        <v>0.03</v>
      </c>
      <c r="BJ261" s="12">
        <v>0.03</v>
      </c>
      <c r="CC261" s="3" t="str">
        <f>IF(B261&lt;&gt;"",CONCATENATE(SUBSTITUTE(B261," ","-"),".jpg"),"")</f>
        <v>Allied-Moulded-AMP1648CCLF.jpg</v>
      </c>
      <c r="CD261" s="16" t="s">
        <v>111</v>
      </c>
      <c r="CE261" s="3"/>
      <c r="CF261" s="3"/>
      <c r="CG261" s="3" t="s">
        <v>112</v>
      </c>
      <c r="CI261" s="3" t="s">
        <v>97</v>
      </c>
      <c r="CJ261" s="3" t="s">
        <v>481</v>
      </c>
      <c r="CK261" s="3" t="s">
        <v>114</v>
      </c>
      <c r="CL261" s="3" t="s">
        <v>115</v>
      </c>
      <c r="CM261" s="3" t="s">
        <v>116</v>
      </c>
      <c r="CN261" t="s">
        <v>117</v>
      </c>
      <c r="CO261" s="3" t="s">
        <v>482</v>
      </c>
      <c r="CP261" s="3" t="s">
        <v>139</v>
      </c>
      <c r="CQ261" s="3" t="s">
        <v>120</v>
      </c>
      <c r="CR261" s="16" t="s">
        <v>121</v>
      </c>
      <c r="CS261" s="16" t="s">
        <v>122</v>
      </c>
      <c r="CT261" s="16" t="s">
        <v>242</v>
      </c>
      <c r="CU261" s="16" t="s">
        <v>1037</v>
      </c>
      <c r="CV261" s="16" t="s">
        <v>385</v>
      </c>
    </row>
    <row r="262" spans="1:100" ht="15" customHeight="1">
      <c r="A262" t="s">
        <v>1754</v>
      </c>
      <c r="B262" s="3" t="s">
        <v>1755</v>
      </c>
      <c r="C262" s="16" t="s">
        <v>97</v>
      </c>
      <c r="D262" s="44" t="s">
        <v>1756</v>
      </c>
      <c r="E262" s="16" t="s">
        <v>97</v>
      </c>
      <c r="F262" s="131" t="s">
        <v>1757</v>
      </c>
      <c r="I262" s="100" t="s">
        <v>342</v>
      </c>
      <c r="J262" s="16" t="s">
        <v>101</v>
      </c>
      <c r="K262" s="16"/>
      <c r="L262" s="3" t="s">
        <v>102</v>
      </c>
      <c r="M262" s="3" t="s">
        <v>103</v>
      </c>
      <c r="N262" s="3" t="s">
        <v>104</v>
      </c>
      <c r="O262" s="16" t="s">
        <v>478</v>
      </c>
      <c r="P262" s="3" t="s">
        <v>1758</v>
      </c>
      <c r="Q262" s="3" t="s">
        <v>1758</v>
      </c>
      <c r="R262" s="3" t="s">
        <v>1758</v>
      </c>
      <c r="S262" t="s">
        <v>1754</v>
      </c>
      <c r="T262" s="130" t="s">
        <v>465</v>
      </c>
      <c r="U262" s="50">
        <v>9</v>
      </c>
      <c r="V262" s="54"/>
      <c r="W262" s="54"/>
      <c r="X262" s="59" t="s">
        <v>108</v>
      </c>
      <c r="Y262" s="93">
        <f>IF(AD262=0, 0, IF(OR(H262="", H262&lt;&gt;0), 1, 0))</f>
        <v>1</v>
      </c>
      <c r="Z262" s="3">
        <v>0</v>
      </c>
      <c r="AA262" s="3" t="s">
        <v>1759</v>
      </c>
      <c r="AD262" s="6">
        <f>ROUND((AG262*(1+AJ262)),2)</f>
        <v>151.51</v>
      </c>
      <c r="AE262" s="69">
        <v>172.65559709999999</v>
      </c>
      <c r="AF262" s="17">
        <f>(AE262*1)</f>
        <v>172.65559709999999</v>
      </c>
      <c r="AG262" s="6">
        <f>ROUND((AE262*AI262),2)</f>
        <v>112.23</v>
      </c>
      <c r="AH262" s="30" t="s">
        <v>110</v>
      </c>
      <c r="AI262" s="3">
        <v>0.65</v>
      </c>
      <c r="AJ262" s="18">
        <v>0.35</v>
      </c>
      <c r="AK262" s="6">
        <f>ROUND((AD262-(AD262*BG262)),2)</f>
        <v>149.99</v>
      </c>
      <c r="AL262" s="6">
        <f>ROUND((AD262-(AD262*BH262)),2)</f>
        <v>148.47999999999999</v>
      </c>
      <c r="AM262" s="6">
        <f>ROUND((AD262-(AD262*BI262)),2)</f>
        <v>146.96</v>
      </c>
      <c r="AN262" s="6">
        <f>ROUND((AD262-(AD262*BJ262)),2)</f>
        <v>146.96</v>
      </c>
      <c r="AO262" s="6">
        <f>ROUND((AD262-(AD262*BK262)),2)</f>
        <v>151.51</v>
      </c>
      <c r="BG262" s="12">
        <v>0.01</v>
      </c>
      <c r="BH262" s="12">
        <v>0.02</v>
      </c>
      <c r="BI262" s="12">
        <v>0.03</v>
      </c>
      <c r="BJ262" s="12">
        <v>0.03</v>
      </c>
      <c r="CC262" s="3" t="str">
        <f>IF(B262&lt;&gt;"",CONCATENATE(SUBSTITUTE(B262," ","-"),".jpg"),"")</f>
        <v>Allied-Moulded-AMP1648CCNLF.jpg</v>
      </c>
      <c r="CD262" s="16" t="s">
        <v>111</v>
      </c>
      <c r="CE262" s="3"/>
      <c r="CF262" s="3"/>
      <c r="CG262" s="3" t="s">
        <v>112</v>
      </c>
      <c r="CI262" s="3" t="s">
        <v>97</v>
      </c>
      <c r="CJ262" s="3" t="s">
        <v>481</v>
      </c>
      <c r="CK262" s="3" t="s">
        <v>114</v>
      </c>
      <c r="CL262" s="3" t="s">
        <v>115</v>
      </c>
      <c r="CM262" s="3" t="s">
        <v>116</v>
      </c>
      <c r="CN262" t="s">
        <v>117</v>
      </c>
      <c r="CO262" s="3" t="s">
        <v>482</v>
      </c>
      <c r="CP262" s="3" t="s">
        <v>139</v>
      </c>
      <c r="CQ262" s="3" t="s">
        <v>120</v>
      </c>
      <c r="CR262" s="16" t="s">
        <v>121</v>
      </c>
      <c r="CS262" s="16" t="s">
        <v>122</v>
      </c>
      <c r="CT262" s="16" t="s">
        <v>242</v>
      </c>
      <c r="CU262" s="16" t="s">
        <v>1037</v>
      </c>
      <c r="CV262" s="16" t="s">
        <v>385</v>
      </c>
    </row>
    <row r="263" spans="1:100" ht="15" customHeight="1">
      <c r="A263" t="s">
        <v>1760</v>
      </c>
      <c r="B263" s="3" t="s">
        <v>1761</v>
      </c>
      <c r="C263" s="16" t="s">
        <v>97</v>
      </c>
      <c r="D263" s="44" t="s">
        <v>1762</v>
      </c>
      <c r="E263" s="16" t="s">
        <v>97</v>
      </c>
      <c r="F263" s="131" t="s">
        <v>1763</v>
      </c>
      <c r="I263" s="100" t="s">
        <v>342</v>
      </c>
      <c r="J263" s="16" t="s">
        <v>101</v>
      </c>
      <c r="K263" s="16"/>
      <c r="L263" s="3" t="s">
        <v>102</v>
      </c>
      <c r="M263" s="3" t="s">
        <v>103</v>
      </c>
      <c r="N263" s="3" t="s">
        <v>104</v>
      </c>
      <c r="O263" s="16" t="s">
        <v>478</v>
      </c>
      <c r="P263" s="2" t="s">
        <v>1764</v>
      </c>
      <c r="Q263" s="2" t="s">
        <v>1764</v>
      </c>
      <c r="R263" s="2" t="s">
        <v>1764</v>
      </c>
      <c r="S263" t="s">
        <v>1760</v>
      </c>
      <c r="T263" s="130" t="s">
        <v>465</v>
      </c>
      <c r="U263" s="50">
        <v>9</v>
      </c>
      <c r="V263" s="54"/>
      <c r="W263" s="54"/>
      <c r="X263" s="59" t="s">
        <v>108</v>
      </c>
      <c r="Y263" s="93">
        <f>IF(AD263=0, 0, IF(OR(H263="", H263&lt;&gt;0), 1, 0))</f>
        <v>1</v>
      </c>
      <c r="Z263" s="3">
        <v>0</v>
      </c>
      <c r="AA263" s="3" t="s">
        <v>1765</v>
      </c>
      <c r="AD263" s="6">
        <f>ROUND((AG263*(1+AJ263)),2)</f>
        <v>115.65</v>
      </c>
      <c r="AE263" s="69">
        <v>131.79816719999999</v>
      </c>
      <c r="AF263" s="17">
        <f>(AE263*1)</f>
        <v>131.79816719999999</v>
      </c>
      <c r="AG263" s="6">
        <f>ROUND((AE263*AI263),2)</f>
        <v>85.67</v>
      </c>
      <c r="AH263" s="30" t="s">
        <v>110</v>
      </c>
      <c r="AI263" s="3">
        <v>0.65</v>
      </c>
      <c r="AJ263" s="18">
        <v>0.35</v>
      </c>
      <c r="AK263" s="6">
        <f>ROUND((AD263-(AD263*BG263)),2)</f>
        <v>114.49</v>
      </c>
      <c r="AL263" s="6">
        <f>ROUND((AD263-(AD263*BH263)),2)</f>
        <v>113.34</v>
      </c>
      <c r="AM263" s="6">
        <f>ROUND((AD263-(AD263*BI263)),2)</f>
        <v>112.18</v>
      </c>
      <c r="AN263" s="6">
        <f>ROUND((AD263-(AD263*BJ263)),2)</f>
        <v>112.18</v>
      </c>
      <c r="AO263" s="6">
        <f>ROUND((AD263-(AD263*BK263)),2)</f>
        <v>115.65</v>
      </c>
      <c r="BG263" s="12">
        <v>0.01</v>
      </c>
      <c r="BH263" s="12">
        <v>0.02</v>
      </c>
      <c r="BI263" s="12">
        <v>0.03</v>
      </c>
      <c r="BJ263" s="12">
        <v>0.03</v>
      </c>
      <c r="CC263" s="3" t="str">
        <f>IF(B263&lt;&gt;"",CONCATENATE(SUBSTITUTE(B263," ","-"),".jpg"),"")</f>
        <v>Allied-Moulded-AMP1648.jpg</v>
      </c>
      <c r="CD263" s="16" t="s">
        <v>111</v>
      </c>
      <c r="CE263" s="3"/>
      <c r="CF263" s="3"/>
      <c r="CG263" s="3" t="s">
        <v>112</v>
      </c>
      <c r="CI263" s="3" t="s">
        <v>97</v>
      </c>
      <c r="CJ263" s="3" t="s">
        <v>481</v>
      </c>
      <c r="CK263" s="3" t="s">
        <v>114</v>
      </c>
      <c r="CL263" s="3" t="s">
        <v>115</v>
      </c>
      <c r="CM263" s="16"/>
      <c r="CN263" s="16" t="s">
        <v>349</v>
      </c>
      <c r="CO263" s="3" t="s">
        <v>482</v>
      </c>
      <c r="CP263" s="3" t="s">
        <v>139</v>
      </c>
      <c r="CQ263" s="3" t="s">
        <v>120</v>
      </c>
      <c r="CR263" s="3" t="s">
        <v>140</v>
      </c>
      <c r="CS263" s="3" t="s">
        <v>384</v>
      </c>
      <c r="CT263" s="16" t="s">
        <v>242</v>
      </c>
      <c r="CU263" s="16" t="s">
        <v>1037</v>
      </c>
      <c r="CV263" s="16" t="s">
        <v>385</v>
      </c>
    </row>
    <row r="264" spans="1:100" ht="15" customHeight="1">
      <c r="A264" t="s">
        <v>1766</v>
      </c>
      <c r="B264" s="3" t="s">
        <v>1767</v>
      </c>
      <c r="C264" s="16" t="s">
        <v>97</v>
      </c>
      <c r="D264" s="43" t="s">
        <v>1768</v>
      </c>
      <c r="E264" s="16" t="s">
        <v>97</v>
      </c>
      <c r="F264" s="131" t="s">
        <v>1769</v>
      </c>
      <c r="I264" s="100" t="s">
        <v>342</v>
      </c>
      <c r="J264" s="16" t="s">
        <v>101</v>
      </c>
      <c r="K264" s="16"/>
      <c r="L264" s="3" t="s">
        <v>102</v>
      </c>
      <c r="M264" s="3" t="s">
        <v>103</v>
      </c>
      <c r="N264" s="3" t="s">
        <v>104</v>
      </c>
      <c r="O264" s="16" t="s">
        <v>478</v>
      </c>
      <c r="P264" s="2" t="s">
        <v>1770</v>
      </c>
      <c r="Q264" s="2" t="s">
        <v>1770</v>
      </c>
      <c r="R264" s="2" t="s">
        <v>1770</v>
      </c>
      <c r="S264" t="s">
        <v>1766</v>
      </c>
      <c r="T264" s="130" t="s">
        <v>465</v>
      </c>
      <c r="U264" s="51">
        <v>9</v>
      </c>
      <c r="V264" s="58"/>
      <c r="W264" s="58"/>
      <c r="X264" s="59" t="s">
        <v>108</v>
      </c>
      <c r="Y264" s="93">
        <f>IF(AD264=0, 0, IF(OR(H264="", H264&lt;&gt;0), 1, 0))</f>
        <v>1</v>
      </c>
      <c r="Z264" s="3">
        <v>0</v>
      </c>
      <c r="AA264" s="3" t="s">
        <v>1771</v>
      </c>
      <c r="AD264" s="6">
        <f>ROUND((AG264*(1+AJ264)),2)</f>
        <v>121.43</v>
      </c>
      <c r="AE264" s="69">
        <v>138.38807535000001</v>
      </c>
      <c r="AF264" s="17">
        <f>(AE264*1)</f>
        <v>138.38807535000001</v>
      </c>
      <c r="AG264" s="6">
        <f>ROUND((AE264*AI264),2)</f>
        <v>89.95</v>
      </c>
      <c r="AH264" s="30" t="s">
        <v>110</v>
      </c>
      <c r="AI264" s="3">
        <v>0.65</v>
      </c>
      <c r="AJ264" s="18">
        <v>0.35</v>
      </c>
      <c r="AK264" s="6">
        <f>ROUND((AD264-(AD264*BG264)),2)</f>
        <v>120.22</v>
      </c>
      <c r="AL264" s="6">
        <f>ROUND((AD264-(AD264*BH264)),2)</f>
        <v>119</v>
      </c>
      <c r="AM264" s="6">
        <f>ROUND((AD264-(AD264*BI264)),2)</f>
        <v>117.79</v>
      </c>
      <c r="AN264" s="6">
        <f>ROUND((AD264-(AD264*BJ264)),2)</f>
        <v>117.79</v>
      </c>
      <c r="AO264" s="6">
        <f>ROUND((AD264-(AD264*BK264)),2)</f>
        <v>121.43</v>
      </c>
      <c r="BG264" s="12">
        <v>0.01</v>
      </c>
      <c r="BH264" s="12">
        <v>0.02</v>
      </c>
      <c r="BI264" s="12">
        <v>0.03</v>
      </c>
      <c r="BJ264" s="12">
        <v>0.03</v>
      </c>
      <c r="CC264" s="3" t="str">
        <f>IF(B264&lt;&gt;"",CONCATENATE(SUBSTITUTE(B264," ","-"),".jpg"),"")</f>
        <v>Allied-Moulded-AMP1648F.jpg</v>
      </c>
      <c r="CD264" s="16" t="s">
        <v>111</v>
      </c>
      <c r="CE264" s="3"/>
      <c r="CF264" s="3"/>
      <c r="CG264" s="3" t="s">
        <v>112</v>
      </c>
      <c r="CI264" s="3" t="s">
        <v>97</v>
      </c>
      <c r="CJ264" s="3" t="s">
        <v>481</v>
      </c>
      <c r="CK264" s="3" t="s">
        <v>114</v>
      </c>
      <c r="CL264" s="3" t="s">
        <v>115</v>
      </c>
      <c r="CM264" s="16"/>
      <c r="CN264" s="16" t="s">
        <v>349</v>
      </c>
      <c r="CO264" s="3" t="s">
        <v>482</v>
      </c>
      <c r="CP264" s="3" t="s">
        <v>139</v>
      </c>
      <c r="CQ264" s="3" t="s">
        <v>120</v>
      </c>
      <c r="CR264" s="3" t="s">
        <v>140</v>
      </c>
      <c r="CS264" s="3" t="s">
        <v>384</v>
      </c>
      <c r="CT264" s="16" t="s">
        <v>242</v>
      </c>
      <c r="CU264" s="16" t="s">
        <v>1037</v>
      </c>
      <c r="CV264" s="16" t="s">
        <v>385</v>
      </c>
    </row>
    <row r="265" spans="1:100" ht="15" customHeight="1">
      <c r="A265" t="s">
        <v>1772</v>
      </c>
      <c r="B265" s="3" t="s">
        <v>1773</v>
      </c>
      <c r="C265" s="16" t="s">
        <v>97</v>
      </c>
      <c r="D265" s="43" t="s">
        <v>1774</v>
      </c>
      <c r="E265" s="16" t="s">
        <v>97</v>
      </c>
      <c r="F265" s="131" t="s">
        <v>1775</v>
      </c>
      <c r="I265" s="100" t="s">
        <v>342</v>
      </c>
      <c r="J265" s="16" t="s">
        <v>101</v>
      </c>
      <c r="K265" s="16"/>
      <c r="L265" s="3" t="s">
        <v>102</v>
      </c>
      <c r="M265" s="3" t="s">
        <v>103</v>
      </c>
      <c r="N265" s="3" t="s">
        <v>104</v>
      </c>
      <c r="O265" s="16" t="s">
        <v>478</v>
      </c>
      <c r="P265" s="2" t="s">
        <v>1776</v>
      </c>
      <c r="Q265" s="2" t="s">
        <v>1776</v>
      </c>
      <c r="R265" s="2" t="s">
        <v>1776</v>
      </c>
      <c r="S265" t="s">
        <v>1772</v>
      </c>
      <c r="T265" s="130" t="s">
        <v>465</v>
      </c>
      <c r="U265" s="51">
        <v>9</v>
      </c>
      <c r="V265" s="58"/>
      <c r="W265" s="58"/>
      <c r="X265" s="59" t="s">
        <v>108</v>
      </c>
      <c r="Y265" s="93">
        <f>IF(AD265=0, 0, IF(OR(H265="", H265&lt;&gt;0), 1, 0))</f>
        <v>1</v>
      </c>
      <c r="Z265" s="3">
        <v>0</v>
      </c>
      <c r="AA265" s="3" t="s">
        <v>1777</v>
      </c>
      <c r="AD265" s="6">
        <f>ROUND((AG265*(1+AJ265)),2)</f>
        <v>118.44</v>
      </c>
      <c r="AE265" s="69">
        <v>134.97402555000002</v>
      </c>
      <c r="AF265" s="17">
        <f>(AE265*1)</f>
        <v>134.97402555000002</v>
      </c>
      <c r="AG265" s="6">
        <f>ROUND((AE265*AI265),2)</f>
        <v>87.73</v>
      </c>
      <c r="AH265" s="30" t="s">
        <v>110</v>
      </c>
      <c r="AI265" s="3">
        <v>0.65</v>
      </c>
      <c r="AJ265" s="18">
        <v>0.35</v>
      </c>
      <c r="AK265" s="6">
        <f>ROUND((AD265-(AD265*BG265)),2)</f>
        <v>117.26</v>
      </c>
      <c r="AL265" s="6">
        <f>ROUND((AD265-(AD265*BH265)),2)</f>
        <v>116.07</v>
      </c>
      <c r="AM265" s="6">
        <f>ROUND((AD265-(AD265*BI265)),2)</f>
        <v>114.89</v>
      </c>
      <c r="AN265" s="6">
        <f>ROUND((AD265-(AD265*BJ265)),2)</f>
        <v>114.89</v>
      </c>
      <c r="AO265" s="6">
        <f>ROUND((AD265-(AD265*BK265)),2)</f>
        <v>118.44</v>
      </c>
      <c r="BG265" s="12">
        <v>0.01</v>
      </c>
      <c r="BH265" s="12">
        <v>0.02</v>
      </c>
      <c r="BI265" s="12">
        <v>0.03</v>
      </c>
      <c r="BJ265" s="12">
        <v>0.03</v>
      </c>
      <c r="CC265" s="3" t="str">
        <f>IF(B265&lt;&gt;"",CONCATENATE(SUBSTITUTE(B265," ","-"),".jpg"),"")</f>
        <v>Allied-Moulded-AMP1648H.jpg</v>
      </c>
      <c r="CD265" s="16" t="s">
        <v>111</v>
      </c>
      <c r="CE265" s="3"/>
      <c r="CF265" s="3"/>
      <c r="CG265" s="3" t="s">
        <v>112</v>
      </c>
      <c r="CI265" s="3" t="s">
        <v>97</v>
      </c>
      <c r="CJ265" s="3" t="s">
        <v>481</v>
      </c>
      <c r="CK265" s="3" t="s">
        <v>114</v>
      </c>
      <c r="CL265" s="3" t="s">
        <v>115</v>
      </c>
      <c r="CM265" s="3" t="s">
        <v>116</v>
      </c>
      <c r="CN265" s="16" t="s">
        <v>349</v>
      </c>
      <c r="CO265" s="3" t="s">
        <v>482</v>
      </c>
      <c r="CP265" s="3" t="s">
        <v>139</v>
      </c>
      <c r="CQ265" s="3" t="s">
        <v>120</v>
      </c>
      <c r="CR265" s="3" t="s">
        <v>140</v>
      </c>
      <c r="CS265" s="3" t="s">
        <v>384</v>
      </c>
      <c r="CT265" s="16" t="s">
        <v>242</v>
      </c>
      <c r="CU265" s="16" t="s">
        <v>1037</v>
      </c>
      <c r="CV265" s="16" t="s">
        <v>385</v>
      </c>
    </row>
    <row r="266" spans="1:100" ht="15" customHeight="1">
      <c r="A266" t="s">
        <v>1778</v>
      </c>
      <c r="B266" s="3" t="s">
        <v>1779</v>
      </c>
      <c r="C266" s="16" t="s">
        <v>97</v>
      </c>
      <c r="D266" s="44" t="s">
        <v>1780</v>
      </c>
      <c r="E266" s="16" t="s">
        <v>97</v>
      </c>
      <c r="F266" s="131" t="s">
        <v>1781</v>
      </c>
      <c r="I266" s="100" t="s">
        <v>342</v>
      </c>
      <c r="J266" s="16" t="s">
        <v>101</v>
      </c>
      <c r="K266" s="16"/>
      <c r="L266" s="3" t="s">
        <v>102</v>
      </c>
      <c r="M266" s="3" t="s">
        <v>103</v>
      </c>
      <c r="N266" s="3" t="s">
        <v>104</v>
      </c>
      <c r="O266" s="16" t="s">
        <v>478</v>
      </c>
      <c r="P266" s="2" t="s">
        <v>1782</v>
      </c>
      <c r="Q266" s="2" t="s">
        <v>1782</v>
      </c>
      <c r="R266" s="2" t="s">
        <v>1782</v>
      </c>
      <c r="S266" t="s">
        <v>1778</v>
      </c>
      <c r="T266" s="130" t="s">
        <v>465</v>
      </c>
      <c r="U266" s="50">
        <v>9</v>
      </c>
      <c r="V266" s="54"/>
      <c r="W266" s="54"/>
      <c r="X266" s="59" t="s">
        <v>108</v>
      </c>
      <c r="Y266" s="93">
        <f>IF(AD266=0, 0, IF(OR(H266="", H266&lt;&gt;0), 1, 0))</f>
        <v>1</v>
      </c>
      <c r="Z266" s="3">
        <v>0</v>
      </c>
      <c r="AA266" s="3" t="s">
        <v>1783</v>
      </c>
      <c r="AD266" s="6">
        <f>ROUND((AG266*(1+AJ266)),2)</f>
        <v>124.36</v>
      </c>
      <c r="AE266" s="69">
        <v>141.72272729999997</v>
      </c>
      <c r="AF266" s="17">
        <f>(AE266*1)</f>
        <v>141.72272729999997</v>
      </c>
      <c r="AG266" s="6">
        <f>ROUND((AE266*AI266),2)</f>
        <v>92.12</v>
      </c>
      <c r="AH266" s="30" t="s">
        <v>110</v>
      </c>
      <c r="AI266" s="3">
        <v>0.65</v>
      </c>
      <c r="AJ266" s="18">
        <v>0.35</v>
      </c>
      <c r="AK266" s="6">
        <f>ROUND((AD266-(AD266*BG266)),2)</f>
        <v>123.12</v>
      </c>
      <c r="AL266" s="6">
        <f>ROUND((AD266-(AD266*BH266)),2)</f>
        <v>121.87</v>
      </c>
      <c r="AM266" s="6">
        <f>ROUND((AD266-(AD266*BI266)),2)</f>
        <v>120.63</v>
      </c>
      <c r="AN266" s="6">
        <f>ROUND((AD266-(AD266*BJ266)),2)</f>
        <v>120.63</v>
      </c>
      <c r="AO266" s="6">
        <f>ROUND((AD266-(AD266*BK266)),2)</f>
        <v>124.36</v>
      </c>
      <c r="BG266" s="12">
        <v>0.01</v>
      </c>
      <c r="BH266" s="12">
        <v>0.02</v>
      </c>
      <c r="BI266" s="12">
        <v>0.03</v>
      </c>
      <c r="BJ266" s="12">
        <v>0.03</v>
      </c>
      <c r="CC266" s="3" t="str">
        <f>IF(B266&lt;&gt;"",CONCATENATE(SUBSTITUTE(B266," ","-"),".jpg"),"")</f>
        <v>Allied-Moulded-AMP1648HF.jpg</v>
      </c>
      <c r="CD266" s="16" t="s">
        <v>111</v>
      </c>
      <c r="CE266" s="3"/>
      <c r="CF266" s="3"/>
      <c r="CG266" s="3" t="s">
        <v>112</v>
      </c>
      <c r="CI266" s="3" t="s">
        <v>97</v>
      </c>
      <c r="CJ266" s="3" t="s">
        <v>481</v>
      </c>
      <c r="CK266" s="3" t="s">
        <v>114</v>
      </c>
      <c r="CL266" s="3" t="s">
        <v>115</v>
      </c>
      <c r="CM266" s="3" t="s">
        <v>116</v>
      </c>
      <c r="CN266" s="16" t="s">
        <v>349</v>
      </c>
      <c r="CO266" s="3" t="s">
        <v>482</v>
      </c>
      <c r="CP266" s="3" t="s">
        <v>139</v>
      </c>
      <c r="CQ266" s="3" t="s">
        <v>120</v>
      </c>
      <c r="CR266" s="3" t="s">
        <v>140</v>
      </c>
      <c r="CS266" s="3" t="s">
        <v>384</v>
      </c>
      <c r="CT266" s="16" t="s">
        <v>242</v>
      </c>
      <c r="CU266" s="16" t="s">
        <v>1037</v>
      </c>
      <c r="CV266" s="16" t="s">
        <v>385</v>
      </c>
    </row>
    <row r="267" spans="1:100" ht="15" customHeight="1">
      <c r="A267" t="s">
        <v>1784</v>
      </c>
      <c r="B267" s="3" t="s">
        <v>1785</v>
      </c>
      <c r="C267" s="16" t="s">
        <v>97</v>
      </c>
      <c r="D267" s="44" t="s">
        <v>1786</v>
      </c>
      <c r="E267" s="16" t="s">
        <v>97</v>
      </c>
      <c r="F267" s="131" t="s">
        <v>1787</v>
      </c>
      <c r="I267" s="100" t="s">
        <v>342</v>
      </c>
      <c r="J267" s="16" t="s">
        <v>101</v>
      </c>
      <c r="K267" s="16"/>
      <c r="L267" s="3" t="s">
        <v>102</v>
      </c>
      <c r="M267" s="3" t="s">
        <v>103</v>
      </c>
      <c r="N267" s="3" t="s">
        <v>104</v>
      </c>
      <c r="O267" s="16" t="s">
        <v>478</v>
      </c>
      <c r="P267" s="2" t="s">
        <v>1788</v>
      </c>
      <c r="Q267" s="2" t="s">
        <v>1788</v>
      </c>
      <c r="R267" s="2" t="s">
        <v>1788</v>
      </c>
      <c r="S267" t="s">
        <v>1784</v>
      </c>
      <c r="T267" s="130" t="s">
        <v>465</v>
      </c>
      <c r="U267" s="50">
        <v>9</v>
      </c>
      <c r="V267" s="54"/>
      <c r="W267" s="54"/>
      <c r="X267" s="59" t="s">
        <v>108</v>
      </c>
      <c r="Y267" s="93">
        <f>IF(AD267=0, 0, IF(OR(H267="", H267&lt;&gt;0), 1, 0))</f>
        <v>1</v>
      </c>
      <c r="Z267" s="3">
        <v>0</v>
      </c>
      <c r="AA267" s="3" t="s">
        <v>1789</v>
      </c>
      <c r="AD267" s="6">
        <f>ROUND((AG267*(1+AJ267)),2)</f>
        <v>139.35</v>
      </c>
      <c r="AE267" s="69">
        <v>158.79297210000001</v>
      </c>
      <c r="AF267" s="17">
        <f>(AE267*1)</f>
        <v>158.79297210000001</v>
      </c>
      <c r="AG267" s="6">
        <f>ROUND((AE267*AI267),2)</f>
        <v>103.22</v>
      </c>
      <c r="AH267" s="30" t="s">
        <v>110</v>
      </c>
      <c r="AI267" s="3">
        <v>0.65</v>
      </c>
      <c r="AJ267" s="18">
        <v>0.35</v>
      </c>
      <c r="AK267" s="6">
        <f>ROUND((AD267-(AD267*BG267)),2)</f>
        <v>137.96</v>
      </c>
      <c r="AL267" s="6">
        <f>ROUND((AD267-(AD267*BH267)),2)</f>
        <v>136.56</v>
      </c>
      <c r="AM267" s="6">
        <f>ROUND((AD267-(AD267*BI267)),2)</f>
        <v>135.16999999999999</v>
      </c>
      <c r="AN267" s="6">
        <f>ROUND((AD267-(AD267*BJ267)),2)</f>
        <v>135.16999999999999</v>
      </c>
      <c r="AO267" s="6">
        <f>ROUND((AD267-(AD267*BK267)),2)</f>
        <v>139.35</v>
      </c>
      <c r="BG267" s="12">
        <v>0.01</v>
      </c>
      <c r="BH267" s="12">
        <v>0.02</v>
      </c>
      <c r="BI267" s="12">
        <v>0.03</v>
      </c>
      <c r="BJ267" s="12">
        <v>0.03</v>
      </c>
      <c r="CC267" s="3" t="str">
        <f>IF(B267&lt;&gt;"",CONCATENATE(SUBSTITUTE(B267," ","-"),".jpg"),"")</f>
        <v>Allied-Moulded-AMP1648L.jpg</v>
      </c>
      <c r="CD267" s="16" t="s">
        <v>111</v>
      </c>
      <c r="CE267" s="3"/>
      <c r="CF267" s="3"/>
      <c r="CG267" s="3" t="s">
        <v>112</v>
      </c>
      <c r="CI267" s="3" t="s">
        <v>97</v>
      </c>
      <c r="CJ267" s="3" t="s">
        <v>481</v>
      </c>
      <c r="CK267" s="3" t="s">
        <v>114</v>
      </c>
      <c r="CL267" s="3" t="s">
        <v>115</v>
      </c>
      <c r="CM267" s="3" t="s">
        <v>116</v>
      </c>
      <c r="CN267" t="s">
        <v>117</v>
      </c>
      <c r="CO267" s="3" t="s">
        <v>482</v>
      </c>
      <c r="CP267" s="3" t="s">
        <v>139</v>
      </c>
      <c r="CQ267" s="3" t="s">
        <v>120</v>
      </c>
      <c r="CR267" s="3" t="s">
        <v>140</v>
      </c>
      <c r="CS267" s="16" t="s">
        <v>122</v>
      </c>
      <c r="CT267" s="16" t="s">
        <v>242</v>
      </c>
      <c r="CU267" s="16" t="s">
        <v>1037</v>
      </c>
      <c r="CV267" s="16" t="s">
        <v>385</v>
      </c>
    </row>
    <row r="268" spans="1:100" ht="15" customHeight="1">
      <c r="A268" t="s">
        <v>1790</v>
      </c>
      <c r="B268" s="3" t="s">
        <v>1791</v>
      </c>
      <c r="C268" s="16" t="s">
        <v>97</v>
      </c>
      <c r="D268" s="43" t="s">
        <v>1792</v>
      </c>
      <c r="E268" s="16" t="s">
        <v>97</v>
      </c>
      <c r="F268" s="131" t="s">
        <v>1793</v>
      </c>
      <c r="I268" s="100" t="s">
        <v>342</v>
      </c>
      <c r="J268" s="16" t="s">
        <v>101</v>
      </c>
      <c r="K268" s="16"/>
      <c r="L268" s="3" t="s">
        <v>102</v>
      </c>
      <c r="M268" s="3" t="s">
        <v>103</v>
      </c>
      <c r="N268" s="3" t="s">
        <v>104</v>
      </c>
      <c r="O268" s="16" t="s">
        <v>478</v>
      </c>
      <c r="P268" s="2" t="s">
        <v>1794</v>
      </c>
      <c r="Q268" s="2" t="s">
        <v>1794</v>
      </c>
      <c r="R268" s="2" t="s">
        <v>1794</v>
      </c>
      <c r="S268" t="s">
        <v>1790</v>
      </c>
      <c r="T268" s="130" t="s">
        <v>465</v>
      </c>
      <c r="U268" s="51">
        <v>9</v>
      </c>
      <c r="V268" s="58"/>
      <c r="W268" s="58"/>
      <c r="X268" s="59" t="s">
        <v>108</v>
      </c>
      <c r="Y268" s="93">
        <f>IF(AD268=0, 0, IF(OR(H268="", H268&lt;&gt;0), 1, 0))</f>
        <v>1</v>
      </c>
      <c r="Z268" s="3">
        <v>0</v>
      </c>
      <c r="AA268" s="3" t="s">
        <v>1795</v>
      </c>
      <c r="AD268" s="6">
        <f>ROUND((AG268*(1+AJ268)),2)</f>
        <v>146.31</v>
      </c>
      <c r="AE268" s="69">
        <v>166.73262059999999</v>
      </c>
      <c r="AF268" s="17">
        <f>(AE268*1)</f>
        <v>166.73262059999999</v>
      </c>
      <c r="AG268" s="6">
        <f>ROUND((AE268*AI268),2)</f>
        <v>108.38</v>
      </c>
      <c r="AH268" s="30" t="s">
        <v>110</v>
      </c>
      <c r="AI268" s="3">
        <v>0.65</v>
      </c>
      <c r="AJ268" s="18">
        <v>0.35</v>
      </c>
      <c r="AK268" s="6">
        <f>ROUND((AD268-(AD268*BG268)),2)</f>
        <v>144.85</v>
      </c>
      <c r="AL268" s="6">
        <f>ROUND((AD268-(AD268*BH268)),2)</f>
        <v>143.38</v>
      </c>
      <c r="AM268" s="6">
        <f>ROUND((AD268-(AD268*BI268)),2)</f>
        <v>141.91999999999999</v>
      </c>
      <c r="AN268" s="6">
        <f>ROUND((AD268-(AD268*BJ268)),2)</f>
        <v>141.91999999999999</v>
      </c>
      <c r="AO268" s="6">
        <f>ROUND((AD268-(AD268*BK268)),2)</f>
        <v>146.31</v>
      </c>
      <c r="BG268" s="12">
        <v>0.01</v>
      </c>
      <c r="BH268" s="12">
        <v>0.02</v>
      </c>
      <c r="BI268" s="12">
        <v>0.03</v>
      </c>
      <c r="BJ268" s="12">
        <v>0.03</v>
      </c>
      <c r="CC268" s="3" t="str">
        <f>IF(B268&lt;&gt;"",CONCATENATE(SUBSTITUTE(B268," ","-"),".jpg"),"")</f>
        <v>Allied-Moulded-AMP1648LF.jpg</v>
      </c>
      <c r="CD268" s="16" t="s">
        <v>111</v>
      </c>
      <c r="CE268" s="3"/>
      <c r="CF268" s="3"/>
      <c r="CG268" s="3" t="s">
        <v>112</v>
      </c>
      <c r="CI268" s="3" t="s">
        <v>97</v>
      </c>
      <c r="CJ268" s="3" t="s">
        <v>481</v>
      </c>
      <c r="CK268" s="3" t="s">
        <v>114</v>
      </c>
      <c r="CL268" s="3" t="s">
        <v>115</v>
      </c>
      <c r="CM268" s="3" t="s">
        <v>116</v>
      </c>
      <c r="CN268" t="s">
        <v>117</v>
      </c>
      <c r="CO268" s="3" t="s">
        <v>482</v>
      </c>
      <c r="CP268" s="3" t="s">
        <v>139</v>
      </c>
      <c r="CQ268" s="3" t="s">
        <v>120</v>
      </c>
      <c r="CR268" s="3" t="s">
        <v>140</v>
      </c>
      <c r="CS268" s="16" t="s">
        <v>122</v>
      </c>
      <c r="CT268" s="16" t="s">
        <v>242</v>
      </c>
      <c r="CU268" s="16" t="s">
        <v>1037</v>
      </c>
      <c r="CV268" s="16" t="s">
        <v>385</v>
      </c>
    </row>
    <row r="269" spans="1:100" ht="15" customHeight="1">
      <c r="A269" t="s">
        <v>1796</v>
      </c>
      <c r="B269" s="3" t="s">
        <v>1797</v>
      </c>
      <c r="C269" s="16" t="s">
        <v>97</v>
      </c>
      <c r="D269" s="40" t="s">
        <v>1798</v>
      </c>
      <c r="E269" s="16" t="s">
        <v>97</v>
      </c>
      <c r="F269" s="131" t="s">
        <v>1799</v>
      </c>
      <c r="I269" s="100" t="s">
        <v>342</v>
      </c>
      <c r="J269" s="16" t="s">
        <v>101</v>
      </c>
      <c r="K269" s="16"/>
      <c r="L269" s="3" t="s">
        <v>102</v>
      </c>
      <c r="M269" s="3" t="s">
        <v>103</v>
      </c>
      <c r="N269" s="3" t="s">
        <v>104</v>
      </c>
      <c r="O269" s="16" t="s">
        <v>478</v>
      </c>
      <c r="P269" s="2" t="s">
        <v>1800</v>
      </c>
      <c r="Q269" s="2" t="s">
        <v>1800</v>
      </c>
      <c r="R269" s="2" t="s">
        <v>1800</v>
      </c>
      <c r="S269" t="s">
        <v>1796</v>
      </c>
      <c r="T269" s="130" t="s">
        <v>465</v>
      </c>
      <c r="U269" s="58">
        <v>9</v>
      </c>
      <c r="V269" s="58"/>
      <c r="W269" s="58"/>
      <c r="X269" s="59" t="s">
        <v>108</v>
      </c>
      <c r="Y269" s="93">
        <f>IF(AD269=0, 0, IF(OR(H269="", H269&lt;&gt;0), 1, 0))</f>
        <v>1</v>
      </c>
      <c r="Z269" s="3">
        <v>0</v>
      </c>
      <c r="AA269" s="3" t="s">
        <v>1801</v>
      </c>
      <c r="AD269" s="6">
        <f>ROUND((AG269*(1+AJ269)),2)</f>
        <v>132.37</v>
      </c>
      <c r="AE269" s="74">
        <v>150.85332359999998</v>
      </c>
      <c r="AF269" s="17">
        <f>(AE269*1)</f>
        <v>150.85332359999998</v>
      </c>
      <c r="AG269" s="6">
        <f>ROUND((AE269*AI269),2)</f>
        <v>98.05</v>
      </c>
      <c r="AH269" s="30" t="s">
        <v>110</v>
      </c>
      <c r="AI269" s="3">
        <v>0.65</v>
      </c>
      <c r="AJ269" s="18">
        <v>0.35</v>
      </c>
      <c r="AK269" s="6">
        <f>ROUND((AD269-(AD269*BG269)),2)</f>
        <v>131.05000000000001</v>
      </c>
      <c r="AL269" s="6">
        <f>ROUND((AD269-(AD269*BH269)),2)</f>
        <v>129.72</v>
      </c>
      <c r="AM269" s="6">
        <f>ROUND((AD269-(AD269*BI269)),2)</f>
        <v>128.4</v>
      </c>
      <c r="AN269" s="6">
        <f>ROUND((AD269-(AD269*BJ269)),2)</f>
        <v>128.4</v>
      </c>
      <c r="AO269" s="6">
        <f>ROUND((AD269-(AD269*BK269)),2)</f>
        <v>132.37</v>
      </c>
      <c r="BG269" s="12">
        <v>0.01</v>
      </c>
      <c r="BH269" s="12">
        <v>0.02</v>
      </c>
      <c r="BI269" s="12">
        <v>0.03</v>
      </c>
      <c r="BJ269" s="12">
        <v>0.03</v>
      </c>
      <c r="CC269" s="3" t="str">
        <f>IF(B269&lt;&gt;"",CONCATENATE(SUBSTITUTE(B269," ","-"),".jpg"),"")</f>
        <v>Allied-Moulded-AMP1648NL.jpg</v>
      </c>
      <c r="CD269" s="16" t="s">
        <v>111</v>
      </c>
      <c r="CE269" s="3"/>
      <c r="CF269" s="3"/>
      <c r="CG269" s="3" t="s">
        <v>112</v>
      </c>
      <c r="CI269" s="3" t="s">
        <v>97</v>
      </c>
      <c r="CJ269" s="3" t="s">
        <v>481</v>
      </c>
      <c r="CK269" s="3" t="s">
        <v>114</v>
      </c>
      <c r="CL269" s="3" t="s">
        <v>115</v>
      </c>
      <c r="CM269" s="3" t="s">
        <v>116</v>
      </c>
      <c r="CN269" t="s">
        <v>117</v>
      </c>
      <c r="CO269" s="3" t="s">
        <v>482</v>
      </c>
      <c r="CP269" s="3" t="s">
        <v>139</v>
      </c>
      <c r="CQ269" s="3" t="s">
        <v>120</v>
      </c>
      <c r="CR269" s="3" t="s">
        <v>140</v>
      </c>
      <c r="CS269" s="16" t="s">
        <v>122</v>
      </c>
      <c r="CT269" s="16" t="s">
        <v>242</v>
      </c>
      <c r="CU269" s="16" t="s">
        <v>1037</v>
      </c>
      <c r="CV269" s="16" t="s">
        <v>385</v>
      </c>
    </row>
    <row r="270" spans="1:100" ht="15" customHeight="1">
      <c r="A270" t="s">
        <v>1802</v>
      </c>
      <c r="B270" s="3" t="s">
        <v>1803</v>
      </c>
      <c r="C270" s="16" t="s">
        <v>97</v>
      </c>
      <c r="D270" s="42" t="s">
        <v>1804</v>
      </c>
      <c r="E270" s="16" t="s">
        <v>97</v>
      </c>
      <c r="F270" s="131" t="s">
        <v>1805</v>
      </c>
      <c r="I270" s="100" t="s">
        <v>342</v>
      </c>
      <c r="J270" s="16" t="s">
        <v>101</v>
      </c>
      <c r="K270" s="16"/>
      <c r="L270" s="3" t="s">
        <v>102</v>
      </c>
      <c r="M270" s="3" t="s">
        <v>103</v>
      </c>
      <c r="N270" s="3" t="s">
        <v>104</v>
      </c>
      <c r="O270" s="16" t="s">
        <v>478</v>
      </c>
      <c r="P270" s="2" t="s">
        <v>1806</v>
      </c>
      <c r="Q270" s="2" t="s">
        <v>1806</v>
      </c>
      <c r="R270" s="2" t="s">
        <v>1806</v>
      </c>
      <c r="S270" t="s">
        <v>1802</v>
      </c>
      <c r="T270" s="130" t="s">
        <v>465</v>
      </c>
      <c r="U270" s="52">
        <v>9</v>
      </c>
      <c r="V270" s="54"/>
      <c r="W270" s="54"/>
      <c r="X270" s="59" t="s">
        <v>108</v>
      </c>
      <c r="Y270" s="93">
        <f>IF(AD270=0, 0, IF(OR(H270="", H270&lt;&gt;0), 1, 0))</f>
        <v>1</v>
      </c>
      <c r="Z270" s="3">
        <v>0</v>
      </c>
      <c r="AA270" s="3" t="s">
        <v>1807</v>
      </c>
      <c r="AD270" s="6">
        <f>ROUND((AG270*(1+AJ270)),2)</f>
        <v>139</v>
      </c>
      <c r="AE270" s="68">
        <v>158.39598914999999</v>
      </c>
      <c r="AF270" s="17">
        <f>(AE270*1)</f>
        <v>158.39598914999999</v>
      </c>
      <c r="AG270" s="6">
        <f>ROUND((AE270*AI270),2)</f>
        <v>102.96</v>
      </c>
      <c r="AH270" s="30" t="s">
        <v>110</v>
      </c>
      <c r="AI270" s="3">
        <v>0.65</v>
      </c>
      <c r="AJ270" s="18">
        <v>0.35</v>
      </c>
      <c r="AK270" s="6">
        <f>ROUND((AD270-(AD270*BG270)),2)</f>
        <v>137.61000000000001</v>
      </c>
      <c r="AL270" s="6">
        <f>ROUND((AD270-(AD270*BH270)),2)</f>
        <v>136.22</v>
      </c>
      <c r="AM270" s="6">
        <f>ROUND((AD270-(AD270*BI270)),2)</f>
        <v>134.83000000000001</v>
      </c>
      <c r="AN270" s="6">
        <f>ROUND((AD270-(AD270*BJ270)),2)</f>
        <v>134.83000000000001</v>
      </c>
      <c r="AO270" s="6">
        <f>ROUND((AD270-(AD270*BK270)),2)</f>
        <v>139</v>
      </c>
      <c r="BG270" s="12">
        <v>0.01</v>
      </c>
      <c r="BH270" s="12">
        <v>0.02</v>
      </c>
      <c r="BI270" s="12">
        <v>0.03</v>
      </c>
      <c r="BJ270" s="12">
        <v>0.03</v>
      </c>
      <c r="CC270" s="3" t="str">
        <f>IF(B270&lt;&gt;"",CONCATENATE(SUBSTITUTE(B270," ","-"),".jpg"),"")</f>
        <v>Allied-Moulded-AMP1648NLF.jpg</v>
      </c>
      <c r="CD270" s="16" t="s">
        <v>111</v>
      </c>
      <c r="CE270" s="3"/>
      <c r="CF270" s="3"/>
      <c r="CG270" s="3" t="s">
        <v>112</v>
      </c>
      <c r="CI270" s="3" t="s">
        <v>97</v>
      </c>
      <c r="CJ270" s="3" t="s">
        <v>481</v>
      </c>
      <c r="CK270" s="3" t="s">
        <v>114</v>
      </c>
      <c r="CL270" s="3" t="s">
        <v>115</v>
      </c>
      <c r="CM270" s="3" t="s">
        <v>116</v>
      </c>
      <c r="CN270" t="s">
        <v>117</v>
      </c>
      <c r="CO270" s="3" t="s">
        <v>482</v>
      </c>
      <c r="CP270" s="3" t="s">
        <v>139</v>
      </c>
      <c r="CQ270" s="3" t="s">
        <v>120</v>
      </c>
      <c r="CR270" s="3" t="s">
        <v>140</v>
      </c>
      <c r="CS270" s="16" t="s">
        <v>122</v>
      </c>
      <c r="CT270" s="16" t="s">
        <v>242</v>
      </c>
      <c r="CU270" s="16" t="s">
        <v>1037</v>
      </c>
      <c r="CV270" s="16" t="s">
        <v>385</v>
      </c>
    </row>
    <row r="271" spans="1:100" ht="15" customHeight="1">
      <c r="A271" t="s">
        <v>1808</v>
      </c>
      <c r="B271" s="3" t="s">
        <v>1809</v>
      </c>
      <c r="C271" s="16" t="s">
        <v>97</v>
      </c>
      <c r="D271" s="43" t="s">
        <v>1810</v>
      </c>
      <c r="E271" s="16" t="s">
        <v>97</v>
      </c>
      <c r="F271" s="131" t="s">
        <v>1811</v>
      </c>
      <c r="I271" s="100" t="s">
        <v>342</v>
      </c>
      <c r="J271" s="16" t="s">
        <v>101</v>
      </c>
      <c r="K271" s="16"/>
      <c r="L271" s="3" t="s">
        <v>102</v>
      </c>
      <c r="M271" s="3" t="s">
        <v>103</v>
      </c>
      <c r="N271" s="3" t="s">
        <v>104</v>
      </c>
      <c r="O271" s="16" t="s">
        <v>105</v>
      </c>
      <c r="P271" s="3" t="s">
        <v>1812</v>
      </c>
      <c r="Q271" s="3" t="s">
        <v>1812</v>
      </c>
      <c r="R271" s="3" t="s">
        <v>1812</v>
      </c>
      <c r="S271" t="s">
        <v>1808</v>
      </c>
      <c r="T271" s="130" t="s">
        <v>465</v>
      </c>
      <c r="U271" s="35">
        <v>24</v>
      </c>
      <c r="V271" s="40"/>
      <c r="W271" s="40"/>
      <c r="X271" s="59" t="s">
        <v>108</v>
      </c>
      <c r="Y271" s="93">
        <f>IF(AD271=0, 0, IF(OR(H271="", H271&lt;&gt;0), 1, 0))</f>
        <v>1</v>
      </c>
      <c r="Z271" s="3">
        <v>0</v>
      </c>
      <c r="AA271" s="3" t="s">
        <v>1813</v>
      </c>
      <c r="AD271" s="6">
        <f>ROUND((AG271*(1+AJ271)),2)</f>
        <v>305.22000000000003</v>
      </c>
      <c r="AE271" s="69">
        <v>347.83632921999993</v>
      </c>
      <c r="AF271" s="17">
        <f>(AE271*1)</f>
        <v>347.83632921999993</v>
      </c>
      <c r="AG271" s="6">
        <f>ROUND((AE271*AI271),2)</f>
        <v>226.09</v>
      </c>
      <c r="AH271" s="30" t="s">
        <v>110</v>
      </c>
      <c r="AI271" s="3">
        <v>0.65</v>
      </c>
      <c r="AJ271" s="18">
        <v>0.35</v>
      </c>
      <c r="AK271" s="6">
        <f>ROUND((AD271-(AD271*BG271)),2)</f>
        <v>302.17</v>
      </c>
      <c r="AL271" s="6">
        <f>ROUND((AD271-(AD271*BH271)),2)</f>
        <v>299.12</v>
      </c>
      <c r="AM271" s="6">
        <f>ROUND((AD271-(AD271*BI271)),2)</f>
        <v>296.06</v>
      </c>
      <c r="AN271" s="6">
        <f>ROUND((AD271-(AD271*BJ271)),2)</f>
        <v>296.06</v>
      </c>
      <c r="AO271" s="6">
        <f>ROUND((AD271-(AD271*BK271)),2)</f>
        <v>305.22000000000003</v>
      </c>
      <c r="BG271" s="12">
        <v>0.01</v>
      </c>
      <c r="BH271" s="12">
        <v>0.02</v>
      </c>
      <c r="BI271" s="12">
        <v>0.03</v>
      </c>
      <c r="BJ271" s="12">
        <v>0.03</v>
      </c>
      <c r="CC271" s="3" t="str">
        <f>IF(B271&lt;&gt;"",CONCATENATE(SUBSTITUTE(B271," ","-"),".jpg"),"")</f>
        <v>Allied-Moulded-AMHD1860RLF.jpg</v>
      </c>
      <c r="CD271" s="16" t="s">
        <v>111</v>
      </c>
      <c r="CE271" s="3"/>
      <c r="CF271" s="3"/>
      <c r="CG271" s="3" t="s">
        <v>112</v>
      </c>
      <c r="CI271" s="3" t="s">
        <v>97</v>
      </c>
      <c r="CJ271" s="3" t="s">
        <v>383</v>
      </c>
      <c r="CK271" s="3" t="s">
        <v>114</v>
      </c>
      <c r="CL271" s="3" t="s">
        <v>115</v>
      </c>
      <c r="CM271" s="3" t="s">
        <v>116</v>
      </c>
      <c r="CN271" t="s">
        <v>117</v>
      </c>
      <c r="CO271" s="3" t="s">
        <v>118</v>
      </c>
      <c r="CP271" s="3" t="s">
        <v>139</v>
      </c>
      <c r="CQ271" s="3" t="s">
        <v>120</v>
      </c>
      <c r="CR271" s="16" t="s">
        <v>121</v>
      </c>
      <c r="CS271" s="16" t="s">
        <v>122</v>
      </c>
      <c r="CT271" s="16" t="s">
        <v>1814</v>
      </c>
      <c r="CU271" s="16" t="s">
        <v>242</v>
      </c>
      <c r="CV271" s="16" t="s">
        <v>125</v>
      </c>
    </row>
    <row r="272" spans="1:100" ht="15" customHeight="1">
      <c r="A272" t="s">
        <v>1815</v>
      </c>
      <c r="B272" s="3" t="s">
        <v>1816</v>
      </c>
      <c r="C272" s="16" t="s">
        <v>97</v>
      </c>
      <c r="D272" s="44" t="s">
        <v>1817</v>
      </c>
      <c r="E272" s="16" t="s">
        <v>97</v>
      </c>
      <c r="F272" s="131" t="s">
        <v>1818</v>
      </c>
      <c r="I272" s="100" t="s">
        <v>342</v>
      </c>
      <c r="J272" s="16" t="s">
        <v>101</v>
      </c>
      <c r="K272" s="16"/>
      <c r="L272" s="3" t="s">
        <v>102</v>
      </c>
      <c r="M272" s="3" t="s">
        <v>103</v>
      </c>
      <c r="N272" s="3" t="s">
        <v>104</v>
      </c>
      <c r="O272" s="16" t="s">
        <v>105</v>
      </c>
      <c r="P272" s="3" t="s">
        <v>1819</v>
      </c>
      <c r="Q272" s="3" t="s">
        <v>1819</v>
      </c>
      <c r="R272" s="3" t="s">
        <v>1819</v>
      </c>
      <c r="S272" t="s">
        <v>1815</v>
      </c>
      <c r="T272" s="130" t="s">
        <v>107</v>
      </c>
      <c r="U272" s="34">
        <v>18</v>
      </c>
      <c r="V272" s="39"/>
      <c r="W272" s="39"/>
      <c r="X272" s="59" t="s">
        <v>108</v>
      </c>
      <c r="Y272" s="93">
        <f>IF(AD272=0, 0, IF(OR(H272="", H272&lt;&gt;0), 1, 0))</f>
        <v>1</v>
      </c>
      <c r="Z272" s="3">
        <v>0</v>
      </c>
      <c r="AA272" s="3" t="s">
        <v>1820</v>
      </c>
      <c r="AD272" s="6">
        <f>ROUND((AG272*(1+AJ272)),2)</f>
        <v>220.13</v>
      </c>
      <c r="AE272" s="69">
        <v>250.86025744</v>
      </c>
      <c r="AF272" s="17">
        <f>(AE272*1)</f>
        <v>250.86025744</v>
      </c>
      <c r="AG272" s="6">
        <f>ROUND((AE272*AI272),2)</f>
        <v>163.06</v>
      </c>
      <c r="AH272" s="30" t="s">
        <v>110</v>
      </c>
      <c r="AI272" s="3">
        <v>0.65</v>
      </c>
      <c r="AJ272" s="18">
        <v>0.35</v>
      </c>
      <c r="AK272" s="6">
        <f>ROUND((AD272-(AD272*BG272)),2)</f>
        <v>217.93</v>
      </c>
      <c r="AL272" s="6">
        <f>ROUND((AD272-(AD272*BH272)),2)</f>
        <v>215.73</v>
      </c>
      <c r="AM272" s="6">
        <f>ROUND((AD272-(AD272*BI272)),2)</f>
        <v>213.53</v>
      </c>
      <c r="AN272" s="6">
        <f>ROUND((AD272-(AD272*BJ272)),2)</f>
        <v>213.53</v>
      </c>
      <c r="AO272" s="6">
        <f>ROUND((AD272-(AD272*BK272)),2)</f>
        <v>220.13</v>
      </c>
      <c r="BG272" s="12">
        <v>0.01</v>
      </c>
      <c r="BH272" s="12">
        <v>0.02</v>
      </c>
      <c r="BI272" s="12">
        <v>0.03</v>
      </c>
      <c r="BJ272" s="12">
        <v>0.03</v>
      </c>
      <c r="CC272" s="3" t="str">
        <f>IF(B272&lt;&gt;"",CONCATENATE(SUBSTITUTE(B272," ","-"),".jpg"),"")</f>
        <v>Allied-Moulded-AM1868R.jpg</v>
      </c>
      <c r="CD272" s="16" t="s">
        <v>111</v>
      </c>
      <c r="CE272" s="3"/>
      <c r="CF272" s="3"/>
      <c r="CG272" s="3" t="s">
        <v>112</v>
      </c>
      <c r="CI272" s="3" t="s">
        <v>97</v>
      </c>
      <c r="CJ272" s="3" t="s">
        <v>383</v>
      </c>
      <c r="CK272" s="3" t="s">
        <v>114</v>
      </c>
      <c r="CL272" s="3" t="s">
        <v>115</v>
      </c>
      <c r="CM272" s="16"/>
      <c r="CN272" s="16" t="s">
        <v>349</v>
      </c>
      <c r="CO272" s="3" t="s">
        <v>118</v>
      </c>
      <c r="CP272" s="3" t="s">
        <v>139</v>
      </c>
      <c r="CQ272" s="3" t="s">
        <v>120</v>
      </c>
      <c r="CR272" s="3" t="s">
        <v>140</v>
      </c>
      <c r="CS272" s="3" t="s">
        <v>384</v>
      </c>
      <c r="CT272" s="16" t="s">
        <v>1814</v>
      </c>
      <c r="CU272" s="16" t="s">
        <v>242</v>
      </c>
      <c r="CV272" s="3" t="s">
        <v>167</v>
      </c>
    </row>
    <row r="273" spans="1:100" ht="15" customHeight="1">
      <c r="A273" t="s">
        <v>1821</v>
      </c>
      <c r="B273" s="3" t="s">
        <v>1822</v>
      </c>
      <c r="C273" s="16" t="s">
        <v>97</v>
      </c>
      <c r="D273" s="44" t="s">
        <v>1823</v>
      </c>
      <c r="E273" s="16" t="s">
        <v>97</v>
      </c>
      <c r="F273" s="131" t="s">
        <v>1824</v>
      </c>
      <c r="I273" s="100" t="s">
        <v>342</v>
      </c>
      <c r="J273" s="16" t="s">
        <v>101</v>
      </c>
      <c r="K273" s="16"/>
      <c r="L273" s="3" t="s">
        <v>102</v>
      </c>
      <c r="M273" s="3" t="s">
        <v>103</v>
      </c>
      <c r="N273" s="3" t="s">
        <v>104</v>
      </c>
      <c r="O273" s="16" t="s">
        <v>105</v>
      </c>
      <c r="P273" s="3" t="s">
        <v>1825</v>
      </c>
      <c r="Q273" s="3" t="s">
        <v>1825</v>
      </c>
      <c r="R273" s="3" t="s">
        <v>1825</v>
      </c>
      <c r="S273" t="s">
        <v>1821</v>
      </c>
      <c r="T273" s="130" t="s">
        <v>107</v>
      </c>
      <c r="U273" s="34">
        <v>18</v>
      </c>
      <c r="V273" s="39"/>
      <c r="W273" s="39"/>
      <c r="X273" s="59" t="s">
        <v>108</v>
      </c>
      <c r="Y273" s="93">
        <f>IF(AD273=0, 0, IF(OR(H273="", H273&lt;&gt;0), 1, 0))</f>
        <v>1</v>
      </c>
      <c r="Z273" s="3">
        <v>0</v>
      </c>
      <c r="AA273" s="3" t="s">
        <v>1826</v>
      </c>
      <c r="AD273" s="6">
        <f>ROUND((AG273*(1+AJ273)),2)</f>
        <v>228.07</v>
      </c>
      <c r="AE273" s="69">
        <v>259.90502219000001</v>
      </c>
      <c r="AF273" s="17">
        <f>(AE273*1)</f>
        <v>259.90502219000001</v>
      </c>
      <c r="AG273" s="6">
        <f>ROUND((AE273*AI273),2)</f>
        <v>168.94</v>
      </c>
      <c r="AH273" s="30" t="s">
        <v>110</v>
      </c>
      <c r="AI273" s="3">
        <v>0.65</v>
      </c>
      <c r="AJ273" s="18">
        <v>0.35</v>
      </c>
      <c r="AK273" s="6">
        <f>ROUND((AD273-(AD273*BG273)),2)</f>
        <v>225.79</v>
      </c>
      <c r="AL273" s="6">
        <f>ROUND((AD273-(AD273*BH273)),2)</f>
        <v>223.51</v>
      </c>
      <c r="AM273" s="6">
        <f>ROUND((AD273-(AD273*BI273)),2)</f>
        <v>221.23</v>
      </c>
      <c r="AN273" s="6">
        <f>ROUND((AD273-(AD273*BJ273)),2)</f>
        <v>221.23</v>
      </c>
      <c r="AO273" s="6">
        <f>ROUND((AD273-(AD273*BK273)),2)</f>
        <v>228.07</v>
      </c>
      <c r="BG273" s="12">
        <v>0.01</v>
      </c>
      <c r="BH273" s="12">
        <v>0.02</v>
      </c>
      <c r="BI273" s="12">
        <v>0.03</v>
      </c>
      <c r="BJ273" s="12">
        <v>0.03</v>
      </c>
      <c r="CC273" s="3" t="str">
        <f>IF(B273&lt;&gt;"",CONCATENATE(SUBSTITUTE(B273," ","-"),".jpg"),"")</f>
        <v>Allied-Moulded-AM1868RH.jpg</v>
      </c>
      <c r="CD273" s="16" t="s">
        <v>111</v>
      </c>
      <c r="CE273" s="3"/>
      <c r="CF273" s="3"/>
      <c r="CG273" s="3" t="s">
        <v>112</v>
      </c>
      <c r="CI273" s="3" t="s">
        <v>97</v>
      </c>
      <c r="CJ273" s="3" t="s">
        <v>383</v>
      </c>
      <c r="CK273" s="3" t="s">
        <v>114</v>
      </c>
      <c r="CL273" s="3" t="s">
        <v>115</v>
      </c>
      <c r="CO273" s="3" t="s">
        <v>118</v>
      </c>
      <c r="CP273" s="3" t="s">
        <v>139</v>
      </c>
      <c r="CQ273" s="3" t="s">
        <v>120</v>
      </c>
      <c r="CR273" s="3" t="s">
        <v>140</v>
      </c>
      <c r="CS273" s="3" t="s">
        <v>384</v>
      </c>
      <c r="CT273" s="16" t="s">
        <v>1814</v>
      </c>
      <c r="CU273" s="16" t="s">
        <v>242</v>
      </c>
      <c r="CV273" s="3" t="s">
        <v>167</v>
      </c>
    </row>
    <row r="274" spans="1:100" ht="15" customHeight="1">
      <c r="A274" t="s">
        <v>1827</v>
      </c>
      <c r="B274" s="3" t="s">
        <v>1828</v>
      </c>
      <c r="C274" s="16" t="s">
        <v>97</v>
      </c>
      <c r="D274" s="43" t="s">
        <v>1829</v>
      </c>
      <c r="E274" s="16" t="s">
        <v>97</v>
      </c>
      <c r="F274" s="131" t="s">
        <v>1830</v>
      </c>
      <c r="I274" s="100" t="s">
        <v>342</v>
      </c>
      <c r="J274" s="16" t="s">
        <v>101</v>
      </c>
      <c r="K274" s="16"/>
      <c r="L274" s="3" t="s">
        <v>102</v>
      </c>
      <c r="M274" s="3" t="s">
        <v>103</v>
      </c>
      <c r="N274" s="3" t="s">
        <v>104</v>
      </c>
      <c r="O274" s="16" t="s">
        <v>105</v>
      </c>
      <c r="P274" s="3" t="s">
        <v>1831</v>
      </c>
      <c r="Q274" s="3" t="s">
        <v>1831</v>
      </c>
      <c r="R274" s="3" t="s">
        <v>1831</v>
      </c>
      <c r="S274" t="s">
        <v>1827</v>
      </c>
      <c r="T274" s="130" t="s">
        <v>1832</v>
      </c>
      <c r="U274" s="35">
        <v>18</v>
      </c>
      <c r="V274" s="40"/>
      <c r="W274" s="40"/>
      <c r="X274" s="59" t="s">
        <v>108</v>
      </c>
      <c r="Y274" s="93">
        <f>IF(AD274=0, 0, IF(OR(H274="", H274&lt;&gt;0), 1, 0))</f>
        <v>1</v>
      </c>
      <c r="Z274" s="3">
        <v>0</v>
      </c>
      <c r="AA274" s="3" t="s">
        <v>1833</v>
      </c>
      <c r="AD274" s="6">
        <f>ROUND((AG274*(1+AJ274)),2)</f>
        <v>248.17</v>
      </c>
      <c r="AE274" s="69">
        <v>282.81607953999998</v>
      </c>
      <c r="AF274" s="17">
        <f>(AE274*1)</f>
        <v>282.81607953999998</v>
      </c>
      <c r="AG274" s="6">
        <f>ROUND((AE274*AI274),2)</f>
        <v>183.83</v>
      </c>
      <c r="AH274" s="30" t="s">
        <v>110</v>
      </c>
      <c r="AI274" s="3">
        <v>0.65</v>
      </c>
      <c r="AJ274" s="18">
        <v>0.35</v>
      </c>
      <c r="AK274" s="6">
        <f>ROUND((AD274-(AD274*BG274)),2)</f>
        <v>245.69</v>
      </c>
      <c r="AL274" s="6">
        <f>ROUND((AD274-(AD274*BH274)),2)</f>
        <v>243.21</v>
      </c>
      <c r="AM274" s="6">
        <f>ROUND((AD274-(AD274*BI274)),2)</f>
        <v>240.72</v>
      </c>
      <c r="AN274" s="6">
        <f>ROUND((AD274-(AD274*BJ274)),2)</f>
        <v>240.72</v>
      </c>
      <c r="AO274" s="6">
        <f>ROUND((AD274-(AD274*BK274)),2)</f>
        <v>248.17</v>
      </c>
      <c r="BG274" s="12">
        <v>0.01</v>
      </c>
      <c r="BH274" s="12">
        <v>0.02</v>
      </c>
      <c r="BI274" s="12">
        <v>0.03</v>
      </c>
      <c r="BJ274" s="12">
        <v>0.03</v>
      </c>
      <c r="CC274" s="3" t="str">
        <f>IF(B274&lt;&gt;"",CONCATENATE(SUBSTITUTE(B274," ","-"),".jpg"),"")</f>
        <v>Allied-Moulded-AM1868RL.jpg</v>
      </c>
      <c r="CD274" s="16" t="s">
        <v>111</v>
      </c>
      <c r="CE274" s="3"/>
      <c r="CF274" s="3"/>
      <c r="CG274" s="3" t="s">
        <v>112</v>
      </c>
      <c r="CI274" s="3" t="s">
        <v>97</v>
      </c>
      <c r="CJ274" s="3" t="s">
        <v>383</v>
      </c>
      <c r="CK274" s="3" t="s">
        <v>114</v>
      </c>
      <c r="CL274" s="3" t="s">
        <v>115</v>
      </c>
      <c r="CM274" s="3" t="s">
        <v>116</v>
      </c>
      <c r="CN274" t="s">
        <v>117</v>
      </c>
      <c r="CO274" s="3" t="s">
        <v>118</v>
      </c>
      <c r="CP274" s="3" t="s">
        <v>139</v>
      </c>
      <c r="CQ274" s="3" t="s">
        <v>120</v>
      </c>
      <c r="CR274" s="3" t="s">
        <v>140</v>
      </c>
      <c r="CS274" s="16" t="s">
        <v>122</v>
      </c>
      <c r="CT274" s="16" t="s">
        <v>1814</v>
      </c>
      <c r="CU274" s="16" t="s">
        <v>242</v>
      </c>
      <c r="CV274" s="3" t="s">
        <v>167</v>
      </c>
    </row>
    <row r="275" spans="1:100" ht="15" customHeight="1">
      <c r="A275" t="s">
        <v>1834</v>
      </c>
      <c r="B275" s="3" t="s">
        <v>1835</v>
      </c>
      <c r="C275" s="16" t="s">
        <v>97</v>
      </c>
      <c r="D275" s="43" t="s">
        <v>1836</v>
      </c>
      <c r="E275" s="16" t="s">
        <v>97</v>
      </c>
      <c r="F275" s="131" t="s">
        <v>1837</v>
      </c>
      <c r="I275" s="100" t="s">
        <v>342</v>
      </c>
      <c r="J275" s="16" t="s">
        <v>101</v>
      </c>
      <c r="K275" s="16"/>
      <c r="L275" s="3" t="s">
        <v>102</v>
      </c>
      <c r="M275" s="3" t="s">
        <v>103</v>
      </c>
      <c r="N275" s="3" t="s">
        <v>104</v>
      </c>
      <c r="O275" s="16" t="s">
        <v>105</v>
      </c>
      <c r="P275" s="3" t="s">
        <v>1838</v>
      </c>
      <c r="Q275" s="3" t="s">
        <v>1838</v>
      </c>
      <c r="R275" s="3" t="s">
        <v>1838</v>
      </c>
      <c r="S275" t="s">
        <v>1834</v>
      </c>
      <c r="T275" s="130" t="s">
        <v>1832</v>
      </c>
      <c r="U275" s="35">
        <v>18</v>
      </c>
      <c r="V275" s="40"/>
      <c r="W275" s="40"/>
      <c r="X275" s="59" t="s">
        <v>108</v>
      </c>
      <c r="Y275" s="93">
        <f>IF(AD275=0, 0, IF(OR(H275="", H275&lt;&gt;0), 1, 0))</f>
        <v>1</v>
      </c>
      <c r="Z275" s="3">
        <v>0</v>
      </c>
      <c r="AA275" s="3" t="s">
        <v>1839</v>
      </c>
      <c r="AD275" s="6">
        <f>ROUND((AG275*(1+AJ275)),2)</f>
        <v>248.17</v>
      </c>
      <c r="AE275" s="69">
        <v>282.81607953999998</v>
      </c>
      <c r="AF275" s="17">
        <f>(AE275*1)</f>
        <v>282.81607953999998</v>
      </c>
      <c r="AG275" s="6">
        <f>ROUND((AE275*AI275),2)</f>
        <v>183.83</v>
      </c>
      <c r="AH275" s="30" t="s">
        <v>110</v>
      </c>
      <c r="AI275" s="3">
        <v>0.65</v>
      </c>
      <c r="AJ275" s="18">
        <v>0.35</v>
      </c>
      <c r="AK275" s="6">
        <f>ROUND((AD275-(AD275*BG275)),2)</f>
        <v>245.69</v>
      </c>
      <c r="AL275" s="6">
        <f>ROUND((AD275-(AD275*BH275)),2)</f>
        <v>243.21</v>
      </c>
      <c r="AM275" s="6">
        <f>ROUND((AD275-(AD275*BI275)),2)</f>
        <v>240.72</v>
      </c>
      <c r="AN275" s="6">
        <f>ROUND((AD275-(AD275*BJ275)),2)</f>
        <v>240.72</v>
      </c>
      <c r="AO275" s="6">
        <f>ROUND((AD275-(AD275*BK275)),2)</f>
        <v>248.17</v>
      </c>
      <c r="BG275" s="12">
        <v>0.01</v>
      </c>
      <c r="BH275" s="12">
        <v>0.02</v>
      </c>
      <c r="BI275" s="12">
        <v>0.03</v>
      </c>
      <c r="BJ275" s="12">
        <v>0.03</v>
      </c>
      <c r="CC275" s="3" t="str">
        <f>IF(B275&lt;&gt;"",CONCATENATE(SUBSTITUTE(B275," ","-"),".jpg"),"")</f>
        <v>Allied-Moulded-AM1868RT.jpg</v>
      </c>
      <c r="CD275" s="16" t="s">
        <v>111</v>
      </c>
      <c r="CE275" s="3"/>
      <c r="CF275" s="3"/>
      <c r="CG275" s="3" t="s">
        <v>112</v>
      </c>
      <c r="CI275" s="3" t="s">
        <v>97</v>
      </c>
      <c r="CJ275" s="3" t="s">
        <v>383</v>
      </c>
      <c r="CK275" s="3" t="s">
        <v>114</v>
      </c>
      <c r="CL275" s="3" t="s">
        <v>115</v>
      </c>
      <c r="CM275" s="3" t="s">
        <v>116</v>
      </c>
      <c r="CN275" s="16" t="s">
        <v>132</v>
      </c>
      <c r="CO275" s="3" t="s">
        <v>118</v>
      </c>
      <c r="CP275" s="3" t="s">
        <v>139</v>
      </c>
      <c r="CQ275" s="3" t="s">
        <v>120</v>
      </c>
      <c r="CR275" s="3" t="s">
        <v>140</v>
      </c>
      <c r="CS275" s="16" t="s">
        <v>122</v>
      </c>
      <c r="CT275" s="16" t="s">
        <v>1814</v>
      </c>
      <c r="CU275" s="16" t="s">
        <v>242</v>
      </c>
      <c r="CV275" s="3" t="s">
        <v>167</v>
      </c>
    </row>
    <row r="276" spans="1:100" ht="15" customHeight="1">
      <c r="A276" t="s">
        <v>1840</v>
      </c>
      <c r="B276" s="3" t="s">
        <v>1841</v>
      </c>
      <c r="C276" s="16" t="s">
        <v>97</v>
      </c>
      <c r="D276" s="44" t="s">
        <v>1842</v>
      </c>
      <c r="E276" s="16" t="s">
        <v>97</v>
      </c>
      <c r="F276" s="131" t="s">
        <v>1843</v>
      </c>
      <c r="I276" s="100" t="s">
        <v>342</v>
      </c>
      <c r="J276" s="16" t="s">
        <v>101</v>
      </c>
      <c r="K276" s="16"/>
      <c r="L276" s="3" t="s">
        <v>102</v>
      </c>
      <c r="M276" s="3" t="s">
        <v>103</v>
      </c>
      <c r="N276" s="3" t="s">
        <v>104</v>
      </c>
      <c r="O276" s="16" t="s">
        <v>105</v>
      </c>
      <c r="P276" s="3" t="s">
        <v>1844</v>
      </c>
      <c r="Q276" s="3" t="s">
        <v>1844</v>
      </c>
      <c r="R276" s="3" t="s">
        <v>1844</v>
      </c>
      <c r="S276" t="s">
        <v>1840</v>
      </c>
      <c r="T276" s="130" t="s">
        <v>107</v>
      </c>
      <c r="U276" s="34">
        <v>18</v>
      </c>
      <c r="V276" s="39"/>
      <c r="W276" s="39"/>
      <c r="X276" s="59" t="s">
        <v>108</v>
      </c>
      <c r="Y276" s="93">
        <f>IF(AD276=0, 0, IF(OR(H276="", H276&lt;&gt;0), 1, 0))</f>
        <v>1</v>
      </c>
      <c r="Z276" s="3">
        <v>0</v>
      </c>
      <c r="AA276" s="3" t="s">
        <v>1845</v>
      </c>
      <c r="AD276" s="6">
        <f>ROUND((AG276*(1+AJ276)),2)</f>
        <v>335</v>
      </c>
      <c r="AE276" s="69">
        <v>381.76726902000001</v>
      </c>
      <c r="AF276" s="17">
        <f>(AE276*1)</f>
        <v>381.76726902000001</v>
      </c>
      <c r="AG276" s="6">
        <f>ROUND((AE276*AI276),2)</f>
        <v>248.15</v>
      </c>
      <c r="AH276" s="30" t="s">
        <v>110</v>
      </c>
      <c r="AI276" s="3">
        <v>0.65</v>
      </c>
      <c r="AJ276" s="18">
        <v>0.35</v>
      </c>
      <c r="AK276" s="6">
        <f>ROUND((AD276-(AD276*BG276)),2)</f>
        <v>331.65</v>
      </c>
      <c r="AL276" s="6">
        <f>ROUND((AD276-(AD276*BH276)),2)</f>
        <v>328.3</v>
      </c>
      <c r="AM276" s="6">
        <f>ROUND((AD276-(AD276*BI276)),2)</f>
        <v>324.95</v>
      </c>
      <c r="AN276" s="6">
        <f>ROUND((AD276-(AD276*BJ276)),2)</f>
        <v>324.95</v>
      </c>
      <c r="AO276" s="6">
        <f>ROUND((AD276-(AD276*BK276)),2)</f>
        <v>335</v>
      </c>
      <c r="BG276" s="12">
        <v>0.01</v>
      </c>
      <c r="BH276" s="12">
        <v>0.02</v>
      </c>
      <c r="BI276" s="12">
        <v>0.03</v>
      </c>
      <c r="BJ276" s="12">
        <v>0.03</v>
      </c>
      <c r="CC276" s="3" t="str">
        <f>IF(B276&lt;&gt;"",CONCATENATE(SUBSTITUTE(B276," ","-"),".jpg"),"")</f>
        <v>Allied-Moulded-AM1868RW.jpg</v>
      </c>
      <c r="CD276" s="16" t="s">
        <v>111</v>
      </c>
      <c r="CE276" s="3"/>
      <c r="CF276" s="3"/>
      <c r="CG276" s="3" t="s">
        <v>112</v>
      </c>
      <c r="CI276" s="3" t="s">
        <v>97</v>
      </c>
      <c r="CJ276" s="3" t="s">
        <v>383</v>
      </c>
      <c r="CK276" s="3" t="s">
        <v>114</v>
      </c>
      <c r="CL276" s="3" t="s">
        <v>115</v>
      </c>
      <c r="CM276" s="16"/>
      <c r="CN276" s="16" t="s">
        <v>349</v>
      </c>
      <c r="CO276" s="3" t="s">
        <v>118</v>
      </c>
      <c r="CP276" s="3" t="s">
        <v>139</v>
      </c>
      <c r="CQ276" s="3" t="s">
        <v>120</v>
      </c>
      <c r="CR276" s="16" t="s">
        <v>121</v>
      </c>
      <c r="CS276" s="3" t="s">
        <v>384</v>
      </c>
      <c r="CT276" s="16" t="s">
        <v>1814</v>
      </c>
      <c r="CU276" s="16" t="s">
        <v>242</v>
      </c>
      <c r="CV276" s="3" t="s">
        <v>167</v>
      </c>
    </row>
    <row r="277" spans="1:100" ht="15" customHeight="1">
      <c r="A277" t="s">
        <v>1846</v>
      </c>
      <c r="B277" s="3" t="s">
        <v>1847</v>
      </c>
      <c r="C277" s="16" t="s">
        <v>97</v>
      </c>
      <c r="D277" s="43" t="s">
        <v>1848</v>
      </c>
      <c r="E277" s="16" t="s">
        <v>97</v>
      </c>
      <c r="F277" s="131" t="s">
        <v>1849</v>
      </c>
      <c r="I277" s="100" t="s">
        <v>342</v>
      </c>
      <c r="J277" s="16" t="s">
        <v>101</v>
      </c>
      <c r="K277" s="16"/>
      <c r="L277" s="3" t="s">
        <v>102</v>
      </c>
      <c r="M277" s="3" t="s">
        <v>103</v>
      </c>
      <c r="N277" s="3" t="s">
        <v>104</v>
      </c>
      <c r="O277" s="16" t="s">
        <v>105</v>
      </c>
      <c r="P277" s="3" t="s">
        <v>1850</v>
      </c>
      <c r="Q277" s="3" t="s">
        <v>1850</v>
      </c>
      <c r="R277" s="3" t="s">
        <v>1850</v>
      </c>
      <c r="S277" t="s">
        <v>1846</v>
      </c>
      <c r="T277" s="130" t="s">
        <v>107</v>
      </c>
      <c r="U277" s="35">
        <v>18</v>
      </c>
      <c r="V277" s="40"/>
      <c r="W277" s="40"/>
      <c r="X277" s="59" t="s">
        <v>108</v>
      </c>
      <c r="Y277" s="93">
        <f>IF(AD277=0, 0, IF(OR(H277="", H277&lt;&gt;0), 1, 0))</f>
        <v>1</v>
      </c>
      <c r="Z277" s="3">
        <v>0</v>
      </c>
      <c r="AA277" s="3" t="s">
        <v>1851</v>
      </c>
      <c r="AD277" s="6">
        <f>ROUND((AG277*(1+AJ277)),2)</f>
        <v>340.4</v>
      </c>
      <c r="AE277" s="69">
        <v>387.92017487000004</v>
      </c>
      <c r="AF277" s="17">
        <f>(AE277*1)</f>
        <v>387.92017487000004</v>
      </c>
      <c r="AG277" s="6">
        <f>ROUND((AE277*AI277),2)</f>
        <v>252.15</v>
      </c>
      <c r="AH277" s="30" t="s">
        <v>110</v>
      </c>
      <c r="AI277" s="3">
        <v>0.65</v>
      </c>
      <c r="AJ277" s="18">
        <v>0.35</v>
      </c>
      <c r="AK277" s="6">
        <f>ROUND((AD277-(AD277*BG277)),2)</f>
        <v>337</v>
      </c>
      <c r="AL277" s="6">
        <f>ROUND((AD277-(AD277*BH277)),2)</f>
        <v>333.59</v>
      </c>
      <c r="AM277" s="6">
        <f>ROUND((AD277-(AD277*BI277)),2)</f>
        <v>330.19</v>
      </c>
      <c r="AN277" s="6">
        <f>ROUND((AD277-(AD277*BJ277)),2)</f>
        <v>330.19</v>
      </c>
      <c r="AO277" s="6">
        <f>ROUND((AD277-(AD277*BK277)),2)</f>
        <v>340.4</v>
      </c>
      <c r="BG277" s="12">
        <v>0.01</v>
      </c>
      <c r="BH277" s="12">
        <v>0.02</v>
      </c>
      <c r="BI277" s="12">
        <v>0.03</v>
      </c>
      <c r="BJ277" s="12">
        <v>0.03</v>
      </c>
      <c r="CC277" s="3" t="str">
        <f>IF(B277&lt;&gt;"",CONCATENATE(SUBSTITUTE(B277," ","-"),".jpg"),"")</f>
        <v>Allied-Moulded-AM1868RHW.jpg</v>
      </c>
      <c r="CD277" s="16" t="s">
        <v>111</v>
      </c>
      <c r="CE277" s="3"/>
      <c r="CF277" s="3"/>
      <c r="CG277" s="3" t="s">
        <v>112</v>
      </c>
      <c r="CI277" s="3" t="s">
        <v>97</v>
      </c>
      <c r="CJ277" s="3" t="s">
        <v>383</v>
      </c>
      <c r="CK277" s="3" t="s">
        <v>114</v>
      </c>
      <c r="CL277" s="3" t="s">
        <v>115</v>
      </c>
      <c r="CO277" s="3" t="s">
        <v>118</v>
      </c>
      <c r="CQ277" s="3" t="s">
        <v>120</v>
      </c>
      <c r="CR277" s="16" t="s">
        <v>121</v>
      </c>
      <c r="CS277" s="3" t="s">
        <v>384</v>
      </c>
      <c r="CT277" s="16" t="s">
        <v>1814</v>
      </c>
      <c r="CU277" s="16" t="s">
        <v>242</v>
      </c>
      <c r="CV277" s="3" t="s">
        <v>167</v>
      </c>
    </row>
    <row r="278" spans="1:100" ht="15" customHeight="1">
      <c r="A278" t="s">
        <v>1852</v>
      </c>
      <c r="B278" s="3" t="s">
        <v>1853</v>
      </c>
      <c r="C278" s="16" t="s">
        <v>97</v>
      </c>
      <c r="D278" s="43" t="s">
        <v>1854</v>
      </c>
      <c r="E278" s="16" t="s">
        <v>97</v>
      </c>
      <c r="F278" s="131" t="s">
        <v>1855</v>
      </c>
      <c r="I278" s="100" t="s">
        <v>342</v>
      </c>
      <c r="J278" s="16" t="s">
        <v>101</v>
      </c>
      <c r="K278" s="16"/>
      <c r="L278" s="3" t="s">
        <v>102</v>
      </c>
      <c r="M278" s="3" t="s">
        <v>103</v>
      </c>
      <c r="N278" s="3" t="s">
        <v>104</v>
      </c>
      <c r="O278" s="16" t="s">
        <v>105</v>
      </c>
      <c r="P278" s="3" t="s">
        <v>1856</v>
      </c>
      <c r="Q278" s="3" t="s">
        <v>1856</v>
      </c>
      <c r="R278" s="3" t="s">
        <v>1856</v>
      </c>
      <c r="S278" t="s">
        <v>1852</v>
      </c>
      <c r="T278" s="130" t="s">
        <v>1832</v>
      </c>
      <c r="U278" s="35">
        <v>18</v>
      </c>
      <c r="V278" s="40"/>
      <c r="W278" s="40"/>
      <c r="X278" s="59" t="s">
        <v>108</v>
      </c>
      <c r="Y278" s="93">
        <f>IF(AD278=0, 0, IF(OR(H278="", H278&lt;&gt;0), 1, 0))</f>
        <v>1</v>
      </c>
      <c r="Z278" s="3">
        <v>0</v>
      </c>
      <c r="AA278" s="3" t="s">
        <v>1857</v>
      </c>
      <c r="AD278" s="6">
        <f>ROUND((AG278*(1+AJ278)),2)</f>
        <v>360.88</v>
      </c>
      <c r="AE278" s="69">
        <v>411.25817133999993</v>
      </c>
      <c r="AF278" s="17">
        <f>(AE278*1)</f>
        <v>411.25817133999993</v>
      </c>
      <c r="AG278" s="6">
        <f>ROUND((AE278*AI278),2)</f>
        <v>267.32</v>
      </c>
      <c r="AH278" s="30" t="s">
        <v>110</v>
      </c>
      <c r="AI278" s="3">
        <v>0.65</v>
      </c>
      <c r="AJ278" s="18">
        <v>0.35</v>
      </c>
      <c r="AK278" s="6">
        <f>ROUND((AD278-(AD278*BG278)),2)</f>
        <v>357.27</v>
      </c>
      <c r="AL278" s="6">
        <f>ROUND((AD278-(AD278*BH278)),2)</f>
        <v>353.66</v>
      </c>
      <c r="AM278" s="6">
        <f>ROUND((AD278-(AD278*BI278)),2)</f>
        <v>350.05</v>
      </c>
      <c r="AN278" s="6">
        <f>ROUND((AD278-(AD278*BJ278)),2)</f>
        <v>350.05</v>
      </c>
      <c r="AO278" s="6">
        <f>ROUND((AD278-(AD278*BK278)),2)</f>
        <v>360.88</v>
      </c>
      <c r="BG278" s="12">
        <v>0.01</v>
      </c>
      <c r="BH278" s="12">
        <v>0.02</v>
      </c>
      <c r="BI278" s="12">
        <v>0.03</v>
      </c>
      <c r="BJ278" s="12">
        <v>0.03</v>
      </c>
      <c r="CC278" s="3" t="str">
        <f>IF(B278&lt;&gt;"",CONCATENATE(SUBSTITUTE(B278," ","-"),".jpg"),"")</f>
        <v>Allied-Moulded-AM1868RLW.jpg</v>
      </c>
      <c r="CD278" s="16" t="s">
        <v>111</v>
      </c>
      <c r="CE278" s="3"/>
      <c r="CF278" s="3"/>
      <c r="CG278" s="3" t="s">
        <v>112</v>
      </c>
      <c r="CI278" s="3" t="s">
        <v>97</v>
      </c>
      <c r="CJ278" s="3" t="s">
        <v>383</v>
      </c>
      <c r="CK278" s="3" t="s">
        <v>114</v>
      </c>
      <c r="CL278" s="3" t="s">
        <v>115</v>
      </c>
      <c r="CM278" s="3" t="s">
        <v>116</v>
      </c>
      <c r="CN278" t="s">
        <v>117</v>
      </c>
      <c r="CO278" s="3" t="s">
        <v>118</v>
      </c>
      <c r="CP278" s="3" t="s">
        <v>139</v>
      </c>
      <c r="CQ278" s="3" t="s">
        <v>120</v>
      </c>
      <c r="CR278" s="16" t="s">
        <v>121</v>
      </c>
      <c r="CS278" s="16" t="s">
        <v>122</v>
      </c>
      <c r="CT278" s="16" t="s">
        <v>1814</v>
      </c>
      <c r="CU278" s="16" t="s">
        <v>242</v>
      </c>
      <c r="CV278" s="3" t="s">
        <v>167</v>
      </c>
    </row>
    <row r="279" spans="1:100" ht="15" customHeight="1">
      <c r="A279" t="s">
        <v>1858</v>
      </c>
      <c r="B279" s="3" t="s">
        <v>1859</v>
      </c>
      <c r="C279" s="16" t="s">
        <v>97</v>
      </c>
      <c r="D279" s="44" t="s">
        <v>1860</v>
      </c>
      <c r="E279" s="16" t="s">
        <v>97</v>
      </c>
      <c r="F279" s="131" t="s">
        <v>1861</v>
      </c>
      <c r="I279" s="100" t="s">
        <v>342</v>
      </c>
      <c r="J279" s="16" t="s">
        <v>101</v>
      </c>
      <c r="K279" s="16"/>
      <c r="L279" s="3" t="s">
        <v>102</v>
      </c>
      <c r="M279" s="3" t="s">
        <v>103</v>
      </c>
      <c r="N279" s="3" t="s">
        <v>104</v>
      </c>
      <c r="O279" s="16" t="s">
        <v>105</v>
      </c>
      <c r="P279" s="3" t="s">
        <v>1862</v>
      </c>
      <c r="Q279" s="3" t="s">
        <v>1862</v>
      </c>
      <c r="R279" s="3" t="s">
        <v>1862</v>
      </c>
      <c r="S279" t="s">
        <v>1858</v>
      </c>
      <c r="T279" s="130" t="s">
        <v>1832</v>
      </c>
      <c r="U279" s="34">
        <v>18</v>
      </c>
      <c r="V279" s="39"/>
      <c r="W279" s="39"/>
      <c r="X279" s="59" t="s">
        <v>108</v>
      </c>
      <c r="Y279" s="93">
        <f>IF(AD279=0, 0, IF(OR(H279="", H279&lt;&gt;0), 1, 0))</f>
        <v>1</v>
      </c>
      <c r="Z279" s="3">
        <v>0</v>
      </c>
      <c r="AA279" s="3" t="s">
        <v>1863</v>
      </c>
      <c r="AD279" s="6">
        <f>ROUND((AG279*(1+AJ279)),2)</f>
        <v>360.88</v>
      </c>
      <c r="AE279" s="69">
        <v>411.25817133999993</v>
      </c>
      <c r="AF279" s="17">
        <f>(AE279*1)</f>
        <v>411.25817133999993</v>
      </c>
      <c r="AG279" s="6">
        <f>ROUND((AE279*AI279),2)</f>
        <v>267.32</v>
      </c>
      <c r="AH279" s="30" t="s">
        <v>110</v>
      </c>
      <c r="AI279" s="3">
        <v>0.65</v>
      </c>
      <c r="AJ279" s="18">
        <v>0.35</v>
      </c>
      <c r="AK279" s="6">
        <f>ROUND((AD279-(AD279*BG279)),2)</f>
        <v>357.27</v>
      </c>
      <c r="AL279" s="6">
        <f>ROUND((AD279-(AD279*BH279)),2)</f>
        <v>353.66</v>
      </c>
      <c r="AM279" s="6">
        <f>ROUND((AD279-(AD279*BI279)),2)</f>
        <v>350.05</v>
      </c>
      <c r="AN279" s="6">
        <f>ROUND((AD279-(AD279*BJ279)),2)</f>
        <v>350.05</v>
      </c>
      <c r="AO279" s="6">
        <f>ROUND((AD279-(AD279*BK279)),2)</f>
        <v>360.88</v>
      </c>
      <c r="BG279" s="12">
        <v>0.01</v>
      </c>
      <c r="BH279" s="12">
        <v>0.02</v>
      </c>
      <c r="BI279" s="12">
        <v>0.03</v>
      </c>
      <c r="BJ279" s="12">
        <v>0.03</v>
      </c>
      <c r="CC279" s="3" t="str">
        <f>IF(B279&lt;&gt;"",CONCATENATE(SUBSTITUTE(B279," ","-"),".jpg"),"")</f>
        <v>Allied-Moulded-AM1868RTW.jpg</v>
      </c>
      <c r="CD279" s="16" t="s">
        <v>111</v>
      </c>
      <c r="CE279" s="3"/>
      <c r="CF279" s="3"/>
      <c r="CG279" s="3" t="s">
        <v>112</v>
      </c>
      <c r="CI279" s="3" t="s">
        <v>97</v>
      </c>
      <c r="CJ279" s="3" t="s">
        <v>383</v>
      </c>
      <c r="CK279" s="3" t="s">
        <v>114</v>
      </c>
      <c r="CL279" s="3" t="s">
        <v>115</v>
      </c>
      <c r="CM279" s="3" t="s">
        <v>116</v>
      </c>
      <c r="CN279" s="16" t="s">
        <v>132</v>
      </c>
      <c r="CO279" s="3" t="s">
        <v>118</v>
      </c>
      <c r="CP279" s="3" t="s">
        <v>139</v>
      </c>
      <c r="CQ279" s="3" t="s">
        <v>120</v>
      </c>
      <c r="CR279" s="16" t="s">
        <v>121</v>
      </c>
      <c r="CS279" s="16" t="s">
        <v>122</v>
      </c>
      <c r="CT279" s="16" t="s">
        <v>1814</v>
      </c>
      <c r="CU279" s="16" t="s">
        <v>242</v>
      </c>
      <c r="CV279" s="3" t="s">
        <v>167</v>
      </c>
    </row>
    <row r="280" spans="1:100" ht="15" customHeight="1">
      <c r="A280" t="s">
        <v>1864</v>
      </c>
      <c r="B280" s="3" t="s">
        <v>1865</v>
      </c>
      <c r="C280" s="16" t="s">
        <v>97</v>
      </c>
      <c r="D280" s="43" t="s">
        <v>1866</v>
      </c>
      <c r="E280" s="16" t="s">
        <v>97</v>
      </c>
      <c r="F280" s="131" t="s">
        <v>1867</v>
      </c>
      <c r="I280" s="100" t="s">
        <v>342</v>
      </c>
      <c r="J280" s="16" t="s">
        <v>101</v>
      </c>
      <c r="K280" s="16"/>
      <c r="L280" s="3" t="s">
        <v>102</v>
      </c>
      <c r="M280" s="3" t="s">
        <v>103</v>
      </c>
      <c r="N280" s="3" t="s">
        <v>104</v>
      </c>
      <c r="O280" s="16" t="s">
        <v>105</v>
      </c>
      <c r="P280" s="3" t="s">
        <v>1868</v>
      </c>
      <c r="Q280" s="3" t="s">
        <v>1868</v>
      </c>
      <c r="R280" s="3" t="s">
        <v>1868</v>
      </c>
      <c r="S280" t="s">
        <v>1864</v>
      </c>
      <c r="T280" s="130" t="s">
        <v>465</v>
      </c>
      <c r="U280" s="35">
        <v>18</v>
      </c>
      <c r="V280" s="40"/>
      <c r="W280" s="40"/>
      <c r="X280" s="59" t="s">
        <v>108</v>
      </c>
      <c r="Y280" s="93">
        <f>IF(AD280=0, 0, IF(OR(H280="", H280&lt;&gt;0), 1, 0))</f>
        <v>1</v>
      </c>
      <c r="Z280" s="3">
        <v>0</v>
      </c>
      <c r="AA280" s="3" t="s">
        <v>1869</v>
      </c>
      <c r="AD280" s="6">
        <f>ROUND((AG280*(1+AJ280)),2)</f>
        <v>257.04000000000002</v>
      </c>
      <c r="AE280" s="69">
        <v>292.91665609</v>
      </c>
      <c r="AF280" s="17">
        <f>(AE280*1)</f>
        <v>292.91665609</v>
      </c>
      <c r="AG280" s="6">
        <f>ROUND((AE280*AI280),2)</f>
        <v>190.4</v>
      </c>
      <c r="AH280" s="30" t="s">
        <v>110</v>
      </c>
      <c r="AI280" s="3">
        <v>0.65</v>
      </c>
      <c r="AJ280" s="18">
        <v>0.35</v>
      </c>
      <c r="AK280" s="6">
        <f>ROUND((AD280-(AD280*BG280)),2)</f>
        <v>254.47</v>
      </c>
      <c r="AL280" s="6">
        <f>ROUND((AD280-(AD280*BH280)),2)</f>
        <v>251.9</v>
      </c>
      <c r="AM280" s="6">
        <f>ROUND((AD280-(AD280*BI280)),2)</f>
        <v>249.33</v>
      </c>
      <c r="AN280" s="6">
        <f>ROUND((AD280-(AD280*BJ280)),2)</f>
        <v>249.33</v>
      </c>
      <c r="AO280" s="6">
        <f>ROUND((AD280-(AD280*BK280)),2)</f>
        <v>257.04000000000002</v>
      </c>
      <c r="BG280" s="12">
        <v>0.01</v>
      </c>
      <c r="BH280" s="12">
        <v>0.02</v>
      </c>
      <c r="BI280" s="12">
        <v>0.03</v>
      </c>
      <c r="BJ280" s="12">
        <v>0.03</v>
      </c>
      <c r="CC280" s="3" t="str">
        <f>IF(B280&lt;&gt;"",CONCATENATE(SUBSTITUTE(B280," ","-"),".jpg"),"")</f>
        <v>Allied-Moulded-AMU1860HF.jpg</v>
      </c>
      <c r="CD280" s="16" t="s">
        <v>111</v>
      </c>
      <c r="CE280" s="3"/>
      <c r="CF280" s="3"/>
      <c r="CG280" s="3" t="s">
        <v>112</v>
      </c>
      <c r="CI280" s="3" t="s">
        <v>97</v>
      </c>
      <c r="CJ280" s="3" t="s">
        <v>467</v>
      </c>
      <c r="CK280" s="3" t="s">
        <v>114</v>
      </c>
      <c r="CL280" s="3" t="s">
        <v>115</v>
      </c>
      <c r="CM280" s="3" t="s">
        <v>116</v>
      </c>
      <c r="CN280" s="16" t="s">
        <v>349</v>
      </c>
      <c r="CO280" s="3" t="s">
        <v>118</v>
      </c>
      <c r="CP280" s="3" t="s">
        <v>139</v>
      </c>
      <c r="CQ280" s="3" t="s">
        <v>120</v>
      </c>
      <c r="CR280" s="3" t="s">
        <v>140</v>
      </c>
      <c r="CS280" s="3" t="s">
        <v>384</v>
      </c>
      <c r="CT280" s="16" t="s">
        <v>1814</v>
      </c>
      <c r="CU280" s="16" t="s">
        <v>242</v>
      </c>
      <c r="CV280" s="3" t="s">
        <v>167</v>
      </c>
    </row>
    <row r="281" spans="1:100" ht="15" customHeight="1">
      <c r="A281" t="s">
        <v>1870</v>
      </c>
      <c r="B281" s="3" t="s">
        <v>1871</v>
      </c>
      <c r="C281" s="16" t="s">
        <v>97</v>
      </c>
      <c r="D281" s="43" t="s">
        <v>1872</v>
      </c>
      <c r="E281" s="16" t="s">
        <v>97</v>
      </c>
      <c r="F281" s="131" t="s">
        <v>1873</v>
      </c>
      <c r="I281" s="100" t="s">
        <v>342</v>
      </c>
      <c r="J281" s="16" t="s">
        <v>101</v>
      </c>
      <c r="K281" s="16"/>
      <c r="L281" s="3" t="s">
        <v>102</v>
      </c>
      <c r="M281" s="3" t="s">
        <v>103</v>
      </c>
      <c r="N281" s="3" t="s">
        <v>104</v>
      </c>
      <c r="O281" s="16" t="s">
        <v>105</v>
      </c>
      <c r="P281" s="3" t="s">
        <v>1874</v>
      </c>
      <c r="Q281" s="3" t="s">
        <v>1874</v>
      </c>
      <c r="R281" s="3" t="s">
        <v>1874</v>
      </c>
      <c r="S281" t="s">
        <v>1870</v>
      </c>
      <c r="T281" s="130" t="s">
        <v>465</v>
      </c>
      <c r="U281" s="35">
        <v>18</v>
      </c>
      <c r="V281" s="40"/>
      <c r="W281" s="40"/>
      <c r="X281" s="59" t="s">
        <v>108</v>
      </c>
      <c r="Y281" s="93">
        <f>IF(AD281=0, 0, IF(OR(H281="", H281&lt;&gt;0), 1, 0))</f>
        <v>1</v>
      </c>
      <c r="Z281" s="3">
        <v>0</v>
      </c>
      <c r="AA281" s="3" t="s">
        <v>1875</v>
      </c>
      <c r="AD281" s="6">
        <f>ROUND((AG281*(1+AJ281)),2)</f>
        <v>399.56</v>
      </c>
      <c r="AE281" s="69">
        <v>455.33530021000001</v>
      </c>
      <c r="AF281" s="17">
        <f>(AE281*1)</f>
        <v>455.33530021000001</v>
      </c>
      <c r="AG281" s="6">
        <f>ROUND((AE281*AI281),2)</f>
        <v>295.97000000000003</v>
      </c>
      <c r="AH281" s="30" t="s">
        <v>110</v>
      </c>
      <c r="AI281" s="3">
        <v>0.65</v>
      </c>
      <c r="AJ281" s="18">
        <v>0.35</v>
      </c>
      <c r="AK281" s="6">
        <f>ROUND((AD281-(AD281*BG281)),2)</f>
        <v>395.56</v>
      </c>
      <c r="AL281" s="6">
        <f>ROUND((AD281-(AD281*BH281)),2)</f>
        <v>391.57</v>
      </c>
      <c r="AM281" s="6">
        <f>ROUND((AD281-(AD281*BI281)),2)</f>
        <v>387.57</v>
      </c>
      <c r="AN281" s="6">
        <f>ROUND((AD281-(AD281*BJ281)),2)</f>
        <v>387.57</v>
      </c>
      <c r="AO281" s="6">
        <f>ROUND((AD281-(AD281*BK281)),2)</f>
        <v>399.56</v>
      </c>
      <c r="BG281" s="12">
        <v>0.01</v>
      </c>
      <c r="BH281" s="12">
        <v>0.02</v>
      </c>
      <c r="BI281" s="12">
        <v>0.03</v>
      </c>
      <c r="BJ281" s="12">
        <v>0.03</v>
      </c>
      <c r="CC281" s="3" t="str">
        <f>IF(B281&lt;&gt;"",CONCATENATE(SUBSTITUTE(B281," ","-"),".jpg"),"")</f>
        <v>Allied-Moulded-AMU1860LWF.jpg</v>
      </c>
      <c r="CD281" s="16" t="s">
        <v>111</v>
      </c>
      <c r="CE281" s="3"/>
      <c r="CF281" s="3"/>
      <c r="CG281" s="3" t="s">
        <v>112</v>
      </c>
      <c r="CI281" s="3" t="s">
        <v>97</v>
      </c>
      <c r="CJ281" s="3" t="s">
        <v>467</v>
      </c>
      <c r="CK281" s="3" t="s">
        <v>114</v>
      </c>
      <c r="CL281" s="3" t="s">
        <v>115</v>
      </c>
      <c r="CM281" s="3" t="s">
        <v>116</v>
      </c>
      <c r="CN281" t="s">
        <v>117</v>
      </c>
      <c r="CO281" s="3" t="s">
        <v>118</v>
      </c>
      <c r="CP281" s="3" t="s">
        <v>139</v>
      </c>
      <c r="CQ281" s="3" t="s">
        <v>120</v>
      </c>
      <c r="CR281" s="3" t="s">
        <v>140</v>
      </c>
      <c r="CS281" s="16" t="s">
        <v>122</v>
      </c>
      <c r="CT281" s="16" t="s">
        <v>1814</v>
      </c>
      <c r="CU281" s="16" t="s">
        <v>242</v>
      </c>
      <c r="CV281" s="3" t="s">
        <v>167</v>
      </c>
    </row>
    <row r="282" spans="1:100" ht="15" customHeight="1">
      <c r="A282" s="86" t="s">
        <v>1876</v>
      </c>
      <c r="B282" s="80" t="s">
        <v>1877</v>
      </c>
      <c r="C282" s="16" t="s">
        <v>97</v>
      </c>
      <c r="D282" s="104" t="s">
        <v>1878</v>
      </c>
      <c r="E282" s="16" t="s">
        <v>97</v>
      </c>
      <c r="F282" s="150" t="s">
        <v>1879</v>
      </c>
      <c r="I282" s="100" t="s">
        <v>342</v>
      </c>
      <c r="J282" s="16" t="s">
        <v>101</v>
      </c>
      <c r="K282" s="16"/>
      <c r="L282" s="3" t="s">
        <v>102</v>
      </c>
      <c r="M282" s="3" t="s">
        <v>103</v>
      </c>
      <c r="N282" s="3" t="s">
        <v>104</v>
      </c>
      <c r="O282" s="16" t="s">
        <v>343</v>
      </c>
      <c r="P282" s="80" t="s">
        <v>1880</v>
      </c>
      <c r="Q282" s="80" t="s">
        <v>1880</v>
      </c>
      <c r="R282" s="80" t="s">
        <v>1881</v>
      </c>
      <c r="S282" s="80" t="s">
        <v>1882</v>
      </c>
      <c r="T282" s="132" t="s">
        <v>107</v>
      </c>
      <c r="U282" s="97">
        <v>17</v>
      </c>
      <c r="X282" s="31" t="s">
        <v>108</v>
      </c>
      <c r="Y282" s="93">
        <f>IF(AD282=0, 0, IF(OR(H282="", H282&lt;&gt;0), 1, 0))</f>
        <v>1</v>
      </c>
      <c r="Z282" s="3">
        <v>0</v>
      </c>
      <c r="AA282" s="3" t="s">
        <v>1883</v>
      </c>
      <c r="AD282" s="6">
        <f>ROUND((AG282*(1+AJ282)),2)</f>
        <v>219.6</v>
      </c>
      <c r="AE282" s="99">
        <v>250.26196546</v>
      </c>
      <c r="AF282" s="17">
        <f>(AE282*1)</f>
        <v>250.26196546</v>
      </c>
      <c r="AG282" s="6">
        <f>ROUND((AE282*AI282),2)</f>
        <v>162.66999999999999</v>
      </c>
      <c r="AH282" s="30" t="s">
        <v>110</v>
      </c>
      <c r="AI282" s="3">
        <v>0.65</v>
      </c>
      <c r="AJ282" s="18">
        <v>0.35</v>
      </c>
      <c r="AK282" s="6">
        <f>ROUND((AD282-(AD282*BG282)),2)</f>
        <v>217.4</v>
      </c>
      <c r="AL282" s="6">
        <f>ROUND((AD282-(AD282*BH282)),2)</f>
        <v>215.21</v>
      </c>
      <c r="AM282" s="6">
        <f>ROUND((AD282-(AD282*BI282)),2)</f>
        <v>213.01</v>
      </c>
      <c r="AN282" s="6">
        <f>ROUND((AD282-(AD282*BJ282)),2)</f>
        <v>213.01</v>
      </c>
      <c r="AO282" s="6">
        <f>ROUND((AD282-(AD282*BK282)),2)</f>
        <v>219.6</v>
      </c>
      <c r="BG282" s="12">
        <v>0.01</v>
      </c>
      <c r="BH282" s="12">
        <v>0.02</v>
      </c>
      <c r="BI282" s="12">
        <v>0.03</v>
      </c>
      <c r="BJ282" s="12">
        <v>0.03</v>
      </c>
      <c r="BK282" s="12"/>
      <c r="CC282" s="3" t="str">
        <f>IF(B282&lt;&gt;"",CONCATENATE(SUBSTITUTE(B282," ","-"),".jpg"),"")</f>
        <v>Allied-Moulded-AM1868H.jpg</v>
      </c>
      <c r="CD282" s="16" t="s">
        <v>111</v>
      </c>
      <c r="CE282" s="3"/>
      <c r="CF282" s="3"/>
      <c r="CG282" s="3" t="s">
        <v>112</v>
      </c>
      <c r="CI282" s="3" t="s">
        <v>97</v>
      </c>
      <c r="CJ282" s="16" t="s">
        <v>348</v>
      </c>
      <c r="CK282" s="3" t="s">
        <v>114</v>
      </c>
      <c r="CL282" s="3" t="s">
        <v>115</v>
      </c>
      <c r="CM282" s="3" t="s">
        <v>116</v>
      </c>
      <c r="CN282" s="16" t="s">
        <v>349</v>
      </c>
      <c r="CO282" s="16" t="s">
        <v>350</v>
      </c>
      <c r="CP282" s="3" t="s">
        <v>139</v>
      </c>
      <c r="CQ282" s="3" t="s">
        <v>120</v>
      </c>
      <c r="CR282" s="3" t="s">
        <v>140</v>
      </c>
      <c r="CS282" s="3" t="s">
        <v>384</v>
      </c>
      <c r="CT282" s="16" t="s">
        <v>1814</v>
      </c>
      <c r="CU282" s="16" t="s">
        <v>242</v>
      </c>
      <c r="CV282" s="16" t="s">
        <v>385</v>
      </c>
    </row>
    <row r="283" spans="1:100" ht="15" customHeight="1">
      <c r="A283" s="86" t="s">
        <v>1884</v>
      </c>
      <c r="B283" s="80" t="s">
        <v>1885</v>
      </c>
      <c r="C283" s="16" t="s">
        <v>97</v>
      </c>
      <c r="D283" s="104" t="s">
        <v>1886</v>
      </c>
      <c r="E283" s="16" t="s">
        <v>97</v>
      </c>
      <c r="F283" s="150" t="s">
        <v>1887</v>
      </c>
      <c r="I283" s="100" t="s">
        <v>342</v>
      </c>
      <c r="J283" s="16" t="s">
        <v>101</v>
      </c>
      <c r="K283" s="16"/>
      <c r="L283" s="3" t="s">
        <v>102</v>
      </c>
      <c r="M283" s="3" t="s">
        <v>103</v>
      </c>
      <c r="N283" s="3" t="s">
        <v>104</v>
      </c>
      <c r="O283" s="16" t="s">
        <v>343</v>
      </c>
      <c r="P283" s="80" t="s">
        <v>1888</v>
      </c>
      <c r="Q283" s="80" t="s">
        <v>1888</v>
      </c>
      <c r="R283" s="80" t="s">
        <v>1889</v>
      </c>
      <c r="S283" s="80" t="s">
        <v>1890</v>
      </c>
      <c r="T283" s="132" t="s">
        <v>1891</v>
      </c>
      <c r="U283" s="97">
        <v>17</v>
      </c>
      <c r="X283" s="31" t="s">
        <v>108</v>
      </c>
      <c r="Y283" s="93">
        <f>IF(AD283=0, 0, IF(OR(H283="", H283&lt;&gt;0), 1, 0))</f>
        <v>1</v>
      </c>
      <c r="Z283" s="3">
        <v>0</v>
      </c>
      <c r="AA283" s="3" t="s">
        <v>1892</v>
      </c>
      <c r="AD283" s="6">
        <f>ROUND((AG283*(1+AJ283)),2)</f>
        <v>239.18</v>
      </c>
      <c r="AE283" s="99">
        <v>272.57473186000004</v>
      </c>
      <c r="AF283" s="17">
        <f>(AE283*1)</f>
        <v>272.57473186000004</v>
      </c>
      <c r="AG283" s="6">
        <f>ROUND((AE283*AI283),2)</f>
        <v>177.17</v>
      </c>
      <c r="AH283" s="30" t="s">
        <v>110</v>
      </c>
      <c r="AI283" s="3">
        <v>0.65</v>
      </c>
      <c r="AJ283" s="18">
        <v>0.35</v>
      </c>
      <c r="AK283" s="6">
        <f>ROUND((AD283-(AD283*BG283)),2)</f>
        <v>236.79</v>
      </c>
      <c r="AL283" s="6">
        <f>ROUND((AD283-(AD283*BH283)),2)</f>
        <v>234.4</v>
      </c>
      <c r="AM283" s="6">
        <f>ROUND((AD283-(AD283*BI283)),2)</f>
        <v>232</v>
      </c>
      <c r="AN283" s="6">
        <f>ROUND((AD283-(AD283*BJ283)),2)</f>
        <v>232</v>
      </c>
      <c r="AO283" s="6">
        <f>ROUND((AD283-(AD283*BK283)),2)</f>
        <v>239.18</v>
      </c>
      <c r="BG283" s="12">
        <v>0.01</v>
      </c>
      <c r="BH283" s="12">
        <v>0.02</v>
      </c>
      <c r="BI283" s="12">
        <v>0.03</v>
      </c>
      <c r="BJ283" s="12">
        <v>0.03</v>
      </c>
      <c r="BK283" s="12"/>
      <c r="CC283" s="3" t="str">
        <f>IF(B283&lt;&gt;"",CONCATENATE(SUBSTITUTE(B283," ","-"),".jpg"),"")</f>
        <v>Allied-Moulded-AM1868L.jpg</v>
      </c>
      <c r="CD283" s="16" t="s">
        <v>111</v>
      </c>
      <c r="CE283" s="3"/>
      <c r="CF283" s="3"/>
      <c r="CG283" s="3" t="s">
        <v>112</v>
      </c>
      <c r="CI283" s="3" t="s">
        <v>97</v>
      </c>
      <c r="CJ283" s="16" t="s">
        <v>348</v>
      </c>
      <c r="CK283" s="3" t="s">
        <v>114</v>
      </c>
      <c r="CL283" s="3" t="s">
        <v>115</v>
      </c>
      <c r="CM283" s="3" t="s">
        <v>116</v>
      </c>
      <c r="CN283" s="16" t="s">
        <v>368</v>
      </c>
      <c r="CO283" s="16" t="s">
        <v>350</v>
      </c>
      <c r="CP283" s="3" t="s">
        <v>139</v>
      </c>
      <c r="CQ283" s="3" t="s">
        <v>120</v>
      </c>
      <c r="CR283" s="3" t="s">
        <v>140</v>
      </c>
      <c r="CS283" s="16" t="s">
        <v>122</v>
      </c>
      <c r="CT283" s="16" t="s">
        <v>1814</v>
      </c>
      <c r="CU283" s="16" t="s">
        <v>242</v>
      </c>
      <c r="CV283" s="16" t="s">
        <v>385</v>
      </c>
    </row>
    <row r="284" spans="1:100" ht="15" customHeight="1">
      <c r="A284" s="86" t="s">
        <v>1893</v>
      </c>
      <c r="B284" s="80" t="s">
        <v>1894</v>
      </c>
      <c r="C284" s="16" t="s">
        <v>97</v>
      </c>
      <c r="D284" s="104" t="s">
        <v>1895</v>
      </c>
      <c r="E284" s="16" t="s">
        <v>97</v>
      </c>
      <c r="F284" s="150" t="s">
        <v>1896</v>
      </c>
      <c r="I284" s="100" t="s">
        <v>342</v>
      </c>
      <c r="J284" s="16" t="s">
        <v>101</v>
      </c>
      <c r="K284" s="16"/>
      <c r="L284" s="3" t="s">
        <v>102</v>
      </c>
      <c r="M284" s="3" t="s">
        <v>103</v>
      </c>
      <c r="N284" s="3" t="s">
        <v>104</v>
      </c>
      <c r="O284" s="16" t="s">
        <v>343</v>
      </c>
      <c r="P284" s="80" t="s">
        <v>1897</v>
      </c>
      <c r="Q284" s="80" t="s">
        <v>1897</v>
      </c>
      <c r="R284" s="80" t="s">
        <v>1898</v>
      </c>
      <c r="S284" s="80" t="s">
        <v>1899</v>
      </c>
      <c r="T284" s="132" t="s">
        <v>1832</v>
      </c>
      <c r="U284" s="97">
        <v>17</v>
      </c>
      <c r="X284" s="31" t="s">
        <v>108</v>
      </c>
      <c r="Y284" s="93">
        <f>IF(AD284=0, 0, IF(OR(H284="", H284&lt;&gt;0), 1, 0))</f>
        <v>1</v>
      </c>
      <c r="Z284" s="3">
        <v>0</v>
      </c>
      <c r="AA284" s="3" t="s">
        <v>1900</v>
      </c>
      <c r="AD284" s="6">
        <f>ROUND((AG284*(1+AJ284)),2)</f>
        <v>239.18</v>
      </c>
      <c r="AE284" s="99">
        <v>272.57473186000004</v>
      </c>
      <c r="AF284" s="17">
        <f>(AE284*1)</f>
        <v>272.57473186000004</v>
      </c>
      <c r="AG284" s="6">
        <f>ROUND((AE284*AI284),2)</f>
        <v>177.17</v>
      </c>
      <c r="AH284" s="30" t="s">
        <v>110</v>
      </c>
      <c r="AI284" s="3">
        <v>0.65</v>
      </c>
      <c r="AJ284" s="18">
        <v>0.35</v>
      </c>
      <c r="AK284" s="6">
        <f>ROUND((AD284-(AD284*BG284)),2)</f>
        <v>236.79</v>
      </c>
      <c r="AL284" s="6">
        <f>ROUND((AD284-(AD284*BH284)),2)</f>
        <v>234.4</v>
      </c>
      <c r="AM284" s="6">
        <f>ROUND((AD284-(AD284*BI284)),2)</f>
        <v>232</v>
      </c>
      <c r="AN284" s="6">
        <f>ROUND((AD284-(AD284*BJ284)),2)</f>
        <v>232</v>
      </c>
      <c r="AO284" s="6">
        <f>ROUND((AD284-(AD284*BK284)),2)</f>
        <v>239.18</v>
      </c>
      <c r="BG284" s="12">
        <v>0.01</v>
      </c>
      <c r="BH284" s="12">
        <v>0.02</v>
      </c>
      <c r="BI284" s="12">
        <v>0.03</v>
      </c>
      <c r="BJ284" s="12">
        <v>0.03</v>
      </c>
      <c r="BK284" s="12"/>
      <c r="BQ284" s="24"/>
      <c r="BR284" s="24"/>
      <c r="BS284" s="24"/>
      <c r="BT284" s="24"/>
      <c r="BU284" s="24"/>
      <c r="BV284" s="24"/>
      <c r="BW284" s="24"/>
      <c r="BX284" s="24"/>
      <c r="BY284" s="24"/>
      <c r="BZ284" s="24"/>
      <c r="CA284" s="24"/>
      <c r="CB284" s="24"/>
      <c r="CC284" s="3" t="str">
        <f>IF(B284&lt;&gt;"",CONCATENATE(SUBSTITUTE(B284," ","-"),".jpg"),"")</f>
        <v>Allied-Moulded-AM1868T.jpg</v>
      </c>
      <c r="CD284" s="16" t="s">
        <v>111</v>
      </c>
      <c r="CE284" s="3"/>
      <c r="CF284" s="3"/>
      <c r="CG284" s="3" t="s">
        <v>112</v>
      </c>
      <c r="CI284" s="3" t="s">
        <v>97</v>
      </c>
      <c r="CJ284" s="16" t="s">
        <v>348</v>
      </c>
      <c r="CK284" s="3" t="s">
        <v>114</v>
      </c>
      <c r="CL284" s="3" t="s">
        <v>115</v>
      </c>
      <c r="CM284" s="3" t="s">
        <v>116</v>
      </c>
      <c r="CN284" s="16" t="s">
        <v>132</v>
      </c>
      <c r="CO284" s="16" t="s">
        <v>350</v>
      </c>
      <c r="CP284" s="3" t="s">
        <v>139</v>
      </c>
      <c r="CQ284" s="3" t="s">
        <v>120</v>
      </c>
      <c r="CR284" s="3" t="s">
        <v>140</v>
      </c>
      <c r="CS284" s="16" t="s">
        <v>122</v>
      </c>
      <c r="CT284" s="16" t="s">
        <v>1814</v>
      </c>
      <c r="CU284" s="16" t="s">
        <v>242</v>
      </c>
      <c r="CV284" s="16" t="s">
        <v>385</v>
      </c>
    </row>
    <row r="285" spans="1:100" ht="15" customHeight="1">
      <c r="A285" s="86" t="s">
        <v>1901</v>
      </c>
      <c r="B285" s="80" t="s">
        <v>1902</v>
      </c>
      <c r="C285" s="16" t="s">
        <v>97</v>
      </c>
      <c r="D285" s="104" t="s">
        <v>1903</v>
      </c>
      <c r="E285" s="16" t="s">
        <v>97</v>
      </c>
      <c r="F285" s="150" t="s">
        <v>1904</v>
      </c>
      <c r="I285" s="100" t="s">
        <v>342</v>
      </c>
      <c r="J285" s="16" t="s">
        <v>101</v>
      </c>
      <c r="K285" s="16"/>
      <c r="L285" s="3" t="s">
        <v>102</v>
      </c>
      <c r="M285" s="3" t="s">
        <v>103</v>
      </c>
      <c r="N285" s="3" t="s">
        <v>104</v>
      </c>
      <c r="O285" s="16" t="s">
        <v>343</v>
      </c>
      <c r="P285" s="80" t="s">
        <v>1905</v>
      </c>
      <c r="Q285" s="80" t="s">
        <v>1905</v>
      </c>
      <c r="R285" s="80" t="s">
        <v>1906</v>
      </c>
      <c r="S285" s="80" t="s">
        <v>1907</v>
      </c>
      <c r="T285" s="132" t="s">
        <v>107</v>
      </c>
      <c r="U285" s="97">
        <v>17</v>
      </c>
      <c r="X285" s="31" t="s">
        <v>108</v>
      </c>
      <c r="Y285" s="93">
        <f>IF(AD285=0, 0, IF(OR(H285="", H285&lt;&gt;0), 1, 0))</f>
        <v>1</v>
      </c>
      <c r="Z285" s="3">
        <v>0</v>
      </c>
      <c r="AA285" s="3" t="s">
        <v>1908</v>
      </c>
      <c r="AD285" s="6">
        <f>ROUND((AG285*(1+AJ285)),2)</f>
        <v>320.44</v>
      </c>
      <c r="AE285" s="99">
        <v>365.17415132999997</v>
      </c>
      <c r="AF285" s="17">
        <f>(AE285*1)</f>
        <v>365.17415132999997</v>
      </c>
      <c r="AG285" s="6">
        <f>ROUND((AE285*AI285),2)</f>
        <v>237.36</v>
      </c>
      <c r="AH285" s="30" t="s">
        <v>110</v>
      </c>
      <c r="AI285" s="3">
        <v>0.65</v>
      </c>
      <c r="AJ285" s="18">
        <v>0.35</v>
      </c>
      <c r="AK285" s="6">
        <f>ROUND((AD285-(AD285*BG285)),2)</f>
        <v>317.24</v>
      </c>
      <c r="AL285" s="6">
        <f>ROUND((AD285-(AD285*BH285)),2)</f>
        <v>314.02999999999997</v>
      </c>
      <c r="AM285" s="6">
        <f>ROUND((AD285-(AD285*BI285)),2)</f>
        <v>310.83</v>
      </c>
      <c r="AN285" s="6">
        <f>ROUND((AD285-(AD285*BJ285)),2)</f>
        <v>310.83</v>
      </c>
      <c r="AO285" s="6">
        <f>ROUND((AD285-(AD285*BK285)),2)</f>
        <v>320.44</v>
      </c>
      <c r="BG285" s="12">
        <v>0.01</v>
      </c>
      <c r="BH285" s="12">
        <v>0.02</v>
      </c>
      <c r="BI285" s="12">
        <v>0.03</v>
      </c>
      <c r="BJ285" s="12">
        <v>0.03</v>
      </c>
      <c r="BK285" s="12"/>
      <c r="CC285" s="3" t="str">
        <f>IF(B285&lt;&gt;"",CONCATENATE(SUBSTITUTE(B285," ","-"),".jpg"),"")</f>
        <v>Allied-Moulded-AM1868W.jpg</v>
      </c>
      <c r="CD285" s="16" t="s">
        <v>111</v>
      </c>
      <c r="CE285" s="3"/>
      <c r="CF285" s="3"/>
      <c r="CG285" s="3" t="s">
        <v>112</v>
      </c>
      <c r="CI285" s="3" t="s">
        <v>97</v>
      </c>
      <c r="CJ285" s="16" t="s">
        <v>348</v>
      </c>
      <c r="CK285" s="3" t="s">
        <v>114</v>
      </c>
      <c r="CL285" s="3" t="s">
        <v>115</v>
      </c>
      <c r="CM285" s="16"/>
      <c r="CN285" s="16" t="s">
        <v>349</v>
      </c>
      <c r="CO285" s="16" t="s">
        <v>350</v>
      </c>
      <c r="CP285" s="3" t="s">
        <v>139</v>
      </c>
      <c r="CQ285" s="3" t="s">
        <v>120</v>
      </c>
      <c r="CR285" s="16" t="s">
        <v>121</v>
      </c>
      <c r="CS285" s="16" t="s">
        <v>122</v>
      </c>
      <c r="CT285" s="16" t="s">
        <v>1814</v>
      </c>
      <c r="CU285" s="16" t="s">
        <v>242</v>
      </c>
      <c r="CV285" s="16" t="s">
        <v>385</v>
      </c>
    </row>
    <row r="286" spans="1:100" ht="15" customHeight="1">
      <c r="A286" s="86" t="s">
        <v>1909</v>
      </c>
      <c r="B286" s="80" t="s">
        <v>1910</v>
      </c>
      <c r="C286" s="16" t="s">
        <v>97</v>
      </c>
      <c r="D286" s="104" t="s">
        <v>1911</v>
      </c>
      <c r="E286" s="16" t="s">
        <v>97</v>
      </c>
      <c r="F286" s="150" t="s">
        <v>1912</v>
      </c>
      <c r="I286" s="100" t="s">
        <v>342</v>
      </c>
      <c r="J286" s="16" t="s">
        <v>101</v>
      </c>
      <c r="K286" s="16"/>
      <c r="L286" s="3" t="s">
        <v>102</v>
      </c>
      <c r="M286" s="3" t="s">
        <v>103</v>
      </c>
      <c r="N286" s="3" t="s">
        <v>104</v>
      </c>
      <c r="O286" s="16" t="s">
        <v>343</v>
      </c>
      <c r="P286" s="80" t="s">
        <v>1913</v>
      </c>
      <c r="Q286" s="80" t="s">
        <v>1913</v>
      </c>
      <c r="R286" s="80" t="s">
        <v>1914</v>
      </c>
      <c r="S286" s="80" t="s">
        <v>1915</v>
      </c>
      <c r="T286" s="132" t="s">
        <v>107</v>
      </c>
      <c r="U286" s="97">
        <v>17</v>
      </c>
      <c r="X286" s="31" t="s">
        <v>108</v>
      </c>
      <c r="Y286" s="93">
        <f>IF(AD286=0, 0, IF(OR(H286="", H286&lt;&gt;0), 1, 0))</f>
        <v>1</v>
      </c>
      <c r="Z286" s="3">
        <v>0</v>
      </c>
      <c r="AA286" s="3" t="s">
        <v>1916</v>
      </c>
      <c r="AD286" s="6">
        <f>ROUND((AG286*(1+AJ286)),2)</f>
        <v>322.58</v>
      </c>
      <c r="AE286" s="99">
        <v>367.61378873000001</v>
      </c>
      <c r="AF286" s="17">
        <f>(AE286*1)</f>
        <v>367.61378873000001</v>
      </c>
      <c r="AG286" s="6">
        <f>ROUND((AE286*AI286),2)</f>
        <v>238.95</v>
      </c>
      <c r="AH286" s="30" t="s">
        <v>110</v>
      </c>
      <c r="AI286" s="3">
        <v>0.65</v>
      </c>
      <c r="AJ286" s="18">
        <v>0.35</v>
      </c>
      <c r="AK286" s="6">
        <f>ROUND((AD286-(AD286*BG286)),2)</f>
        <v>319.35000000000002</v>
      </c>
      <c r="AL286" s="6">
        <f>ROUND((AD286-(AD286*BH286)),2)</f>
        <v>316.13</v>
      </c>
      <c r="AM286" s="6">
        <f>ROUND((AD286-(AD286*BI286)),2)</f>
        <v>312.89999999999998</v>
      </c>
      <c r="AN286" s="6">
        <f>ROUND((AD286-(AD286*BJ286)),2)</f>
        <v>312.89999999999998</v>
      </c>
      <c r="AO286" s="6">
        <f>ROUND((AD286-(AD286*BK286)),2)</f>
        <v>322.58</v>
      </c>
      <c r="BG286" s="12">
        <v>0.01</v>
      </c>
      <c r="BH286" s="12">
        <v>0.02</v>
      </c>
      <c r="BI286" s="12">
        <v>0.03</v>
      </c>
      <c r="BJ286" s="12">
        <v>0.03</v>
      </c>
      <c r="BK286" s="12"/>
      <c r="CC286" s="3" t="str">
        <f>IF(B286&lt;&gt;"",CONCATENATE(SUBSTITUTE(B286," ","-"),".jpg"),"")</f>
        <v>Allied-Moulded-AM1868HW.jpg</v>
      </c>
      <c r="CD286" s="16" t="s">
        <v>111</v>
      </c>
      <c r="CE286" s="3"/>
      <c r="CF286" s="3"/>
      <c r="CG286" s="3" t="s">
        <v>112</v>
      </c>
      <c r="CI286" s="3" t="s">
        <v>97</v>
      </c>
      <c r="CJ286" s="16" t="s">
        <v>348</v>
      </c>
      <c r="CK286" s="3" t="s">
        <v>114</v>
      </c>
      <c r="CL286" s="3" t="s">
        <v>115</v>
      </c>
      <c r="CM286" s="3" t="s">
        <v>116</v>
      </c>
      <c r="CN286" s="16" t="s">
        <v>349</v>
      </c>
      <c r="CO286" s="16" t="s">
        <v>350</v>
      </c>
      <c r="CP286" s="3" t="s">
        <v>139</v>
      </c>
      <c r="CQ286" s="3" t="s">
        <v>120</v>
      </c>
      <c r="CR286" s="16" t="s">
        <v>121</v>
      </c>
      <c r="CS286" s="16" t="s">
        <v>122</v>
      </c>
      <c r="CT286" s="16" t="s">
        <v>1814</v>
      </c>
      <c r="CU286" s="16" t="s">
        <v>242</v>
      </c>
      <c r="CV286" s="16" t="s">
        <v>385</v>
      </c>
    </row>
    <row r="287" spans="1:100" ht="15" customHeight="1">
      <c r="A287" s="86" t="s">
        <v>1917</v>
      </c>
      <c r="B287" s="80" t="s">
        <v>1918</v>
      </c>
      <c r="C287" s="16" t="s">
        <v>97</v>
      </c>
      <c r="D287" s="104" t="s">
        <v>1919</v>
      </c>
      <c r="E287" s="16" t="s">
        <v>97</v>
      </c>
      <c r="F287" s="132" t="s">
        <v>1920</v>
      </c>
      <c r="I287" s="100" t="s">
        <v>342</v>
      </c>
      <c r="J287" s="16" t="s">
        <v>101</v>
      </c>
      <c r="K287" s="16"/>
      <c r="L287" s="3" t="s">
        <v>102</v>
      </c>
      <c r="M287" s="3" t="s">
        <v>103</v>
      </c>
      <c r="N287" s="3" t="s">
        <v>104</v>
      </c>
      <c r="O287" s="16" t="s">
        <v>343</v>
      </c>
      <c r="P287" s="80" t="s">
        <v>1921</v>
      </c>
      <c r="Q287" s="80" t="s">
        <v>1921</v>
      </c>
      <c r="R287" s="80" t="s">
        <v>1922</v>
      </c>
      <c r="S287" s="80" t="s">
        <v>1923</v>
      </c>
      <c r="T287" s="132" t="s">
        <v>1832</v>
      </c>
      <c r="U287" s="97">
        <v>17</v>
      </c>
      <c r="X287" s="31" t="s">
        <v>108</v>
      </c>
      <c r="Y287" s="93">
        <f>IF(AD287=0, 0, IF(OR(H287="", H287&lt;&gt;0), 1, 0))</f>
        <v>1</v>
      </c>
      <c r="Z287" s="3">
        <v>0</v>
      </c>
      <c r="AA287" s="3" t="s">
        <v>1924</v>
      </c>
      <c r="AD287" s="6">
        <f>ROUND((AG287*(1+AJ287)),2)</f>
        <v>347.92</v>
      </c>
      <c r="AE287" s="99">
        <v>396.49477861000003</v>
      </c>
      <c r="AF287" s="17">
        <f>(AE287*1)</f>
        <v>396.49477861000003</v>
      </c>
      <c r="AG287" s="6">
        <f>ROUND((AE287*AI287),2)</f>
        <v>257.72000000000003</v>
      </c>
      <c r="AH287" s="30" t="s">
        <v>110</v>
      </c>
      <c r="AI287" s="3">
        <v>0.65</v>
      </c>
      <c r="AJ287" s="18">
        <v>0.35</v>
      </c>
      <c r="AK287" s="6">
        <f>ROUND((AD287-(AD287*BG287)),2)</f>
        <v>344.44</v>
      </c>
      <c r="AL287" s="6">
        <f>ROUND((AD287-(AD287*BH287)),2)</f>
        <v>340.96</v>
      </c>
      <c r="AM287" s="6">
        <f>ROUND((AD287-(AD287*BI287)),2)</f>
        <v>337.48</v>
      </c>
      <c r="AN287" s="6">
        <f>ROUND((AD287-(AD287*BJ287)),2)</f>
        <v>337.48</v>
      </c>
      <c r="AO287" s="6">
        <f>ROUND((AD287-(AD287*BK287)),2)</f>
        <v>347.92</v>
      </c>
      <c r="BG287" s="12">
        <v>0.01</v>
      </c>
      <c r="BH287" s="12">
        <v>0.02</v>
      </c>
      <c r="BI287" s="12">
        <v>0.03</v>
      </c>
      <c r="BJ287" s="12">
        <v>0.03</v>
      </c>
      <c r="BK287" s="12"/>
      <c r="BQ287" s="15"/>
      <c r="BR287" s="15"/>
      <c r="BS287" s="15"/>
      <c r="BT287" s="15"/>
      <c r="BU287" s="15"/>
      <c r="BV287" s="15"/>
      <c r="BW287" s="15"/>
      <c r="BX287" s="15"/>
      <c r="BY287" s="15"/>
      <c r="BZ287" s="15"/>
      <c r="CA287" s="15"/>
      <c r="CB287" s="15"/>
      <c r="CC287" s="3" t="str">
        <f>IF(B287&lt;&gt;"",CONCATENATE(SUBSTITUTE(B287," ","-"),".jpg"),"")</f>
        <v>Allied-Moulded-AM1868LW.jpg</v>
      </c>
      <c r="CD287" s="16" t="s">
        <v>111</v>
      </c>
      <c r="CE287" s="3"/>
      <c r="CF287" s="3"/>
      <c r="CG287" s="3" t="s">
        <v>112</v>
      </c>
      <c r="CI287" s="3" t="s">
        <v>97</v>
      </c>
      <c r="CJ287" s="16" t="s">
        <v>348</v>
      </c>
      <c r="CK287" s="3" t="s">
        <v>114</v>
      </c>
      <c r="CL287" s="3" t="s">
        <v>115</v>
      </c>
      <c r="CM287" s="3" t="s">
        <v>116</v>
      </c>
      <c r="CN287" s="16" t="s">
        <v>368</v>
      </c>
      <c r="CO287" s="16" t="s">
        <v>350</v>
      </c>
      <c r="CP287" s="3" t="s">
        <v>139</v>
      </c>
      <c r="CQ287" s="3" t="s">
        <v>120</v>
      </c>
      <c r="CR287" s="16" t="s">
        <v>121</v>
      </c>
      <c r="CS287" s="16" t="s">
        <v>122</v>
      </c>
      <c r="CT287" s="16" t="s">
        <v>1814</v>
      </c>
      <c r="CU287" s="16" t="s">
        <v>242</v>
      </c>
      <c r="CV287" s="16" t="s">
        <v>385</v>
      </c>
    </row>
    <row r="288" spans="1:100" ht="15" customHeight="1">
      <c r="A288" s="86" t="s">
        <v>1925</v>
      </c>
      <c r="B288" s="80" t="s">
        <v>1926</v>
      </c>
      <c r="C288" s="16" t="s">
        <v>97</v>
      </c>
      <c r="D288" s="94" t="s">
        <v>1927</v>
      </c>
      <c r="E288" s="16" t="s">
        <v>97</v>
      </c>
      <c r="F288" s="150" t="s">
        <v>1928</v>
      </c>
      <c r="I288" s="100" t="s">
        <v>342</v>
      </c>
      <c r="J288" s="16" t="s">
        <v>101</v>
      </c>
      <c r="K288" s="16"/>
      <c r="L288" s="3" t="s">
        <v>102</v>
      </c>
      <c r="M288" s="3" t="s">
        <v>103</v>
      </c>
      <c r="N288" s="3" t="s">
        <v>104</v>
      </c>
      <c r="O288" s="16" t="s">
        <v>343</v>
      </c>
      <c r="P288" s="80" t="s">
        <v>1929</v>
      </c>
      <c r="Q288" s="80" t="s">
        <v>1929</v>
      </c>
      <c r="R288" s="80" t="s">
        <v>1930</v>
      </c>
      <c r="S288" s="80" t="s">
        <v>1931</v>
      </c>
      <c r="T288" s="132" t="s">
        <v>1832</v>
      </c>
      <c r="U288" s="96">
        <v>17</v>
      </c>
      <c r="X288" s="31" t="s">
        <v>108</v>
      </c>
      <c r="Y288" s="93">
        <f>IF(AD288=0, 0, IF(OR(H288="", H288&lt;&gt;0), 1, 0))</f>
        <v>1</v>
      </c>
      <c r="Z288" s="3">
        <v>0</v>
      </c>
      <c r="AA288" s="3" t="s">
        <v>1932</v>
      </c>
      <c r="AD288" s="6">
        <f>ROUND((AG288*(1+AJ288)),2)</f>
        <v>347.92</v>
      </c>
      <c r="AE288" s="98">
        <v>396.49477861000003</v>
      </c>
      <c r="AF288" s="17">
        <f>(AE288*1)</f>
        <v>396.49477861000003</v>
      </c>
      <c r="AG288" s="6">
        <f>ROUND((AE288*AI288),2)</f>
        <v>257.72000000000003</v>
      </c>
      <c r="AH288" s="30" t="s">
        <v>110</v>
      </c>
      <c r="AI288" s="3">
        <v>0.65</v>
      </c>
      <c r="AJ288" s="18">
        <v>0.35</v>
      </c>
      <c r="AK288" s="6">
        <f>ROUND((AD288-(AD288*BG288)),2)</f>
        <v>344.44</v>
      </c>
      <c r="AL288" s="6">
        <f>ROUND((AD288-(AD288*BH288)),2)</f>
        <v>340.96</v>
      </c>
      <c r="AM288" s="6">
        <f>ROUND((AD288-(AD288*BI288)),2)</f>
        <v>337.48</v>
      </c>
      <c r="AN288" s="6">
        <f>ROUND((AD288-(AD288*BJ288)),2)</f>
        <v>337.48</v>
      </c>
      <c r="AO288" s="6">
        <f>ROUND((AD288-(AD288*BK288)),2)</f>
        <v>347.92</v>
      </c>
      <c r="BG288" s="12">
        <v>0.01</v>
      </c>
      <c r="BH288" s="12">
        <v>0.02</v>
      </c>
      <c r="BI288" s="12">
        <v>0.03</v>
      </c>
      <c r="BJ288" s="12">
        <v>0.03</v>
      </c>
      <c r="BK288" s="12"/>
      <c r="CC288" s="3" t="str">
        <f>IF(B288&lt;&gt;"",CONCATENATE(SUBSTITUTE(B288," ","-"),".jpg"),"")</f>
        <v>Allied-Moulded-AM1868TW.jpg</v>
      </c>
      <c r="CD288" s="16" t="s">
        <v>111</v>
      </c>
      <c r="CE288" s="3"/>
      <c r="CF288" s="3"/>
      <c r="CG288" s="3" t="s">
        <v>112</v>
      </c>
      <c r="CI288" s="3" t="s">
        <v>97</v>
      </c>
      <c r="CJ288" s="16" t="s">
        <v>348</v>
      </c>
      <c r="CK288" s="3" t="s">
        <v>114</v>
      </c>
      <c r="CL288" s="3" t="s">
        <v>115</v>
      </c>
      <c r="CM288" s="3" t="s">
        <v>116</v>
      </c>
      <c r="CN288" s="16" t="s">
        <v>132</v>
      </c>
      <c r="CO288" s="16" t="s">
        <v>350</v>
      </c>
      <c r="CP288" s="3" t="s">
        <v>139</v>
      </c>
      <c r="CQ288" s="3" t="s">
        <v>120</v>
      </c>
      <c r="CR288" s="16" t="s">
        <v>121</v>
      </c>
      <c r="CS288" s="16" t="s">
        <v>122</v>
      </c>
      <c r="CT288" s="16" t="s">
        <v>1814</v>
      </c>
      <c r="CU288" s="16" t="s">
        <v>242</v>
      </c>
      <c r="CV288" s="16" t="s">
        <v>385</v>
      </c>
    </row>
    <row r="289" spans="1:100" ht="15" customHeight="1">
      <c r="A289" t="s">
        <v>1933</v>
      </c>
      <c r="B289" s="3" t="s">
        <v>1934</v>
      </c>
      <c r="C289" s="16" t="s">
        <v>97</v>
      </c>
      <c r="D289" s="39" t="s">
        <v>1935</v>
      </c>
      <c r="E289" s="16" t="s">
        <v>97</v>
      </c>
      <c r="F289" s="131" t="s">
        <v>1936</v>
      </c>
      <c r="I289" s="100" t="s">
        <v>342</v>
      </c>
      <c r="J289" s="16" t="s">
        <v>101</v>
      </c>
      <c r="K289" s="16"/>
      <c r="L289" s="3" t="s">
        <v>102</v>
      </c>
      <c r="M289" s="3" t="s">
        <v>103</v>
      </c>
      <c r="N289" s="3" t="s">
        <v>104</v>
      </c>
      <c r="O289" s="16" t="s">
        <v>105</v>
      </c>
      <c r="P289" s="3" t="s">
        <v>1937</v>
      </c>
      <c r="Q289" s="3" t="s">
        <v>1937</v>
      </c>
      <c r="R289" s="3" t="s">
        <v>1937</v>
      </c>
      <c r="S289" t="s">
        <v>1933</v>
      </c>
      <c r="T289" s="130" t="s">
        <v>465</v>
      </c>
      <c r="U289" s="34">
        <v>17</v>
      </c>
      <c r="V289" s="39"/>
      <c r="W289" s="39"/>
      <c r="X289" s="59" t="s">
        <v>108</v>
      </c>
      <c r="Y289" s="93">
        <f>IF(AD289=0, 0, IF(OR(H289="", H289&lt;&gt;0), 1, 0))</f>
        <v>1</v>
      </c>
      <c r="Z289" s="3">
        <v>0</v>
      </c>
      <c r="AA289" s="3" t="s">
        <v>1938</v>
      </c>
      <c r="AD289" s="6">
        <f>ROUND((AG289*(1+AJ289)),2)</f>
        <v>250.18</v>
      </c>
      <c r="AE289" s="69">
        <v>285.10366833999996</v>
      </c>
      <c r="AF289" s="17">
        <f>(AE289*1)</f>
        <v>285.10366833999996</v>
      </c>
      <c r="AG289" s="6">
        <f>ROUND((AE289*AI289),2)</f>
        <v>185.32</v>
      </c>
      <c r="AH289" s="30" t="s">
        <v>110</v>
      </c>
      <c r="AI289" s="3">
        <v>0.65</v>
      </c>
      <c r="AJ289" s="18">
        <v>0.35</v>
      </c>
      <c r="AK289" s="6">
        <f>ROUND((AD289-(AD289*BG289)),2)</f>
        <v>247.68</v>
      </c>
      <c r="AL289" s="6">
        <f>ROUND((AD289-(AD289*BH289)),2)</f>
        <v>245.18</v>
      </c>
      <c r="AM289" s="6">
        <f>ROUND((AD289-(AD289*BI289)),2)</f>
        <v>242.67</v>
      </c>
      <c r="AN289" s="6">
        <f>ROUND((AD289-(AD289*BJ289)),2)</f>
        <v>242.67</v>
      </c>
      <c r="AO289" s="6">
        <f>ROUND((AD289-(AD289*BK289)),2)</f>
        <v>250.18</v>
      </c>
      <c r="BG289" s="12">
        <v>0.01</v>
      </c>
      <c r="BH289" s="12">
        <v>0.02</v>
      </c>
      <c r="BI289" s="12">
        <v>0.03</v>
      </c>
      <c r="BJ289" s="12">
        <v>0.03</v>
      </c>
      <c r="CC289" s="3" t="str">
        <f>IF(B289&lt;&gt;"",CONCATENATE(SUBSTITUTE(B289," ","-"),".jpg"),"")</f>
        <v>Allied-Moulded-AMU1860H.jpg</v>
      </c>
      <c r="CD289" s="16" t="s">
        <v>111</v>
      </c>
      <c r="CE289" s="3"/>
      <c r="CF289" s="3"/>
      <c r="CG289" s="3" t="s">
        <v>112</v>
      </c>
      <c r="CI289" s="3" t="s">
        <v>97</v>
      </c>
      <c r="CJ289" s="3" t="s">
        <v>467</v>
      </c>
      <c r="CK289" s="3" t="s">
        <v>114</v>
      </c>
      <c r="CL289" s="3" t="s">
        <v>115</v>
      </c>
      <c r="CM289" s="3" t="s">
        <v>116</v>
      </c>
      <c r="CN289" s="16" t="s">
        <v>349</v>
      </c>
      <c r="CO289" s="3" t="s">
        <v>118</v>
      </c>
      <c r="CP289" s="3" t="s">
        <v>139</v>
      </c>
      <c r="CQ289" s="3" t="s">
        <v>120</v>
      </c>
      <c r="CR289" s="3" t="s">
        <v>140</v>
      </c>
      <c r="CS289" s="3" t="s">
        <v>384</v>
      </c>
      <c r="CT289" s="16" t="s">
        <v>1814</v>
      </c>
      <c r="CU289" s="16" t="s">
        <v>242</v>
      </c>
      <c r="CV289" s="3" t="s">
        <v>167</v>
      </c>
    </row>
    <row r="290" spans="1:100" ht="15" customHeight="1">
      <c r="A290" t="s">
        <v>1939</v>
      </c>
      <c r="B290" s="3" t="s">
        <v>1940</v>
      </c>
      <c r="C290" s="16" t="s">
        <v>97</v>
      </c>
      <c r="D290" s="40" t="s">
        <v>1941</v>
      </c>
      <c r="E290" s="16" t="s">
        <v>97</v>
      </c>
      <c r="F290" s="131" t="s">
        <v>1942</v>
      </c>
      <c r="I290" s="100" t="s">
        <v>342</v>
      </c>
      <c r="J290" s="16" t="s">
        <v>101</v>
      </c>
      <c r="K290" s="16"/>
      <c r="L290" s="3" t="s">
        <v>102</v>
      </c>
      <c r="M290" s="3" t="s">
        <v>103</v>
      </c>
      <c r="N290" s="3" t="s">
        <v>104</v>
      </c>
      <c r="O290" s="16" t="s">
        <v>105</v>
      </c>
      <c r="P290" s="3" t="s">
        <v>1943</v>
      </c>
      <c r="Q290" s="3" t="s">
        <v>1943</v>
      </c>
      <c r="R290" s="3" t="s">
        <v>1943</v>
      </c>
      <c r="S290" t="s">
        <v>1939</v>
      </c>
      <c r="T290" s="130" t="s">
        <v>465</v>
      </c>
      <c r="U290" s="35">
        <v>17</v>
      </c>
      <c r="V290" s="40"/>
      <c r="W290" s="40"/>
      <c r="X290" s="59" t="s">
        <v>108</v>
      </c>
      <c r="Y290" s="93">
        <f>IF(AD290=0, 0, IF(OR(H290="", H290&lt;&gt;0), 1, 0))</f>
        <v>1</v>
      </c>
      <c r="Z290" s="3">
        <v>0</v>
      </c>
      <c r="AA290" s="3" t="s">
        <v>1944</v>
      </c>
      <c r="AD290" s="6">
        <f>ROUND((AG290*(1+AJ290)),2)</f>
        <v>272.54000000000002</v>
      </c>
      <c r="AE290" s="69">
        <v>310.58386499</v>
      </c>
      <c r="AF290" s="17">
        <f>(AE290*1)</f>
        <v>310.58386499</v>
      </c>
      <c r="AG290" s="6">
        <f>ROUND((AE290*AI290),2)</f>
        <v>201.88</v>
      </c>
      <c r="AH290" s="30" t="s">
        <v>110</v>
      </c>
      <c r="AI290" s="3">
        <v>0.65</v>
      </c>
      <c r="AJ290" s="18">
        <v>0.35</v>
      </c>
      <c r="AK290" s="6">
        <f>ROUND((AD290-(AD290*BG290)),2)</f>
        <v>269.81</v>
      </c>
      <c r="AL290" s="6">
        <f>ROUND((AD290-(AD290*BH290)),2)</f>
        <v>267.08999999999997</v>
      </c>
      <c r="AM290" s="6">
        <f>ROUND((AD290-(AD290*BI290)),2)</f>
        <v>264.36</v>
      </c>
      <c r="AN290" s="6">
        <f>ROUND((AD290-(AD290*BJ290)),2)</f>
        <v>264.36</v>
      </c>
      <c r="AO290" s="6">
        <f>ROUND((AD290-(AD290*BK290)),2)</f>
        <v>272.54000000000002</v>
      </c>
      <c r="BG290" s="12">
        <v>0.01</v>
      </c>
      <c r="BH290" s="12">
        <v>0.02</v>
      </c>
      <c r="BI290" s="12">
        <v>0.03</v>
      </c>
      <c r="BJ290" s="12">
        <v>0.03</v>
      </c>
      <c r="CC290" s="3" t="str">
        <f>IF(B290&lt;&gt;"",CONCATENATE(SUBSTITUTE(B290," ","-"),".jpg"),"")</f>
        <v>Allied-Moulded-AMU1860L.jpg</v>
      </c>
      <c r="CD290" s="16" t="s">
        <v>111</v>
      </c>
      <c r="CE290" s="3"/>
      <c r="CF290" s="3"/>
      <c r="CG290" s="3" t="s">
        <v>112</v>
      </c>
      <c r="CI290" s="3" t="s">
        <v>97</v>
      </c>
      <c r="CJ290" s="3" t="s">
        <v>467</v>
      </c>
      <c r="CK290" s="3" t="s">
        <v>114</v>
      </c>
      <c r="CL290" s="3" t="s">
        <v>115</v>
      </c>
      <c r="CM290" s="3" t="s">
        <v>116</v>
      </c>
      <c r="CN290" t="s">
        <v>117</v>
      </c>
      <c r="CO290" s="3" t="s">
        <v>118</v>
      </c>
      <c r="CP290" s="3" t="s">
        <v>139</v>
      </c>
      <c r="CQ290" s="3" t="s">
        <v>120</v>
      </c>
      <c r="CR290" s="3" t="s">
        <v>140</v>
      </c>
      <c r="CS290" s="16" t="s">
        <v>122</v>
      </c>
      <c r="CT290" s="16" t="s">
        <v>1814</v>
      </c>
      <c r="CU290" s="16" t="s">
        <v>242</v>
      </c>
      <c r="CV290" s="3" t="s">
        <v>167</v>
      </c>
    </row>
    <row r="291" spans="1:100" ht="15" customHeight="1">
      <c r="A291" t="s">
        <v>1945</v>
      </c>
      <c r="B291" s="3" t="s">
        <v>1946</v>
      </c>
      <c r="C291" s="16" t="s">
        <v>97</v>
      </c>
      <c r="D291" s="39" t="s">
        <v>1947</v>
      </c>
      <c r="E291" s="16" t="s">
        <v>97</v>
      </c>
      <c r="F291" s="131" t="s">
        <v>1948</v>
      </c>
      <c r="I291" s="100" t="s">
        <v>342</v>
      </c>
      <c r="J291" s="16" t="s">
        <v>101</v>
      </c>
      <c r="K291" s="16"/>
      <c r="L291" s="3" t="s">
        <v>102</v>
      </c>
      <c r="M291" s="3" t="s">
        <v>103</v>
      </c>
      <c r="N291" s="3" t="s">
        <v>104</v>
      </c>
      <c r="O291" s="16" t="s">
        <v>105</v>
      </c>
      <c r="P291" s="3" t="s">
        <v>1949</v>
      </c>
      <c r="Q291" s="3" t="s">
        <v>1949</v>
      </c>
      <c r="R291" s="3" t="s">
        <v>1949</v>
      </c>
      <c r="S291" t="s">
        <v>1945</v>
      </c>
      <c r="T291" s="130" t="s">
        <v>465</v>
      </c>
      <c r="U291" s="34">
        <v>17</v>
      </c>
      <c r="V291" s="39"/>
      <c r="W291" s="39"/>
      <c r="X291" s="59" t="s">
        <v>108</v>
      </c>
      <c r="Y291" s="93">
        <f>IF(AD291=0, 0, IF(OR(H291="", H291&lt;&gt;0), 1, 0))</f>
        <v>1</v>
      </c>
      <c r="Z291" s="3">
        <v>0</v>
      </c>
      <c r="AA291" s="3" t="s">
        <v>1950</v>
      </c>
      <c r="AD291" s="6">
        <f>ROUND((AG291*(1+AJ291)),2)</f>
        <v>294.75</v>
      </c>
      <c r="AE291" s="69">
        <v>335.88808922999999</v>
      </c>
      <c r="AF291" s="17">
        <f>(AE291*1)</f>
        <v>335.88808922999999</v>
      </c>
      <c r="AG291" s="6">
        <f>ROUND((AE291*AI291),2)</f>
        <v>218.33</v>
      </c>
      <c r="AH291" s="30" t="s">
        <v>110</v>
      </c>
      <c r="AI291" s="3">
        <v>0.65</v>
      </c>
      <c r="AJ291" s="18">
        <v>0.35</v>
      </c>
      <c r="AK291" s="6">
        <f>ROUND((AD291-(AD291*BG291)),2)</f>
        <v>291.8</v>
      </c>
      <c r="AL291" s="6">
        <f>ROUND((AD291-(AD291*BH291)),2)</f>
        <v>288.86</v>
      </c>
      <c r="AM291" s="6">
        <f>ROUND((AD291-(AD291*BI291)),2)</f>
        <v>285.91000000000003</v>
      </c>
      <c r="AN291" s="6">
        <f>ROUND((AD291-(AD291*BJ291)),2)</f>
        <v>285.91000000000003</v>
      </c>
      <c r="AO291" s="6">
        <f>ROUND((AD291-(AD291*BK291)),2)</f>
        <v>294.75</v>
      </c>
      <c r="BG291" s="12">
        <v>0.01</v>
      </c>
      <c r="BH291" s="12">
        <v>0.02</v>
      </c>
      <c r="BI291" s="12">
        <v>0.03</v>
      </c>
      <c r="BJ291" s="12">
        <v>0.03</v>
      </c>
      <c r="CC291" s="3" t="str">
        <f>IF(B291&lt;&gt;"",CONCATENATE(SUBSTITUTE(B291," ","-"),".jpg"),"")</f>
        <v>Allied-Moulded-AMU1860LF.jpg</v>
      </c>
      <c r="CD291" s="16" t="s">
        <v>111</v>
      </c>
      <c r="CE291" s="3"/>
      <c r="CF291" s="3"/>
      <c r="CG291" s="3" t="s">
        <v>112</v>
      </c>
      <c r="CI291" s="3" t="s">
        <v>97</v>
      </c>
      <c r="CJ291" s="3" t="s">
        <v>467</v>
      </c>
      <c r="CK291" s="3" t="s">
        <v>114</v>
      </c>
      <c r="CL291" s="3" t="s">
        <v>115</v>
      </c>
      <c r="CM291" s="3" t="s">
        <v>116</v>
      </c>
      <c r="CN291" t="s">
        <v>117</v>
      </c>
      <c r="CO291" s="3" t="s">
        <v>118</v>
      </c>
      <c r="CP291" s="3" t="s">
        <v>139</v>
      </c>
      <c r="CQ291" s="3" t="s">
        <v>120</v>
      </c>
      <c r="CR291" s="3" t="s">
        <v>140</v>
      </c>
      <c r="CS291" s="16" t="s">
        <v>122</v>
      </c>
      <c r="CT291" s="16" t="s">
        <v>1814</v>
      </c>
      <c r="CU291" s="16" t="s">
        <v>242</v>
      </c>
      <c r="CV291" s="3" t="s">
        <v>167</v>
      </c>
    </row>
    <row r="292" spans="1:100" ht="15" customHeight="1">
      <c r="A292" t="s">
        <v>1951</v>
      </c>
      <c r="B292" s="3" t="s">
        <v>1952</v>
      </c>
      <c r="C292" s="16" t="s">
        <v>97</v>
      </c>
      <c r="D292" s="40" t="s">
        <v>1953</v>
      </c>
      <c r="E292" s="16" t="s">
        <v>97</v>
      </c>
      <c r="F292" s="131" t="s">
        <v>1954</v>
      </c>
      <c r="I292" s="100" t="s">
        <v>342</v>
      </c>
      <c r="J292" s="16" t="s">
        <v>101</v>
      </c>
      <c r="K292" s="16"/>
      <c r="L292" s="3" t="s">
        <v>102</v>
      </c>
      <c r="M292" s="3" t="s">
        <v>103</v>
      </c>
      <c r="N292" s="3" t="s">
        <v>104</v>
      </c>
      <c r="O292" s="16" t="s">
        <v>105</v>
      </c>
      <c r="P292" s="3" t="s">
        <v>1955</v>
      </c>
      <c r="Q292" s="3" t="s">
        <v>1955</v>
      </c>
      <c r="R292" s="3" t="s">
        <v>1955</v>
      </c>
      <c r="S292" t="s">
        <v>1951</v>
      </c>
      <c r="T292" s="130" t="s">
        <v>465</v>
      </c>
      <c r="U292" s="35">
        <v>17</v>
      </c>
      <c r="V292" s="40"/>
      <c r="W292" s="40"/>
      <c r="X292" s="59" t="s">
        <v>108</v>
      </c>
      <c r="Y292" s="93">
        <f>IF(AD292=0, 0, IF(OR(H292="", H292&lt;&gt;0), 1, 0))</f>
        <v>1</v>
      </c>
      <c r="Z292" s="3">
        <v>0</v>
      </c>
      <c r="AA292" s="3" t="s">
        <v>1956</v>
      </c>
      <c r="AD292" s="6">
        <f>ROUND((AG292*(1+AJ292)),2)</f>
        <v>272.54000000000002</v>
      </c>
      <c r="AE292" s="69">
        <v>310.58386499</v>
      </c>
      <c r="AF292" s="17">
        <f>(AE292*1)</f>
        <v>310.58386499</v>
      </c>
      <c r="AG292" s="6">
        <f>ROUND((AE292*AI292),2)</f>
        <v>201.88</v>
      </c>
      <c r="AH292" s="30" t="s">
        <v>110</v>
      </c>
      <c r="AI292" s="3">
        <v>0.65</v>
      </c>
      <c r="AJ292" s="18">
        <v>0.35</v>
      </c>
      <c r="AK292" s="6">
        <f>ROUND((AD292-(AD292*BG292)),2)</f>
        <v>269.81</v>
      </c>
      <c r="AL292" s="6">
        <f>ROUND((AD292-(AD292*BH292)),2)</f>
        <v>267.08999999999997</v>
      </c>
      <c r="AM292" s="6">
        <f>ROUND((AD292-(AD292*BI292)),2)</f>
        <v>264.36</v>
      </c>
      <c r="AN292" s="6">
        <f>ROUND((AD292-(AD292*BJ292)),2)</f>
        <v>264.36</v>
      </c>
      <c r="AO292" s="6">
        <f>ROUND((AD292-(AD292*BK292)),2)</f>
        <v>272.54000000000002</v>
      </c>
      <c r="BG292" s="12">
        <v>0.01</v>
      </c>
      <c r="BH292" s="12">
        <v>0.02</v>
      </c>
      <c r="BI292" s="12">
        <v>0.03</v>
      </c>
      <c r="BJ292" s="12">
        <v>0.03</v>
      </c>
      <c r="CC292" s="3" t="str">
        <f>IF(B292&lt;&gt;"",CONCATENATE(SUBSTITUTE(B292," ","-"),".jpg"),"")</f>
        <v>Allied-Moulded-AMU1860T.jpg</v>
      </c>
      <c r="CD292" s="16" t="s">
        <v>111</v>
      </c>
      <c r="CE292" s="3"/>
      <c r="CF292" s="3"/>
      <c r="CG292" s="3" t="s">
        <v>112</v>
      </c>
      <c r="CI292" s="3" t="s">
        <v>97</v>
      </c>
      <c r="CJ292" s="3" t="s">
        <v>467</v>
      </c>
      <c r="CK292" s="3" t="s">
        <v>114</v>
      </c>
      <c r="CL292" s="3" t="s">
        <v>115</v>
      </c>
      <c r="CM292" s="3" t="s">
        <v>116</v>
      </c>
      <c r="CN292" s="16" t="s">
        <v>132</v>
      </c>
      <c r="CO292" s="3" t="s">
        <v>118</v>
      </c>
      <c r="CP292" s="3" t="s">
        <v>139</v>
      </c>
      <c r="CQ292" s="3" t="s">
        <v>120</v>
      </c>
      <c r="CR292" s="3" t="s">
        <v>140</v>
      </c>
      <c r="CS292" s="16" t="s">
        <v>122</v>
      </c>
      <c r="CT292" s="16" t="s">
        <v>1814</v>
      </c>
      <c r="CU292" s="16" t="s">
        <v>242</v>
      </c>
      <c r="CV292" s="3" t="s">
        <v>167</v>
      </c>
    </row>
    <row r="293" spans="1:100" ht="15" customHeight="1">
      <c r="A293" t="s">
        <v>1957</v>
      </c>
      <c r="B293" s="3" t="s">
        <v>1958</v>
      </c>
      <c r="C293" s="16" t="s">
        <v>97</v>
      </c>
      <c r="D293" s="39" t="s">
        <v>1959</v>
      </c>
      <c r="E293" s="16" t="s">
        <v>97</v>
      </c>
      <c r="F293" s="131" t="s">
        <v>1960</v>
      </c>
      <c r="I293" s="100" t="s">
        <v>342</v>
      </c>
      <c r="J293" s="16" t="s">
        <v>101</v>
      </c>
      <c r="K293" s="16"/>
      <c r="L293" s="3" t="s">
        <v>102</v>
      </c>
      <c r="M293" s="3" t="s">
        <v>103</v>
      </c>
      <c r="N293" s="3" t="s">
        <v>104</v>
      </c>
      <c r="O293" s="16" t="s">
        <v>105</v>
      </c>
      <c r="P293" s="3" t="s">
        <v>1961</v>
      </c>
      <c r="Q293" s="3" t="s">
        <v>1961</v>
      </c>
      <c r="R293" s="3" t="s">
        <v>1961</v>
      </c>
      <c r="S293" t="s">
        <v>1957</v>
      </c>
      <c r="T293" s="130" t="s">
        <v>465</v>
      </c>
      <c r="U293" s="34">
        <v>17</v>
      </c>
      <c r="V293" s="39"/>
      <c r="W293" s="39"/>
      <c r="X293" s="59" t="s">
        <v>108</v>
      </c>
      <c r="Y293" s="93">
        <f>IF(AD293=0, 0, IF(OR(H293="", H293&lt;&gt;0), 1, 0))</f>
        <v>1</v>
      </c>
      <c r="Z293" s="3">
        <v>0</v>
      </c>
      <c r="AA293" s="3" t="s">
        <v>1962</v>
      </c>
      <c r="AD293" s="6">
        <f>ROUND((AG293*(1+AJ293)),2)</f>
        <v>294.75</v>
      </c>
      <c r="AE293" s="69">
        <v>335.88808922999999</v>
      </c>
      <c r="AF293" s="17">
        <f>(AE293*1)</f>
        <v>335.88808922999999</v>
      </c>
      <c r="AG293" s="6">
        <f>ROUND((AE293*AI293),2)</f>
        <v>218.33</v>
      </c>
      <c r="AH293" s="30" t="s">
        <v>110</v>
      </c>
      <c r="AI293" s="3">
        <v>0.65</v>
      </c>
      <c r="AJ293" s="18">
        <v>0.35</v>
      </c>
      <c r="AK293" s="6">
        <f>ROUND((AD293-(AD293*BG293)),2)</f>
        <v>291.8</v>
      </c>
      <c r="AL293" s="6">
        <f>ROUND((AD293-(AD293*BH293)),2)</f>
        <v>288.86</v>
      </c>
      <c r="AM293" s="6">
        <f>ROUND((AD293-(AD293*BI293)),2)</f>
        <v>285.91000000000003</v>
      </c>
      <c r="AN293" s="6">
        <f>ROUND((AD293-(AD293*BJ293)),2)</f>
        <v>285.91000000000003</v>
      </c>
      <c r="AO293" s="6">
        <f>ROUND((AD293-(AD293*BK293)),2)</f>
        <v>294.75</v>
      </c>
      <c r="BG293" s="12">
        <v>0.01</v>
      </c>
      <c r="BH293" s="12">
        <v>0.02</v>
      </c>
      <c r="BI293" s="12">
        <v>0.03</v>
      </c>
      <c r="BJ293" s="12">
        <v>0.03</v>
      </c>
      <c r="CC293" s="3" t="str">
        <f>IF(B293&lt;&gt;"",CONCATENATE(SUBSTITUTE(B293," ","-"),".jpg"),"")</f>
        <v>Allied-Moulded-AMU1860TF.jpg</v>
      </c>
      <c r="CD293" s="16" t="s">
        <v>111</v>
      </c>
      <c r="CE293" s="3"/>
      <c r="CF293" s="3"/>
      <c r="CG293" s="3" t="s">
        <v>112</v>
      </c>
      <c r="CI293" s="3" t="s">
        <v>97</v>
      </c>
      <c r="CJ293" s="3" t="s">
        <v>467</v>
      </c>
      <c r="CK293" s="3" t="s">
        <v>114</v>
      </c>
      <c r="CL293" s="3" t="s">
        <v>115</v>
      </c>
      <c r="CM293" s="3" t="s">
        <v>116</v>
      </c>
      <c r="CN293" s="16" t="s">
        <v>132</v>
      </c>
      <c r="CO293" s="3" t="s">
        <v>118</v>
      </c>
      <c r="CP293" s="3" t="s">
        <v>139</v>
      </c>
      <c r="CQ293" s="3" t="s">
        <v>120</v>
      </c>
      <c r="CR293" s="3" t="s">
        <v>140</v>
      </c>
      <c r="CS293" s="16" t="s">
        <v>122</v>
      </c>
      <c r="CT293" s="16" t="s">
        <v>1814</v>
      </c>
      <c r="CU293" s="16" t="s">
        <v>242</v>
      </c>
      <c r="CV293" s="3" t="s">
        <v>167</v>
      </c>
    </row>
    <row r="294" spans="1:100" ht="15" customHeight="1">
      <c r="A294" t="s">
        <v>1963</v>
      </c>
      <c r="B294" s="3" t="s">
        <v>1964</v>
      </c>
      <c r="C294" s="16" t="s">
        <v>97</v>
      </c>
      <c r="D294" s="40" t="s">
        <v>1965</v>
      </c>
      <c r="E294" s="16" t="s">
        <v>97</v>
      </c>
      <c r="F294" s="131" t="s">
        <v>1966</v>
      </c>
      <c r="I294" s="100" t="s">
        <v>342</v>
      </c>
      <c r="J294" s="16" t="s">
        <v>101</v>
      </c>
      <c r="K294" s="16"/>
      <c r="L294" s="3" t="s">
        <v>102</v>
      </c>
      <c r="M294" s="3" t="s">
        <v>103</v>
      </c>
      <c r="N294" s="3" t="s">
        <v>104</v>
      </c>
      <c r="O294" s="16" t="s">
        <v>105</v>
      </c>
      <c r="P294" s="3" t="s">
        <v>1967</v>
      </c>
      <c r="Q294" s="3" t="s">
        <v>1967</v>
      </c>
      <c r="R294" s="3" t="s">
        <v>1967</v>
      </c>
      <c r="S294" t="s">
        <v>1963</v>
      </c>
      <c r="T294" s="130" t="s">
        <v>465</v>
      </c>
      <c r="U294" s="35">
        <v>17</v>
      </c>
      <c r="V294" s="40"/>
      <c r="W294" s="40"/>
      <c r="X294" s="59" t="s">
        <v>108</v>
      </c>
      <c r="Y294" s="93">
        <f>IF(AD294=0, 0, IF(OR(H294="", H294&lt;&gt;0), 1, 0))</f>
        <v>1</v>
      </c>
      <c r="Z294" s="3">
        <v>0</v>
      </c>
      <c r="AA294" s="3" t="s">
        <v>1968</v>
      </c>
      <c r="AD294" s="6">
        <f>ROUND((AG294*(1+AJ294)),2)</f>
        <v>358.06</v>
      </c>
      <c r="AE294" s="69">
        <v>408.05264447999997</v>
      </c>
      <c r="AF294" s="17">
        <f>(AE294*1)</f>
        <v>408.05264447999997</v>
      </c>
      <c r="AG294" s="6">
        <f>ROUND((AE294*AI294),2)</f>
        <v>265.23</v>
      </c>
      <c r="AH294" s="30" t="s">
        <v>110</v>
      </c>
      <c r="AI294" s="3">
        <v>0.65</v>
      </c>
      <c r="AJ294" s="18">
        <v>0.35</v>
      </c>
      <c r="AK294" s="6">
        <f>ROUND((AD294-(AD294*BG294)),2)</f>
        <v>354.48</v>
      </c>
      <c r="AL294" s="6">
        <f>ROUND((AD294-(AD294*BH294)),2)</f>
        <v>350.9</v>
      </c>
      <c r="AM294" s="6">
        <f>ROUND((AD294-(AD294*BI294)),2)</f>
        <v>347.32</v>
      </c>
      <c r="AN294" s="6">
        <f>ROUND((AD294-(AD294*BJ294)),2)</f>
        <v>347.32</v>
      </c>
      <c r="AO294" s="6">
        <f>ROUND((AD294-(AD294*BK294)),2)</f>
        <v>358.06</v>
      </c>
      <c r="BG294" s="12">
        <v>0.01</v>
      </c>
      <c r="BH294" s="12">
        <v>0.02</v>
      </c>
      <c r="BI294" s="12">
        <v>0.03</v>
      </c>
      <c r="BJ294" s="12">
        <v>0.03</v>
      </c>
      <c r="CC294" s="3" t="str">
        <f>IF(B294&lt;&gt;"",CONCATENATE(SUBSTITUTE(B294," ","-"),".jpg"),"")</f>
        <v>Allied-Moulded-AMU1860W.jpg</v>
      </c>
      <c r="CD294" s="16" t="s">
        <v>111</v>
      </c>
      <c r="CE294" s="3"/>
      <c r="CF294" s="3"/>
      <c r="CG294" s="3" t="s">
        <v>112</v>
      </c>
      <c r="CI294" s="3" t="s">
        <v>97</v>
      </c>
      <c r="CJ294" s="3" t="s">
        <v>467</v>
      </c>
      <c r="CK294" s="3" t="s">
        <v>114</v>
      </c>
      <c r="CL294" s="3" t="s">
        <v>115</v>
      </c>
      <c r="CM294" s="16"/>
      <c r="CN294" s="16" t="s">
        <v>349</v>
      </c>
      <c r="CO294" s="3" t="s">
        <v>118</v>
      </c>
      <c r="CP294" s="3" t="s">
        <v>139</v>
      </c>
      <c r="CQ294" s="3" t="s">
        <v>120</v>
      </c>
      <c r="CR294" s="3" t="s">
        <v>140</v>
      </c>
      <c r="CS294" s="3" t="s">
        <v>384</v>
      </c>
      <c r="CT294" s="16" t="s">
        <v>1814</v>
      </c>
      <c r="CU294" s="16" t="s">
        <v>242</v>
      </c>
      <c r="CV294" s="3" t="s">
        <v>167</v>
      </c>
    </row>
    <row r="295" spans="1:100" ht="15" customHeight="1">
      <c r="A295" t="s">
        <v>1969</v>
      </c>
      <c r="B295" s="3" t="s">
        <v>1970</v>
      </c>
      <c r="C295" s="16" t="s">
        <v>97</v>
      </c>
      <c r="D295" s="39" t="s">
        <v>1971</v>
      </c>
      <c r="E295" s="16" t="s">
        <v>97</v>
      </c>
      <c r="F295" s="131" t="s">
        <v>1972</v>
      </c>
      <c r="I295" s="100" t="s">
        <v>342</v>
      </c>
      <c r="J295" s="16" t="s">
        <v>101</v>
      </c>
      <c r="K295" s="16"/>
      <c r="L295" s="3" t="s">
        <v>102</v>
      </c>
      <c r="M295" s="3" t="s">
        <v>103</v>
      </c>
      <c r="N295" s="3" t="s">
        <v>104</v>
      </c>
      <c r="O295" s="16" t="s">
        <v>105</v>
      </c>
      <c r="P295" s="3" t="s">
        <v>1973</v>
      </c>
      <c r="Q295" s="3" t="s">
        <v>1973</v>
      </c>
      <c r="R295" s="3" t="s">
        <v>1973</v>
      </c>
      <c r="S295" t="s">
        <v>1969</v>
      </c>
      <c r="T295" s="130" t="s">
        <v>465</v>
      </c>
      <c r="U295" s="34">
        <v>17</v>
      </c>
      <c r="V295" s="39"/>
      <c r="W295" s="39"/>
      <c r="X295" s="59" t="s">
        <v>108</v>
      </c>
      <c r="Y295" s="93">
        <f>IF(AD295=0, 0, IF(OR(H295="", H295&lt;&gt;0), 1, 0))</f>
        <v>1</v>
      </c>
      <c r="Z295" s="3">
        <v>0</v>
      </c>
      <c r="AA295" s="3" t="s">
        <v>1974</v>
      </c>
      <c r="AD295" s="6">
        <f>ROUND((AG295*(1+AJ295)),2)</f>
        <v>367.97</v>
      </c>
      <c r="AE295" s="69">
        <v>419.33220538</v>
      </c>
      <c r="AF295" s="17">
        <f>(AE295*1)</f>
        <v>419.33220538</v>
      </c>
      <c r="AG295" s="6">
        <f>ROUND((AE295*AI295),2)</f>
        <v>272.57</v>
      </c>
      <c r="AH295" s="30" t="s">
        <v>110</v>
      </c>
      <c r="AI295" s="3">
        <v>0.65</v>
      </c>
      <c r="AJ295" s="18">
        <v>0.35</v>
      </c>
      <c r="AK295" s="6">
        <f>ROUND((AD295-(AD295*BG295)),2)</f>
        <v>364.29</v>
      </c>
      <c r="AL295" s="6">
        <f>ROUND((AD295-(AD295*BH295)),2)</f>
        <v>360.61</v>
      </c>
      <c r="AM295" s="6">
        <f>ROUND((AD295-(AD295*BI295)),2)</f>
        <v>356.93</v>
      </c>
      <c r="AN295" s="6">
        <f>ROUND((AD295-(AD295*BJ295)),2)</f>
        <v>356.93</v>
      </c>
      <c r="AO295" s="6">
        <f>ROUND((AD295-(AD295*BK295)),2)</f>
        <v>367.97</v>
      </c>
      <c r="BG295" s="12">
        <v>0.01</v>
      </c>
      <c r="BH295" s="12">
        <v>0.02</v>
      </c>
      <c r="BI295" s="12">
        <v>0.03</v>
      </c>
      <c r="BJ295" s="12">
        <v>0.03</v>
      </c>
      <c r="CC295" s="3" t="str">
        <f>IF(B295&lt;&gt;"",CONCATENATE(SUBSTITUTE(B295," ","-"),".jpg"),"")</f>
        <v>Allied-Moulded-AMU1860WF.jpg</v>
      </c>
      <c r="CD295" s="16" t="s">
        <v>111</v>
      </c>
      <c r="CE295" s="3"/>
      <c r="CF295" s="3"/>
      <c r="CG295" s="3" t="s">
        <v>112</v>
      </c>
      <c r="CI295" s="3" t="s">
        <v>97</v>
      </c>
      <c r="CJ295" s="3" t="s">
        <v>467</v>
      </c>
      <c r="CK295" s="3" t="s">
        <v>114</v>
      </c>
      <c r="CL295" s="3" t="s">
        <v>115</v>
      </c>
      <c r="CM295" s="16"/>
      <c r="CN295" s="16" t="s">
        <v>349</v>
      </c>
      <c r="CO295" s="3" t="s">
        <v>118</v>
      </c>
      <c r="CP295" s="3" t="s">
        <v>139</v>
      </c>
      <c r="CQ295" s="3" t="s">
        <v>120</v>
      </c>
      <c r="CR295" s="3" t="s">
        <v>140</v>
      </c>
      <c r="CS295" s="3" t="s">
        <v>384</v>
      </c>
      <c r="CT295" s="16" t="s">
        <v>1814</v>
      </c>
      <c r="CU295" s="16" t="s">
        <v>242</v>
      </c>
      <c r="CV295" s="3" t="s">
        <v>167</v>
      </c>
    </row>
    <row r="296" spans="1:100" ht="15" customHeight="1">
      <c r="A296" t="s">
        <v>1975</v>
      </c>
      <c r="B296" s="3" t="s">
        <v>1976</v>
      </c>
      <c r="C296" s="16" t="s">
        <v>97</v>
      </c>
      <c r="D296" s="40" t="s">
        <v>1977</v>
      </c>
      <c r="E296" s="16" t="s">
        <v>97</v>
      </c>
      <c r="F296" s="131" t="s">
        <v>1978</v>
      </c>
      <c r="I296" s="100" t="s">
        <v>342</v>
      </c>
      <c r="J296" s="16" t="s">
        <v>101</v>
      </c>
      <c r="K296" s="16"/>
      <c r="L296" s="3" t="s">
        <v>102</v>
      </c>
      <c r="M296" s="3" t="s">
        <v>103</v>
      </c>
      <c r="N296" s="3" t="s">
        <v>104</v>
      </c>
      <c r="O296" s="16" t="s">
        <v>105</v>
      </c>
      <c r="P296" s="3" t="s">
        <v>1979</v>
      </c>
      <c r="Q296" s="3" t="s">
        <v>1979</v>
      </c>
      <c r="R296" s="3" t="s">
        <v>1979</v>
      </c>
      <c r="S296" t="s">
        <v>1975</v>
      </c>
      <c r="T296" s="130" t="s">
        <v>465</v>
      </c>
      <c r="U296" s="35">
        <v>17</v>
      </c>
      <c r="V296" s="40"/>
      <c r="W296" s="40"/>
      <c r="X296" s="59" t="s">
        <v>108</v>
      </c>
      <c r="Y296" s="93">
        <f>IF(AD296=0, 0, IF(OR(H296="", H296&lt;&gt;0), 1, 0))</f>
        <v>1</v>
      </c>
      <c r="Z296" s="3">
        <v>0</v>
      </c>
      <c r="AA296" s="3" t="s">
        <v>1980</v>
      </c>
      <c r="AD296" s="6">
        <f>ROUND((AG296*(1+AJ296)),2)</f>
        <v>360.48</v>
      </c>
      <c r="AE296" s="69">
        <v>410.79774897999999</v>
      </c>
      <c r="AF296" s="17">
        <f>(AE296*1)</f>
        <v>410.79774897999999</v>
      </c>
      <c r="AG296" s="6">
        <f>ROUND((AE296*AI296),2)</f>
        <v>267.02</v>
      </c>
      <c r="AH296" s="30" t="s">
        <v>110</v>
      </c>
      <c r="AI296" s="3">
        <v>0.65</v>
      </c>
      <c r="AJ296" s="18">
        <v>0.35</v>
      </c>
      <c r="AK296" s="6">
        <f>ROUND((AD296-(AD296*BG296)),2)</f>
        <v>356.88</v>
      </c>
      <c r="AL296" s="6">
        <f>ROUND((AD296-(AD296*BH296)),2)</f>
        <v>353.27</v>
      </c>
      <c r="AM296" s="6">
        <f>ROUND((AD296-(AD296*BI296)),2)</f>
        <v>349.67</v>
      </c>
      <c r="AN296" s="6">
        <f>ROUND((AD296-(AD296*BJ296)),2)</f>
        <v>349.67</v>
      </c>
      <c r="AO296" s="6">
        <f>ROUND((AD296-(AD296*BK296)),2)</f>
        <v>360.48</v>
      </c>
      <c r="BG296" s="12">
        <v>0.01</v>
      </c>
      <c r="BH296" s="12">
        <v>0.02</v>
      </c>
      <c r="BI296" s="12">
        <v>0.03</v>
      </c>
      <c r="BJ296" s="12">
        <v>0.03</v>
      </c>
      <c r="CC296" s="3" t="str">
        <f>IF(B296&lt;&gt;"",CONCATENATE(SUBSTITUTE(B296," ","-"),".jpg"),"")</f>
        <v>Allied-Moulded-AMU1860HW.jpg</v>
      </c>
      <c r="CD296" s="16" t="s">
        <v>111</v>
      </c>
      <c r="CE296" s="3"/>
      <c r="CF296" s="3"/>
      <c r="CG296" s="3" t="s">
        <v>112</v>
      </c>
      <c r="CI296" s="3" t="s">
        <v>97</v>
      </c>
      <c r="CJ296" s="3" t="s">
        <v>467</v>
      </c>
      <c r="CK296" s="3" t="s">
        <v>114</v>
      </c>
      <c r="CL296" s="3" t="s">
        <v>115</v>
      </c>
      <c r="CM296" s="3" t="s">
        <v>116</v>
      </c>
      <c r="CN296" s="16" t="s">
        <v>349</v>
      </c>
      <c r="CO296" s="3" t="s">
        <v>118</v>
      </c>
      <c r="CP296" s="3" t="s">
        <v>139</v>
      </c>
      <c r="CQ296" s="3" t="s">
        <v>120</v>
      </c>
      <c r="CR296" s="3" t="s">
        <v>140</v>
      </c>
      <c r="CS296" s="3" t="s">
        <v>384</v>
      </c>
      <c r="CT296" s="16" t="s">
        <v>1814</v>
      </c>
      <c r="CU296" s="16" t="s">
        <v>242</v>
      </c>
      <c r="CV296" s="3" t="s">
        <v>167</v>
      </c>
    </row>
    <row r="297" spans="1:100" ht="15" customHeight="1">
      <c r="A297" t="s">
        <v>1981</v>
      </c>
      <c r="B297" s="3" t="s">
        <v>1982</v>
      </c>
      <c r="C297" s="16" t="s">
        <v>97</v>
      </c>
      <c r="D297" s="39" t="s">
        <v>1983</v>
      </c>
      <c r="E297" s="16" t="s">
        <v>97</v>
      </c>
      <c r="F297" s="131" t="s">
        <v>1984</v>
      </c>
      <c r="I297" s="100" t="s">
        <v>342</v>
      </c>
      <c r="J297" s="16" t="s">
        <v>101</v>
      </c>
      <c r="K297" s="16"/>
      <c r="L297" s="3" t="s">
        <v>102</v>
      </c>
      <c r="M297" s="3" t="s">
        <v>103</v>
      </c>
      <c r="N297" s="3" t="s">
        <v>104</v>
      </c>
      <c r="O297" s="16" t="s">
        <v>105</v>
      </c>
      <c r="P297" s="3" t="s">
        <v>1985</v>
      </c>
      <c r="Q297" s="3" t="s">
        <v>1985</v>
      </c>
      <c r="R297" s="3" t="s">
        <v>1985</v>
      </c>
      <c r="S297" t="s">
        <v>1981</v>
      </c>
      <c r="T297" s="130" t="s">
        <v>465</v>
      </c>
      <c r="U297" s="34">
        <v>17</v>
      </c>
      <c r="V297" s="39"/>
      <c r="W297" s="39"/>
      <c r="X297" s="59" t="s">
        <v>108</v>
      </c>
      <c r="Y297" s="93">
        <f>IF(AD297=0, 0, IF(OR(H297="", H297&lt;&gt;0), 1, 0))</f>
        <v>1</v>
      </c>
      <c r="Z297" s="3">
        <v>0</v>
      </c>
      <c r="AA297" s="3" t="s">
        <v>1986</v>
      </c>
      <c r="AD297" s="6">
        <f>ROUND((AG297*(1+AJ297)),2)</f>
        <v>370.39</v>
      </c>
      <c r="AE297" s="69">
        <v>422.09490640000001</v>
      </c>
      <c r="AF297" s="17">
        <f>(AE297*1)</f>
        <v>422.09490640000001</v>
      </c>
      <c r="AG297" s="6">
        <f>ROUND((AE297*AI297),2)</f>
        <v>274.36</v>
      </c>
      <c r="AH297" s="30" t="s">
        <v>110</v>
      </c>
      <c r="AI297" s="3">
        <v>0.65</v>
      </c>
      <c r="AJ297" s="18">
        <v>0.35</v>
      </c>
      <c r="AK297" s="6">
        <f>ROUND((AD297-(AD297*BG297)),2)</f>
        <v>366.69</v>
      </c>
      <c r="AL297" s="6">
        <f>ROUND((AD297-(AD297*BH297)),2)</f>
        <v>362.98</v>
      </c>
      <c r="AM297" s="6">
        <f>ROUND((AD297-(AD297*BI297)),2)</f>
        <v>359.28</v>
      </c>
      <c r="AN297" s="6">
        <f>ROUND((AD297-(AD297*BJ297)),2)</f>
        <v>359.28</v>
      </c>
      <c r="AO297" s="6">
        <f>ROUND((AD297-(AD297*BK297)),2)</f>
        <v>370.39</v>
      </c>
      <c r="BG297" s="12">
        <v>0.01</v>
      </c>
      <c r="BH297" s="12">
        <v>0.02</v>
      </c>
      <c r="BI297" s="12">
        <v>0.03</v>
      </c>
      <c r="BJ297" s="12">
        <v>0.03</v>
      </c>
      <c r="CC297" s="3" t="str">
        <f>IF(B297&lt;&gt;"",CONCATENATE(SUBSTITUTE(B297," ","-"),".jpg"),"")</f>
        <v>Allied-Moulded-AMU1860HWF.jpg</v>
      </c>
      <c r="CD297" s="16" t="s">
        <v>111</v>
      </c>
      <c r="CE297" s="3"/>
      <c r="CF297" s="3"/>
      <c r="CG297" s="3" t="s">
        <v>112</v>
      </c>
      <c r="CI297" s="3" t="s">
        <v>97</v>
      </c>
      <c r="CJ297" s="3" t="s">
        <v>467</v>
      </c>
      <c r="CK297" s="3" t="s">
        <v>114</v>
      </c>
      <c r="CL297" s="3" t="s">
        <v>115</v>
      </c>
      <c r="CM297" s="3" t="s">
        <v>116</v>
      </c>
      <c r="CN297" s="16" t="s">
        <v>349</v>
      </c>
      <c r="CO297" s="3" t="s">
        <v>118</v>
      </c>
      <c r="CP297" s="3" t="s">
        <v>139</v>
      </c>
      <c r="CQ297" s="3" t="s">
        <v>120</v>
      </c>
      <c r="CR297" s="3" t="s">
        <v>140</v>
      </c>
      <c r="CS297" s="3" t="s">
        <v>384</v>
      </c>
      <c r="CT297" s="16" t="s">
        <v>1814</v>
      </c>
      <c r="CU297" s="16" t="s">
        <v>242</v>
      </c>
      <c r="CV297" s="3" t="s">
        <v>167</v>
      </c>
    </row>
    <row r="298" spans="1:100" ht="15" customHeight="1">
      <c r="A298" t="s">
        <v>1987</v>
      </c>
      <c r="B298" s="3" t="s">
        <v>1988</v>
      </c>
      <c r="C298" s="16" t="s">
        <v>97</v>
      </c>
      <c r="D298" s="39" t="s">
        <v>1989</v>
      </c>
      <c r="E298" s="16" t="s">
        <v>97</v>
      </c>
      <c r="F298" s="131" t="s">
        <v>1990</v>
      </c>
      <c r="I298" s="100" t="s">
        <v>342</v>
      </c>
      <c r="J298" s="16" t="s">
        <v>101</v>
      </c>
      <c r="K298" s="16"/>
      <c r="L298" s="3" t="s">
        <v>102</v>
      </c>
      <c r="M298" s="3" t="s">
        <v>103</v>
      </c>
      <c r="N298" s="3" t="s">
        <v>104</v>
      </c>
      <c r="O298" s="16" t="s">
        <v>105</v>
      </c>
      <c r="P298" s="3" t="s">
        <v>1991</v>
      </c>
      <c r="Q298" s="3" t="s">
        <v>1991</v>
      </c>
      <c r="R298" s="3" t="s">
        <v>1991</v>
      </c>
      <c r="S298" t="s">
        <v>1987</v>
      </c>
      <c r="T298" s="130" t="s">
        <v>465</v>
      </c>
      <c r="U298" s="53">
        <v>17</v>
      </c>
      <c r="V298" s="47"/>
      <c r="W298" s="47"/>
      <c r="X298" s="59" t="s">
        <v>108</v>
      </c>
      <c r="Y298" s="93">
        <f>IF(AD298=0, 0, IF(OR(H298="", H298&lt;&gt;0), 1, 0))</f>
        <v>1</v>
      </c>
      <c r="Z298" s="3">
        <v>0</v>
      </c>
      <c r="AA298" s="3" t="s">
        <v>1992</v>
      </c>
      <c r="AD298" s="6">
        <f>ROUND((AG298*(1+AJ298)),2)</f>
        <v>388.8</v>
      </c>
      <c r="AE298" s="69">
        <v>443.07031565</v>
      </c>
      <c r="AF298" s="17">
        <f>(AE298*1)</f>
        <v>443.07031565</v>
      </c>
      <c r="AG298" s="6">
        <f>ROUND((AE298*AI298),2)</f>
        <v>288</v>
      </c>
      <c r="AH298" s="30" t="s">
        <v>110</v>
      </c>
      <c r="AI298" s="3">
        <v>0.65</v>
      </c>
      <c r="AJ298" s="18">
        <v>0.35</v>
      </c>
      <c r="AK298" s="6">
        <f>ROUND((AD298-(AD298*BG298)),2)</f>
        <v>384.91</v>
      </c>
      <c r="AL298" s="6">
        <f>ROUND((AD298-(AD298*BH298)),2)</f>
        <v>381.02</v>
      </c>
      <c r="AM298" s="6">
        <f>ROUND((AD298-(AD298*BI298)),2)</f>
        <v>377.14</v>
      </c>
      <c r="AN298" s="6">
        <f>ROUND((AD298-(AD298*BJ298)),2)</f>
        <v>377.14</v>
      </c>
      <c r="AO298" s="6">
        <f>ROUND((AD298-(AD298*BK298)),2)</f>
        <v>388.8</v>
      </c>
      <c r="BG298" s="12">
        <v>0.01</v>
      </c>
      <c r="BH298" s="12">
        <v>0.02</v>
      </c>
      <c r="BI298" s="12">
        <v>0.03</v>
      </c>
      <c r="BJ298" s="12">
        <v>0.03</v>
      </c>
      <c r="CC298" s="3" t="str">
        <f>IF(B298&lt;&gt;"",CONCATENATE(SUBSTITUTE(B298," ","-"),".jpg"),"")</f>
        <v>Allied-Moulded-AMU1860LW.jpg</v>
      </c>
      <c r="CD298" s="16" t="s">
        <v>111</v>
      </c>
      <c r="CE298" s="3"/>
      <c r="CF298" s="3"/>
      <c r="CG298" s="3" t="s">
        <v>112</v>
      </c>
      <c r="CI298" s="3" t="s">
        <v>97</v>
      </c>
      <c r="CJ298" s="3" t="s">
        <v>467</v>
      </c>
      <c r="CK298" s="3" t="s">
        <v>114</v>
      </c>
      <c r="CL298" s="3" t="s">
        <v>115</v>
      </c>
      <c r="CM298" s="3" t="s">
        <v>116</v>
      </c>
      <c r="CN298" t="s">
        <v>117</v>
      </c>
      <c r="CO298" s="3" t="s">
        <v>118</v>
      </c>
      <c r="CP298" s="3" t="s">
        <v>139</v>
      </c>
      <c r="CQ298" s="3" t="s">
        <v>120</v>
      </c>
      <c r="CR298" s="3" t="s">
        <v>140</v>
      </c>
      <c r="CS298" s="16" t="s">
        <v>122</v>
      </c>
      <c r="CT298" s="16" t="s">
        <v>1814</v>
      </c>
      <c r="CU298" s="16" t="s">
        <v>242</v>
      </c>
      <c r="CV298" s="3" t="s">
        <v>167</v>
      </c>
    </row>
    <row r="299" spans="1:100" ht="15" customHeight="1">
      <c r="A299" t="s">
        <v>1993</v>
      </c>
      <c r="B299" s="3" t="s">
        <v>1994</v>
      </c>
      <c r="C299" s="16" t="s">
        <v>97</v>
      </c>
      <c r="D299" s="40" t="s">
        <v>1995</v>
      </c>
      <c r="E299" s="16" t="s">
        <v>97</v>
      </c>
      <c r="F299" s="131" t="s">
        <v>1996</v>
      </c>
      <c r="I299" s="100" t="s">
        <v>342</v>
      </c>
      <c r="J299" s="16" t="s">
        <v>101</v>
      </c>
      <c r="K299" s="16"/>
      <c r="L299" s="3" t="s">
        <v>102</v>
      </c>
      <c r="M299" s="3" t="s">
        <v>103</v>
      </c>
      <c r="N299" s="3" t="s">
        <v>104</v>
      </c>
      <c r="O299" s="16" t="s">
        <v>105</v>
      </c>
      <c r="P299" s="3" t="s">
        <v>1997</v>
      </c>
      <c r="Q299" s="3" t="s">
        <v>1997</v>
      </c>
      <c r="R299" s="3" t="s">
        <v>1997</v>
      </c>
      <c r="S299" t="s">
        <v>1993</v>
      </c>
      <c r="T299" s="130" t="s">
        <v>465</v>
      </c>
      <c r="U299" s="35">
        <v>17</v>
      </c>
      <c r="V299" s="40"/>
      <c r="W299" s="40"/>
      <c r="X299" s="59" t="s">
        <v>108</v>
      </c>
      <c r="Y299" s="93">
        <f>IF(AD299=0, 0, IF(OR(H299="", H299&lt;&gt;0), 1, 0))</f>
        <v>1</v>
      </c>
      <c r="Z299" s="3">
        <v>0</v>
      </c>
      <c r="AA299" s="3" t="s">
        <v>1998</v>
      </c>
      <c r="AD299" s="6">
        <f>ROUND((AG299*(1+AJ299)),2)</f>
        <v>369.37</v>
      </c>
      <c r="AE299" s="69">
        <v>420.93351754000003</v>
      </c>
      <c r="AF299" s="17">
        <f>(AE299*1)</f>
        <v>420.93351754000003</v>
      </c>
      <c r="AG299" s="6">
        <f>ROUND((AE299*AI299),2)</f>
        <v>273.61</v>
      </c>
      <c r="AH299" s="30" t="s">
        <v>110</v>
      </c>
      <c r="AI299" s="3">
        <v>0.65</v>
      </c>
      <c r="AJ299" s="18">
        <v>0.35</v>
      </c>
      <c r="AK299" s="6">
        <f>ROUND((AD299-(AD299*BG299)),2)</f>
        <v>365.68</v>
      </c>
      <c r="AL299" s="6">
        <f>ROUND((AD299-(AD299*BH299)),2)</f>
        <v>361.98</v>
      </c>
      <c r="AM299" s="6">
        <f>ROUND((AD299-(AD299*BI299)),2)</f>
        <v>358.29</v>
      </c>
      <c r="AN299" s="6">
        <f>ROUND((AD299-(AD299*BJ299)),2)</f>
        <v>358.29</v>
      </c>
      <c r="AO299" s="6">
        <f>ROUND((AD299-(AD299*BK299)),2)</f>
        <v>369.37</v>
      </c>
      <c r="BG299" s="12">
        <v>0.01</v>
      </c>
      <c r="BH299" s="12">
        <v>0.02</v>
      </c>
      <c r="BI299" s="12">
        <v>0.03</v>
      </c>
      <c r="BJ299" s="12">
        <v>0.03</v>
      </c>
      <c r="CC299" s="3" t="str">
        <f>IF(B299&lt;&gt;"",CONCATENATE(SUBSTITUTE(B299," ","-"),".jpg"),"")</f>
        <v>Allied-Moulded-AMU1860NLW.jpg</v>
      </c>
      <c r="CD299" s="16" t="s">
        <v>111</v>
      </c>
      <c r="CE299" s="3"/>
      <c r="CF299" s="3"/>
      <c r="CG299" s="3" t="s">
        <v>112</v>
      </c>
      <c r="CI299" s="3" t="s">
        <v>97</v>
      </c>
      <c r="CJ299" s="3" t="s">
        <v>467</v>
      </c>
      <c r="CK299" s="3" t="s">
        <v>114</v>
      </c>
      <c r="CL299" s="3" t="s">
        <v>115</v>
      </c>
      <c r="CM299" s="3" t="s">
        <v>116</v>
      </c>
      <c r="CN299" t="s">
        <v>117</v>
      </c>
      <c r="CO299" s="3" t="s">
        <v>118</v>
      </c>
      <c r="CP299" s="3" t="s">
        <v>139</v>
      </c>
      <c r="CQ299" s="3" t="s">
        <v>120</v>
      </c>
      <c r="CR299" s="16" t="s">
        <v>121</v>
      </c>
      <c r="CS299" s="16" t="s">
        <v>122</v>
      </c>
      <c r="CT299" s="16" t="s">
        <v>1814</v>
      </c>
      <c r="CU299" s="16" t="s">
        <v>242</v>
      </c>
      <c r="CV299" s="3" t="s">
        <v>167</v>
      </c>
    </row>
    <row r="300" spans="1:100" ht="15" customHeight="1">
      <c r="A300" t="s">
        <v>1999</v>
      </c>
      <c r="B300" s="3" t="s">
        <v>2000</v>
      </c>
      <c r="C300" s="16" t="s">
        <v>97</v>
      </c>
      <c r="D300" s="39" t="s">
        <v>2001</v>
      </c>
      <c r="E300" s="16" t="s">
        <v>97</v>
      </c>
      <c r="F300" s="131" t="s">
        <v>2002</v>
      </c>
      <c r="I300" s="100" t="s">
        <v>342</v>
      </c>
      <c r="J300" s="16" t="s">
        <v>101</v>
      </c>
      <c r="K300" s="16"/>
      <c r="L300" s="3" t="s">
        <v>102</v>
      </c>
      <c r="M300" s="3" t="s">
        <v>103</v>
      </c>
      <c r="N300" s="3" t="s">
        <v>104</v>
      </c>
      <c r="O300" s="16" t="s">
        <v>105</v>
      </c>
      <c r="P300" s="3" t="s">
        <v>2003</v>
      </c>
      <c r="Q300" s="3" t="s">
        <v>2003</v>
      </c>
      <c r="R300" s="3" t="s">
        <v>2003</v>
      </c>
      <c r="S300" t="s">
        <v>1999</v>
      </c>
      <c r="T300" s="130" t="s">
        <v>465</v>
      </c>
      <c r="U300" s="34">
        <v>17</v>
      </c>
      <c r="V300" s="39"/>
      <c r="W300" s="39"/>
      <c r="X300" s="59" t="s">
        <v>108</v>
      </c>
      <c r="Y300" s="93">
        <f>IF(AD300=0, 0, IF(OR(H300="", H300&lt;&gt;0), 1, 0))</f>
        <v>1</v>
      </c>
      <c r="Z300" s="3">
        <v>0</v>
      </c>
      <c r="AA300" s="3" t="s">
        <v>2004</v>
      </c>
      <c r="AD300" s="6">
        <f>ROUND((AG300*(1+AJ300)),2)</f>
        <v>379.58</v>
      </c>
      <c r="AE300" s="69">
        <v>432.56501398999995</v>
      </c>
      <c r="AF300" s="17">
        <f>(AE300*1)</f>
        <v>432.56501398999995</v>
      </c>
      <c r="AG300" s="6">
        <f>ROUND((AE300*AI300),2)</f>
        <v>281.17</v>
      </c>
      <c r="AH300" s="30" t="s">
        <v>110</v>
      </c>
      <c r="AI300" s="3">
        <v>0.65</v>
      </c>
      <c r="AJ300" s="18">
        <v>0.35</v>
      </c>
      <c r="AK300" s="6">
        <f>ROUND((AD300-(AD300*BG300)),2)</f>
        <v>375.78</v>
      </c>
      <c r="AL300" s="6">
        <f>ROUND((AD300-(AD300*BH300)),2)</f>
        <v>371.99</v>
      </c>
      <c r="AM300" s="6">
        <f>ROUND((AD300-(AD300*BI300)),2)</f>
        <v>368.19</v>
      </c>
      <c r="AN300" s="6">
        <f>ROUND((AD300-(AD300*BJ300)),2)</f>
        <v>368.19</v>
      </c>
      <c r="AO300" s="6">
        <f>ROUND((AD300-(AD300*BK300)),2)</f>
        <v>379.58</v>
      </c>
      <c r="BG300" s="12">
        <v>0.01</v>
      </c>
      <c r="BH300" s="12">
        <v>0.02</v>
      </c>
      <c r="BI300" s="12">
        <v>0.03</v>
      </c>
      <c r="BJ300" s="12">
        <v>0.03</v>
      </c>
      <c r="CC300" s="3" t="str">
        <f>IF(B300&lt;&gt;"",CONCATENATE(SUBSTITUTE(B300," ","-"),".jpg"),"")</f>
        <v>Allied-Moulded-AMU1860NLWF.jpg</v>
      </c>
      <c r="CD300" s="16" t="s">
        <v>111</v>
      </c>
      <c r="CE300" s="3"/>
      <c r="CF300" s="3"/>
      <c r="CG300" s="3" t="s">
        <v>112</v>
      </c>
      <c r="CI300" s="3" t="s">
        <v>97</v>
      </c>
      <c r="CJ300" s="3" t="s">
        <v>467</v>
      </c>
      <c r="CK300" s="3" t="s">
        <v>114</v>
      </c>
      <c r="CL300" s="3" t="s">
        <v>115</v>
      </c>
      <c r="CM300" s="3" t="s">
        <v>116</v>
      </c>
      <c r="CN300" t="s">
        <v>117</v>
      </c>
      <c r="CO300" s="3" t="s">
        <v>118</v>
      </c>
      <c r="CP300" s="3" t="s">
        <v>139</v>
      </c>
      <c r="CQ300" s="3" t="s">
        <v>120</v>
      </c>
      <c r="CR300" s="16" t="s">
        <v>121</v>
      </c>
      <c r="CS300" s="16" t="s">
        <v>122</v>
      </c>
      <c r="CT300" s="16" t="s">
        <v>1814</v>
      </c>
      <c r="CU300" s="16" t="s">
        <v>242</v>
      </c>
      <c r="CV300" s="3" t="s">
        <v>167</v>
      </c>
    </row>
    <row r="301" spans="1:100" ht="15" customHeight="1">
      <c r="A301" t="s">
        <v>2005</v>
      </c>
      <c r="B301" s="3" t="s">
        <v>2006</v>
      </c>
      <c r="C301" s="16" t="s">
        <v>97</v>
      </c>
      <c r="D301" s="39" t="s">
        <v>2007</v>
      </c>
      <c r="E301" s="16" t="s">
        <v>97</v>
      </c>
      <c r="F301" s="131" t="s">
        <v>2008</v>
      </c>
      <c r="I301" s="100" t="s">
        <v>342</v>
      </c>
      <c r="J301" s="16" t="s">
        <v>101</v>
      </c>
      <c r="K301" s="16"/>
      <c r="L301" s="3" t="s">
        <v>102</v>
      </c>
      <c r="M301" s="3" t="s">
        <v>103</v>
      </c>
      <c r="N301" s="3" t="s">
        <v>104</v>
      </c>
      <c r="O301" s="16" t="s">
        <v>105</v>
      </c>
      <c r="P301" s="3" t="s">
        <v>2009</v>
      </c>
      <c r="Q301" s="3" t="s">
        <v>2009</v>
      </c>
      <c r="R301" s="3" t="s">
        <v>2009</v>
      </c>
      <c r="S301" t="s">
        <v>2005</v>
      </c>
      <c r="T301" s="130" t="s">
        <v>465</v>
      </c>
      <c r="U301" s="34">
        <v>17</v>
      </c>
      <c r="V301" s="39"/>
      <c r="W301" s="39"/>
      <c r="X301" s="59" t="s">
        <v>108</v>
      </c>
      <c r="Y301" s="93">
        <f>IF(AD301=0, 0, IF(OR(H301="", H301&lt;&gt;0), 1, 0))</f>
        <v>1</v>
      </c>
      <c r="Z301" s="3">
        <v>0</v>
      </c>
      <c r="AA301" s="3" t="s">
        <v>2010</v>
      </c>
      <c r="AD301" s="6">
        <f>ROUND((AG301*(1+AJ301)),2)</f>
        <v>388.8</v>
      </c>
      <c r="AE301" s="69">
        <v>443.07031565</v>
      </c>
      <c r="AF301" s="17">
        <f>(AE301*1)</f>
        <v>443.07031565</v>
      </c>
      <c r="AG301" s="6">
        <f>ROUND((AE301*AI301),2)</f>
        <v>288</v>
      </c>
      <c r="AH301" s="30" t="s">
        <v>110</v>
      </c>
      <c r="AI301" s="3">
        <v>0.65</v>
      </c>
      <c r="AJ301" s="18">
        <v>0.35</v>
      </c>
      <c r="AK301" s="6">
        <f>ROUND((AD301-(AD301*BG301)),2)</f>
        <v>384.91</v>
      </c>
      <c r="AL301" s="6">
        <f>ROUND((AD301-(AD301*BH301)),2)</f>
        <v>381.02</v>
      </c>
      <c r="AM301" s="6">
        <f>ROUND((AD301-(AD301*BI301)),2)</f>
        <v>377.14</v>
      </c>
      <c r="AN301" s="6">
        <f>ROUND((AD301-(AD301*BJ301)),2)</f>
        <v>377.14</v>
      </c>
      <c r="AO301" s="6">
        <f>ROUND((AD301-(AD301*BK301)),2)</f>
        <v>388.8</v>
      </c>
      <c r="BG301" s="12">
        <v>0.01</v>
      </c>
      <c r="BH301" s="12">
        <v>0.02</v>
      </c>
      <c r="BI301" s="12">
        <v>0.03</v>
      </c>
      <c r="BJ301" s="12">
        <v>0.03</v>
      </c>
      <c r="CC301" s="3" t="str">
        <f>IF(B301&lt;&gt;"",CONCATENATE(SUBSTITUTE(B301," ","-"),".jpg"),"")</f>
        <v>Allied-Moulded-AMU1860TW.jpg</v>
      </c>
      <c r="CD301" s="16" t="s">
        <v>111</v>
      </c>
      <c r="CE301" s="3"/>
      <c r="CF301" s="3"/>
      <c r="CG301" s="3" t="s">
        <v>112</v>
      </c>
      <c r="CI301" s="3" t="s">
        <v>97</v>
      </c>
      <c r="CJ301" s="3" t="s">
        <v>467</v>
      </c>
      <c r="CK301" s="3" t="s">
        <v>114</v>
      </c>
      <c r="CL301" s="3" t="s">
        <v>115</v>
      </c>
      <c r="CM301" s="3" t="s">
        <v>116</v>
      </c>
      <c r="CN301" s="16" t="s">
        <v>132</v>
      </c>
      <c r="CO301" s="3" t="s">
        <v>118</v>
      </c>
      <c r="CP301" s="3" t="s">
        <v>139</v>
      </c>
      <c r="CQ301" s="3" t="s">
        <v>120</v>
      </c>
      <c r="CR301" s="16" t="s">
        <v>121</v>
      </c>
      <c r="CS301" s="16" t="s">
        <v>122</v>
      </c>
      <c r="CT301" s="16" t="s">
        <v>1814</v>
      </c>
      <c r="CU301" s="16" t="s">
        <v>242</v>
      </c>
      <c r="CV301" s="3" t="s">
        <v>167</v>
      </c>
    </row>
    <row r="302" spans="1:100" ht="15" customHeight="1">
      <c r="A302" t="s">
        <v>2011</v>
      </c>
      <c r="B302" s="3" t="s">
        <v>2012</v>
      </c>
      <c r="C302" s="16" t="s">
        <v>97</v>
      </c>
      <c r="D302" s="40" t="s">
        <v>2013</v>
      </c>
      <c r="E302" s="16" t="s">
        <v>97</v>
      </c>
      <c r="F302" s="131" t="s">
        <v>2014</v>
      </c>
      <c r="I302" s="100" t="s">
        <v>342</v>
      </c>
      <c r="J302" s="16" t="s">
        <v>101</v>
      </c>
      <c r="K302" s="16"/>
      <c r="L302" s="3" t="s">
        <v>102</v>
      </c>
      <c r="M302" s="3" t="s">
        <v>103</v>
      </c>
      <c r="N302" s="3" t="s">
        <v>104</v>
      </c>
      <c r="O302" s="16" t="s">
        <v>105</v>
      </c>
      <c r="P302" s="3" t="s">
        <v>2015</v>
      </c>
      <c r="Q302" s="3" t="s">
        <v>2015</v>
      </c>
      <c r="R302" s="3" t="s">
        <v>2015</v>
      </c>
      <c r="S302" t="s">
        <v>2011</v>
      </c>
      <c r="T302" s="130" t="s">
        <v>465</v>
      </c>
      <c r="U302" s="35">
        <v>17</v>
      </c>
      <c r="V302" s="40"/>
      <c r="W302" s="40"/>
      <c r="X302" s="59" t="s">
        <v>108</v>
      </c>
      <c r="Y302" s="93">
        <f>IF(AD302=0, 0, IF(OR(H302="", H302&lt;&gt;0), 1, 0))</f>
        <v>1</v>
      </c>
      <c r="Z302" s="3">
        <v>0</v>
      </c>
      <c r="AA302" s="3" t="s">
        <v>2016</v>
      </c>
      <c r="AD302" s="6">
        <f>ROUND((AG302*(1+AJ302)),2)</f>
        <v>399.56</v>
      </c>
      <c r="AE302" s="69">
        <v>455.33530021000001</v>
      </c>
      <c r="AF302" s="17">
        <f>(AE302*1)</f>
        <v>455.33530021000001</v>
      </c>
      <c r="AG302" s="6">
        <f>ROUND((AE302*AI302),2)</f>
        <v>295.97000000000003</v>
      </c>
      <c r="AH302" s="30" t="s">
        <v>110</v>
      </c>
      <c r="AI302" s="3">
        <v>0.65</v>
      </c>
      <c r="AJ302" s="18">
        <v>0.35</v>
      </c>
      <c r="AK302" s="6">
        <f>ROUND((AD302-(AD302*BG302)),2)</f>
        <v>395.56</v>
      </c>
      <c r="AL302" s="6">
        <f>ROUND((AD302-(AD302*BH302)),2)</f>
        <v>391.57</v>
      </c>
      <c r="AM302" s="6">
        <f>ROUND((AD302-(AD302*BI302)),2)</f>
        <v>387.57</v>
      </c>
      <c r="AN302" s="6">
        <f>ROUND((AD302-(AD302*BJ302)),2)</f>
        <v>387.57</v>
      </c>
      <c r="AO302" s="6">
        <f>ROUND((AD302-(AD302*BK302)),2)</f>
        <v>399.56</v>
      </c>
      <c r="BG302" s="12">
        <v>0.01</v>
      </c>
      <c r="BH302" s="12">
        <v>0.02</v>
      </c>
      <c r="BI302" s="12">
        <v>0.03</v>
      </c>
      <c r="BJ302" s="12">
        <v>0.03</v>
      </c>
      <c r="CC302" s="3" t="str">
        <f>IF(B302&lt;&gt;"",CONCATENATE(SUBSTITUTE(B302," ","-"),".jpg"),"")</f>
        <v>Allied-Moulded-AMU1860TWF.jpg</v>
      </c>
      <c r="CD302" s="16" t="s">
        <v>111</v>
      </c>
      <c r="CE302" s="3"/>
      <c r="CF302" s="3"/>
      <c r="CG302" s="3" t="s">
        <v>112</v>
      </c>
      <c r="CI302" s="3" t="s">
        <v>97</v>
      </c>
      <c r="CJ302" s="3" t="s">
        <v>467</v>
      </c>
      <c r="CK302" s="3" t="s">
        <v>114</v>
      </c>
      <c r="CL302" s="3" t="s">
        <v>115</v>
      </c>
      <c r="CM302" s="3" t="s">
        <v>116</v>
      </c>
      <c r="CN302" s="16" t="s">
        <v>132</v>
      </c>
      <c r="CO302" s="3" t="s">
        <v>118</v>
      </c>
      <c r="CP302" s="3" t="s">
        <v>139</v>
      </c>
      <c r="CQ302" s="3" t="s">
        <v>120</v>
      </c>
      <c r="CR302" s="16" t="s">
        <v>121</v>
      </c>
      <c r="CS302" s="16" t="s">
        <v>122</v>
      </c>
      <c r="CT302" s="16" t="s">
        <v>1814</v>
      </c>
      <c r="CU302" s="16" t="s">
        <v>242</v>
      </c>
      <c r="CV302" s="3" t="s">
        <v>167</v>
      </c>
    </row>
    <row r="303" spans="1:100" ht="15" customHeight="1">
      <c r="A303" s="86" t="s">
        <v>2017</v>
      </c>
      <c r="B303" s="80" t="s">
        <v>2018</v>
      </c>
      <c r="C303" s="16" t="s">
        <v>97</v>
      </c>
      <c r="D303" s="80" t="s">
        <v>2019</v>
      </c>
      <c r="E303" s="16" t="s">
        <v>97</v>
      </c>
      <c r="F303" s="150" t="s">
        <v>2020</v>
      </c>
      <c r="I303" s="100" t="s">
        <v>342</v>
      </c>
      <c r="J303" s="16" t="s">
        <v>101</v>
      </c>
      <c r="K303" s="16"/>
      <c r="L303" s="3" t="s">
        <v>102</v>
      </c>
      <c r="M303" s="3" t="s">
        <v>103</v>
      </c>
      <c r="N303" s="3" t="s">
        <v>104</v>
      </c>
      <c r="O303" s="16" t="s">
        <v>343</v>
      </c>
      <c r="P303" s="80" t="s">
        <v>2021</v>
      </c>
      <c r="Q303" s="80" t="s">
        <v>2021</v>
      </c>
      <c r="R303" s="80" t="s">
        <v>2022</v>
      </c>
      <c r="S303" s="80" t="s">
        <v>2023</v>
      </c>
      <c r="T303" s="132" t="s">
        <v>107</v>
      </c>
      <c r="U303" s="97">
        <v>16</v>
      </c>
      <c r="X303" s="31" t="s">
        <v>108</v>
      </c>
      <c r="Y303" s="93">
        <f>IF(AD303=0, 0, IF(OR(H303="", H303&lt;&gt;0), 1, 0))</f>
        <v>1</v>
      </c>
      <c r="Z303" s="3">
        <v>0</v>
      </c>
      <c r="AA303" s="3" t="s">
        <v>2024</v>
      </c>
      <c r="AD303" s="6">
        <f>ROUND((AG303*(1+AJ303)),2)</f>
        <v>214.33</v>
      </c>
      <c r="AE303" s="99">
        <v>244.24385365000001</v>
      </c>
      <c r="AF303" s="17">
        <f>(AE303*1)</f>
        <v>244.24385365000001</v>
      </c>
      <c r="AG303" s="6">
        <f>ROUND((AE303*AI303),2)</f>
        <v>158.76</v>
      </c>
      <c r="AH303" s="30" t="s">
        <v>110</v>
      </c>
      <c r="AI303" s="3">
        <v>0.65</v>
      </c>
      <c r="AJ303" s="18">
        <v>0.35</v>
      </c>
      <c r="AK303" s="6">
        <f>ROUND((AD303-(AD303*BG303)),2)</f>
        <v>212.19</v>
      </c>
      <c r="AL303" s="6">
        <f>ROUND((AD303-(AD303*BH303)),2)</f>
        <v>210.04</v>
      </c>
      <c r="AM303" s="6">
        <f>ROUND((AD303-(AD303*BI303)),2)</f>
        <v>207.9</v>
      </c>
      <c r="AN303" s="6">
        <f>ROUND((AD303-(AD303*BJ303)),2)</f>
        <v>207.9</v>
      </c>
      <c r="AO303" s="6">
        <f>ROUND((AD303-(AD303*BK303)),2)</f>
        <v>214.33</v>
      </c>
      <c r="BG303" s="12">
        <v>0.01</v>
      </c>
      <c r="BH303" s="12">
        <v>0.02</v>
      </c>
      <c r="BI303" s="12">
        <v>0.03</v>
      </c>
      <c r="BJ303" s="12">
        <v>0.03</v>
      </c>
      <c r="BK303" s="12"/>
      <c r="CC303" s="3" t="str">
        <f>IF(B303&lt;&gt;"",CONCATENATE(SUBSTITUTE(B303," ","-"),".jpg"),"")</f>
        <v>Allied-Moulded-AM1868.jpg</v>
      </c>
      <c r="CD303" s="16" t="s">
        <v>111</v>
      </c>
      <c r="CE303" s="3"/>
      <c r="CF303" s="3"/>
      <c r="CG303" s="3" t="s">
        <v>112</v>
      </c>
      <c r="CI303" s="3" t="s">
        <v>97</v>
      </c>
      <c r="CJ303" s="16" t="s">
        <v>348</v>
      </c>
      <c r="CK303" s="3" t="s">
        <v>114</v>
      </c>
      <c r="CL303" s="3" t="s">
        <v>115</v>
      </c>
      <c r="CN303" s="16" t="s">
        <v>349</v>
      </c>
      <c r="CO303" s="16" t="s">
        <v>350</v>
      </c>
      <c r="CP303" s="3" t="s">
        <v>139</v>
      </c>
      <c r="CQ303" s="3" t="s">
        <v>120</v>
      </c>
      <c r="CR303" s="3" t="s">
        <v>140</v>
      </c>
      <c r="CS303" s="3" t="s">
        <v>384</v>
      </c>
      <c r="CT303" s="16" t="s">
        <v>1814</v>
      </c>
      <c r="CU303" s="16" t="s">
        <v>242</v>
      </c>
      <c r="CV303" s="16" t="s">
        <v>385</v>
      </c>
    </row>
    <row r="304" spans="1:100" ht="15" customHeight="1">
      <c r="A304" t="s">
        <v>2025</v>
      </c>
      <c r="B304" s="3" t="s">
        <v>2026</v>
      </c>
      <c r="C304" s="16" t="s">
        <v>97</v>
      </c>
      <c r="D304" s="40" t="s">
        <v>2027</v>
      </c>
      <c r="E304" s="16" t="s">
        <v>97</v>
      </c>
      <c r="F304" s="131" t="s">
        <v>2028</v>
      </c>
      <c r="I304" s="100" t="s">
        <v>342</v>
      </c>
      <c r="J304" s="16" t="s">
        <v>101</v>
      </c>
      <c r="K304" s="16"/>
      <c r="L304" s="3" t="s">
        <v>102</v>
      </c>
      <c r="M304" s="3" t="s">
        <v>103</v>
      </c>
      <c r="N304" s="3" t="s">
        <v>104</v>
      </c>
      <c r="O304" s="16" t="s">
        <v>105</v>
      </c>
      <c r="P304" s="3" t="s">
        <v>2029</v>
      </c>
      <c r="Q304" s="3" t="s">
        <v>2029</v>
      </c>
      <c r="R304" s="3" t="s">
        <v>2029</v>
      </c>
      <c r="S304" t="s">
        <v>2025</v>
      </c>
      <c r="T304" s="130" t="s">
        <v>465</v>
      </c>
      <c r="U304" s="35">
        <v>16</v>
      </c>
      <c r="V304" s="40"/>
      <c r="W304" s="40"/>
      <c r="X304" s="59" t="s">
        <v>108</v>
      </c>
      <c r="Y304" s="93">
        <f>IF(AD304=0, 0, IF(OR(H304="", H304&lt;&gt;0), 1, 0))</f>
        <v>1</v>
      </c>
      <c r="Z304" s="3">
        <v>0</v>
      </c>
      <c r="AA304" s="3" t="s">
        <v>2030</v>
      </c>
      <c r="AD304" s="6">
        <f>ROUND((AG304*(1+AJ304)),2)</f>
        <v>244.17</v>
      </c>
      <c r="AE304" s="69">
        <v>278.2585067</v>
      </c>
      <c r="AF304" s="17">
        <f>(AE304*1)</f>
        <v>278.2585067</v>
      </c>
      <c r="AG304" s="6">
        <f>ROUND((AE304*AI304),2)</f>
        <v>180.87</v>
      </c>
      <c r="AH304" s="30" t="s">
        <v>110</v>
      </c>
      <c r="AI304" s="3">
        <v>0.65</v>
      </c>
      <c r="AJ304" s="18">
        <v>0.35</v>
      </c>
      <c r="AK304" s="6">
        <f>ROUND((AD304-(AD304*BG304)),2)</f>
        <v>241.73</v>
      </c>
      <c r="AL304" s="6">
        <f>ROUND((AD304-(AD304*BH304)),2)</f>
        <v>239.29</v>
      </c>
      <c r="AM304" s="6">
        <f>ROUND((AD304-(AD304*BI304)),2)</f>
        <v>236.84</v>
      </c>
      <c r="AN304" s="6">
        <f>ROUND((AD304-(AD304*BJ304)),2)</f>
        <v>236.84</v>
      </c>
      <c r="AO304" s="6">
        <f>ROUND((AD304-(AD304*BK304)),2)</f>
        <v>244.17</v>
      </c>
      <c r="BG304" s="12">
        <v>0.01</v>
      </c>
      <c r="BH304" s="12">
        <v>0.02</v>
      </c>
      <c r="BI304" s="12">
        <v>0.03</v>
      </c>
      <c r="BJ304" s="12">
        <v>0.03</v>
      </c>
      <c r="CC304" s="3" t="str">
        <f>IF(B304&lt;&gt;"",CONCATENATE(SUBSTITUTE(B304," ","-"),".jpg"),"")</f>
        <v>Allied-Moulded-AMU1860.jpg</v>
      </c>
      <c r="CD304" s="16" t="s">
        <v>111</v>
      </c>
      <c r="CE304" s="3"/>
      <c r="CF304" s="3"/>
      <c r="CG304" s="3" t="s">
        <v>112</v>
      </c>
      <c r="CI304" s="3" t="s">
        <v>97</v>
      </c>
      <c r="CJ304" s="3" t="s">
        <v>467</v>
      </c>
      <c r="CK304" s="3" t="s">
        <v>114</v>
      </c>
      <c r="CL304" s="3" t="s">
        <v>115</v>
      </c>
      <c r="CM304" s="16"/>
      <c r="CN304" s="16" t="s">
        <v>349</v>
      </c>
      <c r="CO304" s="3" t="s">
        <v>118</v>
      </c>
      <c r="CP304" s="3" t="s">
        <v>139</v>
      </c>
      <c r="CQ304" s="3" t="s">
        <v>120</v>
      </c>
      <c r="CR304" s="3" t="s">
        <v>140</v>
      </c>
      <c r="CS304" s="3" t="s">
        <v>384</v>
      </c>
      <c r="CT304" s="16" t="s">
        <v>1814</v>
      </c>
      <c r="CU304" s="16" t="s">
        <v>242</v>
      </c>
      <c r="CV304" s="3" t="s">
        <v>167</v>
      </c>
    </row>
    <row r="305" spans="1:100" ht="15" customHeight="1">
      <c r="A305" t="s">
        <v>2031</v>
      </c>
      <c r="B305" s="3" t="s">
        <v>2032</v>
      </c>
      <c r="C305" s="16" t="s">
        <v>97</v>
      </c>
      <c r="D305" s="111" t="s">
        <v>2033</v>
      </c>
      <c r="E305" s="16" t="s">
        <v>97</v>
      </c>
      <c r="F305" s="131" t="s">
        <v>2034</v>
      </c>
      <c r="I305" s="100" t="s">
        <v>342</v>
      </c>
      <c r="J305" s="16" t="s">
        <v>101</v>
      </c>
      <c r="K305" s="16"/>
      <c r="L305" s="3" t="s">
        <v>102</v>
      </c>
      <c r="M305" s="3" t="s">
        <v>103</v>
      </c>
      <c r="N305" s="3" t="s">
        <v>104</v>
      </c>
      <c r="O305" s="16" t="s">
        <v>105</v>
      </c>
      <c r="P305" s="3" t="s">
        <v>2035</v>
      </c>
      <c r="Q305" s="3" t="s">
        <v>2035</v>
      </c>
      <c r="R305" s="3" t="s">
        <v>2035</v>
      </c>
      <c r="S305" t="s">
        <v>2031</v>
      </c>
      <c r="T305" s="130" t="s">
        <v>465</v>
      </c>
      <c r="U305" s="111">
        <v>16</v>
      </c>
      <c r="V305" s="39"/>
      <c r="W305" s="39"/>
      <c r="X305" s="59" t="s">
        <v>108</v>
      </c>
      <c r="Y305" s="93">
        <f>IF(AD305=0, 0, IF(OR(H305="", H305&lt;&gt;0), 1, 0))</f>
        <v>1</v>
      </c>
      <c r="Z305" s="3">
        <v>0</v>
      </c>
      <c r="AA305" s="3" t="s">
        <v>2036</v>
      </c>
      <c r="AD305" s="6">
        <f>ROUND((AG305*(1+AJ305)),2)</f>
        <v>250.92</v>
      </c>
      <c r="AE305" s="75">
        <v>285.94831572000004</v>
      </c>
      <c r="AF305" s="17">
        <f>(AE305*1)</f>
        <v>285.94831572000004</v>
      </c>
      <c r="AG305" s="6">
        <f>ROUND((AE305*AI305),2)</f>
        <v>185.87</v>
      </c>
      <c r="AH305" s="30" t="s">
        <v>110</v>
      </c>
      <c r="AI305" s="3">
        <v>0.65</v>
      </c>
      <c r="AJ305" s="18">
        <v>0.35</v>
      </c>
      <c r="AK305" s="6">
        <f>ROUND((AD305-(AD305*BG305)),2)</f>
        <v>248.41</v>
      </c>
      <c r="AL305" s="6">
        <f>ROUND((AD305-(AD305*BH305)),2)</f>
        <v>245.9</v>
      </c>
      <c r="AM305" s="6">
        <f>ROUND((AD305-(AD305*BI305)),2)</f>
        <v>243.39</v>
      </c>
      <c r="AN305" s="6">
        <f>ROUND((AD305-(AD305*BJ305)),2)</f>
        <v>243.39</v>
      </c>
      <c r="AO305" s="6">
        <f>ROUND((AD305-(AD305*BK305)),2)</f>
        <v>250.92</v>
      </c>
      <c r="BG305" s="12">
        <v>0.01</v>
      </c>
      <c r="BH305" s="12">
        <v>0.02</v>
      </c>
      <c r="BI305" s="12">
        <v>0.03</v>
      </c>
      <c r="BJ305" s="12">
        <v>0.03</v>
      </c>
      <c r="CC305" s="3" t="str">
        <f>IF(B305&lt;&gt;"",CONCATENATE(SUBSTITUTE(B305," ","-"),".jpg"),"")</f>
        <v>Allied-Moulded-AMU1860F.jpg</v>
      </c>
      <c r="CD305" s="16" t="s">
        <v>111</v>
      </c>
      <c r="CE305" s="3"/>
      <c r="CF305" s="3"/>
      <c r="CG305" s="3" t="s">
        <v>112</v>
      </c>
      <c r="CI305" s="3" t="s">
        <v>97</v>
      </c>
      <c r="CJ305" s="3" t="s">
        <v>467</v>
      </c>
      <c r="CK305" s="3" t="s">
        <v>114</v>
      </c>
      <c r="CL305" s="3" t="s">
        <v>115</v>
      </c>
      <c r="CM305" s="16"/>
      <c r="CN305" s="16" t="s">
        <v>349</v>
      </c>
      <c r="CO305" s="3" t="s">
        <v>118</v>
      </c>
      <c r="CP305" s="3" t="s">
        <v>139</v>
      </c>
      <c r="CQ305" s="3" t="s">
        <v>120</v>
      </c>
      <c r="CR305" s="3" t="s">
        <v>140</v>
      </c>
      <c r="CS305" s="3" t="s">
        <v>384</v>
      </c>
      <c r="CT305" s="16" t="s">
        <v>1814</v>
      </c>
      <c r="CU305" s="16" t="s">
        <v>242</v>
      </c>
      <c r="CV305" s="3" t="s">
        <v>167</v>
      </c>
    </row>
    <row r="306" spans="1:100" ht="15" customHeight="1">
      <c r="A306" t="s">
        <v>2037</v>
      </c>
      <c r="B306" s="3" t="s">
        <v>2038</v>
      </c>
      <c r="C306" s="16" t="s">
        <v>97</v>
      </c>
      <c r="D306" s="41" t="s">
        <v>2039</v>
      </c>
      <c r="E306" s="16" t="s">
        <v>97</v>
      </c>
      <c r="F306" s="131" t="s">
        <v>2040</v>
      </c>
      <c r="I306" s="100" t="s">
        <v>342</v>
      </c>
      <c r="J306" s="16" t="s">
        <v>101</v>
      </c>
      <c r="K306" s="16"/>
      <c r="L306" s="3" t="s">
        <v>102</v>
      </c>
      <c r="M306" s="3" t="s">
        <v>103</v>
      </c>
      <c r="N306" s="3" t="s">
        <v>104</v>
      </c>
      <c r="O306" s="16" t="s">
        <v>105</v>
      </c>
      <c r="P306" s="3" t="s">
        <v>2041</v>
      </c>
      <c r="Q306" s="3" t="s">
        <v>2041</v>
      </c>
      <c r="R306" s="3" t="s">
        <v>2041</v>
      </c>
      <c r="S306" t="s">
        <v>2037</v>
      </c>
      <c r="T306" s="130" t="s">
        <v>465</v>
      </c>
      <c r="U306" s="36">
        <v>16</v>
      </c>
      <c r="V306" s="39"/>
      <c r="W306" s="39"/>
      <c r="X306" s="59" t="s">
        <v>108</v>
      </c>
      <c r="Y306" s="93">
        <f>IF(AD306=0, 0, IF(OR(H306="", H306&lt;&gt;0), 1, 0))</f>
        <v>1</v>
      </c>
      <c r="Z306" s="3">
        <v>0</v>
      </c>
      <c r="AA306" s="3" t="s">
        <v>2042</v>
      </c>
      <c r="AD306" s="6">
        <f>ROUND((AG306*(1+AJ306)),2)</f>
        <v>258.89999999999998</v>
      </c>
      <c r="AE306" s="68">
        <v>295.04587209000005</v>
      </c>
      <c r="AF306" s="17">
        <f>(AE306*1)</f>
        <v>295.04587209000005</v>
      </c>
      <c r="AG306" s="6">
        <f>ROUND((AE306*AI306),2)</f>
        <v>191.78</v>
      </c>
      <c r="AH306" s="30" t="s">
        <v>110</v>
      </c>
      <c r="AI306" s="3">
        <v>0.65</v>
      </c>
      <c r="AJ306" s="18">
        <v>0.35</v>
      </c>
      <c r="AK306" s="6">
        <f>ROUND((AD306-(AD306*BG306)),2)</f>
        <v>256.31</v>
      </c>
      <c r="AL306" s="6">
        <f>ROUND((AD306-(AD306*BH306)),2)</f>
        <v>253.72</v>
      </c>
      <c r="AM306" s="6">
        <f>ROUND((AD306-(AD306*BI306)),2)</f>
        <v>251.13</v>
      </c>
      <c r="AN306" s="6">
        <f>ROUND((AD306-(AD306*BJ306)),2)</f>
        <v>251.13</v>
      </c>
      <c r="AO306" s="6">
        <f>ROUND((AD306-(AD306*BK306)),2)</f>
        <v>258.89999999999998</v>
      </c>
      <c r="BG306" s="12">
        <v>0.01</v>
      </c>
      <c r="BH306" s="12">
        <v>0.02</v>
      </c>
      <c r="BI306" s="12">
        <v>0.03</v>
      </c>
      <c r="BJ306" s="12">
        <v>0.03</v>
      </c>
      <c r="CC306" s="3" t="str">
        <f>IF(B306&lt;&gt;"",CONCATENATE(SUBSTITUTE(B306," ","-"),".jpg"),"")</f>
        <v>Allied-Moulded-AMU1860NL.jpg</v>
      </c>
      <c r="CD306" s="16" t="s">
        <v>111</v>
      </c>
      <c r="CE306" s="3"/>
      <c r="CF306" s="3"/>
      <c r="CG306" s="3" t="s">
        <v>112</v>
      </c>
      <c r="CI306" s="3" t="s">
        <v>97</v>
      </c>
      <c r="CJ306" s="3" t="s">
        <v>467</v>
      </c>
      <c r="CK306" s="3" t="s">
        <v>114</v>
      </c>
      <c r="CL306" s="3" t="s">
        <v>115</v>
      </c>
      <c r="CM306" s="3" t="s">
        <v>116</v>
      </c>
      <c r="CN306" t="s">
        <v>117</v>
      </c>
      <c r="CO306" s="3" t="s">
        <v>118</v>
      </c>
      <c r="CP306" s="3" t="s">
        <v>139</v>
      </c>
      <c r="CQ306" s="3" t="s">
        <v>120</v>
      </c>
      <c r="CR306" s="3" t="s">
        <v>140</v>
      </c>
      <c r="CS306" s="16" t="s">
        <v>122</v>
      </c>
      <c r="CT306" s="16" t="s">
        <v>1814</v>
      </c>
      <c r="CU306" s="16" t="s">
        <v>242</v>
      </c>
      <c r="CV306" s="3" t="s">
        <v>167</v>
      </c>
    </row>
    <row r="307" spans="1:100" ht="15" customHeight="1">
      <c r="A307" t="s">
        <v>2043</v>
      </c>
      <c r="B307" s="3" t="s">
        <v>2044</v>
      </c>
      <c r="C307" s="16" t="s">
        <v>97</v>
      </c>
      <c r="D307" s="40" t="s">
        <v>2045</v>
      </c>
      <c r="E307" s="16" t="s">
        <v>97</v>
      </c>
      <c r="F307" s="131" t="s">
        <v>2046</v>
      </c>
      <c r="I307" s="100" t="s">
        <v>342</v>
      </c>
      <c r="J307" s="16" t="s">
        <v>101</v>
      </c>
      <c r="K307" s="16"/>
      <c r="L307" s="3" t="s">
        <v>102</v>
      </c>
      <c r="M307" s="3" t="s">
        <v>103</v>
      </c>
      <c r="N307" s="3" t="s">
        <v>104</v>
      </c>
      <c r="O307" s="16" t="s">
        <v>105</v>
      </c>
      <c r="P307" s="3" t="s">
        <v>2047</v>
      </c>
      <c r="Q307" s="3" t="s">
        <v>2047</v>
      </c>
      <c r="R307" s="3" t="s">
        <v>2047</v>
      </c>
      <c r="S307" t="s">
        <v>2043</v>
      </c>
      <c r="T307" s="130" t="s">
        <v>465</v>
      </c>
      <c r="U307" s="35">
        <v>16</v>
      </c>
      <c r="V307" s="40"/>
      <c r="W307" s="40"/>
      <c r="X307" s="59" t="s">
        <v>108</v>
      </c>
      <c r="Y307" s="93">
        <f>IF(AD307=0, 0, IF(OR(H307="", H307&lt;&gt;0), 1, 0))</f>
        <v>1</v>
      </c>
      <c r="Z307" s="3">
        <v>0</v>
      </c>
      <c r="AA307" s="3" t="s">
        <v>2048</v>
      </c>
      <c r="AD307" s="6">
        <f>ROUND((AG307*(1+AJ307)),2)</f>
        <v>279.99</v>
      </c>
      <c r="AE307" s="69">
        <v>319.08312629</v>
      </c>
      <c r="AF307" s="17">
        <f>(AE307*1)</f>
        <v>319.08312629</v>
      </c>
      <c r="AG307" s="6">
        <f>ROUND((AE307*AI307),2)</f>
        <v>207.4</v>
      </c>
      <c r="AH307" s="30" t="s">
        <v>110</v>
      </c>
      <c r="AI307" s="3">
        <v>0.65</v>
      </c>
      <c r="AJ307" s="18">
        <v>0.35</v>
      </c>
      <c r="AK307" s="6">
        <f>ROUND((AD307-(AD307*BG307)),2)</f>
        <v>277.19</v>
      </c>
      <c r="AL307" s="6">
        <f>ROUND((AD307-(AD307*BH307)),2)</f>
        <v>274.39</v>
      </c>
      <c r="AM307" s="6">
        <f>ROUND((AD307-(AD307*BI307)),2)</f>
        <v>271.58999999999997</v>
      </c>
      <c r="AN307" s="6">
        <f>ROUND((AD307-(AD307*BJ307)),2)</f>
        <v>271.58999999999997</v>
      </c>
      <c r="AO307" s="6">
        <f>ROUND((AD307-(AD307*BK307)),2)</f>
        <v>279.99</v>
      </c>
      <c r="BG307" s="12">
        <v>0.01</v>
      </c>
      <c r="BH307" s="12">
        <v>0.02</v>
      </c>
      <c r="BI307" s="12">
        <v>0.03</v>
      </c>
      <c r="BJ307" s="12">
        <v>0.03</v>
      </c>
      <c r="CC307" s="3" t="str">
        <f>IF(B307&lt;&gt;"",CONCATENATE(SUBSTITUTE(B307," ","-"),".jpg"),"")</f>
        <v>Allied-Moulded-AMU1860NLF.jpg</v>
      </c>
      <c r="CD307" s="16" t="s">
        <v>111</v>
      </c>
      <c r="CE307" s="3"/>
      <c r="CF307" s="3"/>
      <c r="CG307" s="3" t="s">
        <v>112</v>
      </c>
      <c r="CI307" s="3" t="s">
        <v>97</v>
      </c>
      <c r="CJ307" s="3" t="s">
        <v>467</v>
      </c>
      <c r="CK307" s="3" t="s">
        <v>114</v>
      </c>
      <c r="CL307" s="3" t="s">
        <v>115</v>
      </c>
      <c r="CM307" s="3" t="s">
        <v>116</v>
      </c>
      <c r="CN307" t="s">
        <v>117</v>
      </c>
      <c r="CO307" s="3" t="s">
        <v>118</v>
      </c>
      <c r="CP307" s="3" t="s">
        <v>139</v>
      </c>
      <c r="CQ307" s="3" t="s">
        <v>120</v>
      </c>
      <c r="CR307" s="3" t="s">
        <v>140</v>
      </c>
      <c r="CS307" s="16" t="s">
        <v>122</v>
      </c>
      <c r="CT307" s="16" t="s">
        <v>1814</v>
      </c>
      <c r="CU307" s="16" t="s">
        <v>242</v>
      </c>
      <c r="CV307" s="3" t="s">
        <v>167</v>
      </c>
    </row>
    <row r="308" spans="1:100" ht="15" customHeight="1">
      <c r="A308" t="s">
        <v>2049</v>
      </c>
      <c r="B308" s="3" t="s">
        <v>2050</v>
      </c>
      <c r="C308" s="16" t="s">
        <v>97</v>
      </c>
      <c r="D308" s="39" t="s">
        <v>2051</v>
      </c>
      <c r="E308" s="16" t="s">
        <v>97</v>
      </c>
      <c r="F308" s="131" t="s">
        <v>2052</v>
      </c>
      <c r="I308" s="100" t="s">
        <v>342</v>
      </c>
      <c r="J308" s="16" t="s">
        <v>101</v>
      </c>
      <c r="K308" s="16"/>
      <c r="L308" s="3" t="s">
        <v>102</v>
      </c>
      <c r="M308" s="3" t="s">
        <v>103</v>
      </c>
      <c r="N308" s="3" t="s">
        <v>104</v>
      </c>
      <c r="O308" s="16" t="s">
        <v>478</v>
      </c>
      <c r="P308" s="3" t="s">
        <v>2053</v>
      </c>
      <c r="Q308" s="3" t="s">
        <v>2053</v>
      </c>
      <c r="R308" s="3" t="s">
        <v>2053</v>
      </c>
      <c r="S308" t="s">
        <v>2049</v>
      </c>
      <c r="T308" s="130" t="s">
        <v>465</v>
      </c>
      <c r="U308" s="34">
        <v>12</v>
      </c>
      <c r="V308" s="39"/>
      <c r="W308" s="39"/>
      <c r="X308" s="59" t="s">
        <v>108</v>
      </c>
      <c r="Y308" s="93">
        <f>IF(AD308=0, 0, IF(OR(H308="", H308&lt;&gt;0), 1, 0))</f>
        <v>1</v>
      </c>
      <c r="Z308" s="3">
        <v>0</v>
      </c>
      <c r="AA308" s="3" t="s">
        <v>2054</v>
      </c>
      <c r="AD308" s="6">
        <f>ROUND((AG308*(1+AJ308)),2)</f>
        <v>151.27000000000001</v>
      </c>
      <c r="AE308" s="69">
        <v>172.38564944999999</v>
      </c>
      <c r="AF308" s="17">
        <f>(AE308*1)</f>
        <v>172.38564944999999</v>
      </c>
      <c r="AG308" s="6">
        <f>ROUND((AE308*AI308),2)</f>
        <v>112.05</v>
      </c>
      <c r="AH308" s="30" t="s">
        <v>110</v>
      </c>
      <c r="AI308" s="3">
        <v>0.65</v>
      </c>
      <c r="AJ308" s="18">
        <v>0.35</v>
      </c>
      <c r="AK308" s="6">
        <f>ROUND((AD308-(AD308*BG308)),2)</f>
        <v>149.76</v>
      </c>
      <c r="AL308" s="6">
        <f>ROUND((AD308-(AD308*BH308)),2)</f>
        <v>148.24</v>
      </c>
      <c r="AM308" s="6">
        <f>ROUND((AD308-(AD308*BI308)),2)</f>
        <v>146.72999999999999</v>
      </c>
      <c r="AN308" s="6">
        <f>ROUND((AD308-(AD308*BJ308)),2)</f>
        <v>146.72999999999999</v>
      </c>
      <c r="AO308" s="6">
        <f>ROUND((AD308-(AD308*BK308)),2)</f>
        <v>151.27000000000001</v>
      </c>
      <c r="BG308" s="12">
        <v>0.01</v>
      </c>
      <c r="BH308" s="12">
        <v>0.02</v>
      </c>
      <c r="BI308" s="12">
        <v>0.03</v>
      </c>
      <c r="BJ308" s="12">
        <v>0.03</v>
      </c>
      <c r="CC308" s="3" t="str">
        <f>IF(B308&lt;&gt;"",CONCATENATE(SUBSTITUTE(B308," ","-"),".jpg"),"")</f>
        <v>Allied-Moulded-AMP1860CC.jpg</v>
      </c>
      <c r="CD308" s="16" t="s">
        <v>111</v>
      </c>
      <c r="CE308" s="3"/>
      <c r="CF308" s="3"/>
      <c r="CG308" s="3" t="s">
        <v>112</v>
      </c>
      <c r="CI308" s="3" t="s">
        <v>97</v>
      </c>
      <c r="CJ308" s="3" t="s">
        <v>481</v>
      </c>
      <c r="CK308" s="3" t="s">
        <v>114</v>
      </c>
      <c r="CL308" s="3" t="s">
        <v>115</v>
      </c>
      <c r="CM308" s="16"/>
      <c r="CN308" s="16" t="s">
        <v>349</v>
      </c>
      <c r="CO308" s="3" t="s">
        <v>482</v>
      </c>
      <c r="CP308" s="3" t="s">
        <v>139</v>
      </c>
      <c r="CQ308" s="3" t="s">
        <v>120</v>
      </c>
      <c r="CR308" s="16" t="s">
        <v>121</v>
      </c>
      <c r="CS308" s="3" t="s">
        <v>384</v>
      </c>
      <c r="CT308" s="16" t="s">
        <v>1814</v>
      </c>
      <c r="CU308" s="16" t="s">
        <v>242</v>
      </c>
      <c r="CV308" s="3" t="s">
        <v>167</v>
      </c>
    </row>
    <row r="309" spans="1:100" ht="15" customHeight="1">
      <c r="A309" t="s">
        <v>2055</v>
      </c>
      <c r="B309" s="3" t="s">
        <v>2056</v>
      </c>
      <c r="C309" s="16" t="s">
        <v>97</v>
      </c>
      <c r="D309" s="40" t="s">
        <v>2057</v>
      </c>
      <c r="E309" s="16" t="s">
        <v>97</v>
      </c>
      <c r="F309" s="131" t="s">
        <v>2058</v>
      </c>
      <c r="I309" s="100" t="s">
        <v>342</v>
      </c>
      <c r="J309" s="16" t="s">
        <v>101</v>
      </c>
      <c r="K309" s="16"/>
      <c r="L309" s="3" t="s">
        <v>102</v>
      </c>
      <c r="M309" s="3" t="s">
        <v>103</v>
      </c>
      <c r="N309" s="3" t="s">
        <v>104</v>
      </c>
      <c r="O309" s="16" t="s">
        <v>478</v>
      </c>
      <c r="P309" s="3" t="s">
        <v>2059</v>
      </c>
      <c r="Q309" s="3" t="s">
        <v>2059</v>
      </c>
      <c r="R309" s="3" t="s">
        <v>2059</v>
      </c>
      <c r="S309" t="s">
        <v>2055</v>
      </c>
      <c r="T309" s="130" t="s">
        <v>465</v>
      </c>
      <c r="U309" s="35">
        <v>12</v>
      </c>
      <c r="V309" s="40"/>
      <c r="W309" s="40"/>
      <c r="X309" s="59" t="s">
        <v>108</v>
      </c>
      <c r="Y309" s="93">
        <f>IF(AD309=0, 0, IF(OR(H309="", H309&lt;&gt;0), 1, 0))</f>
        <v>1</v>
      </c>
      <c r="Z309" s="3">
        <v>0</v>
      </c>
      <c r="AA309" s="3" t="s">
        <v>2060</v>
      </c>
      <c r="AD309" s="6">
        <f>ROUND((AG309*(1+AJ309)),2)</f>
        <v>158.84</v>
      </c>
      <c r="AE309" s="69">
        <v>181.00810874999999</v>
      </c>
      <c r="AF309" s="17">
        <f>(AE309*1)</f>
        <v>181.00810874999999</v>
      </c>
      <c r="AG309" s="6">
        <f>ROUND((AE309*AI309),2)</f>
        <v>117.66</v>
      </c>
      <c r="AH309" s="30" t="s">
        <v>110</v>
      </c>
      <c r="AI309" s="3">
        <v>0.65</v>
      </c>
      <c r="AJ309" s="18">
        <v>0.35</v>
      </c>
      <c r="AK309" s="6">
        <f>ROUND((AD309-(AD309*BG309)),2)</f>
        <v>157.25</v>
      </c>
      <c r="AL309" s="6">
        <f>ROUND((AD309-(AD309*BH309)),2)</f>
        <v>155.66</v>
      </c>
      <c r="AM309" s="6">
        <f>ROUND((AD309-(AD309*BI309)),2)</f>
        <v>154.07</v>
      </c>
      <c r="AN309" s="6">
        <f>ROUND((AD309-(AD309*BJ309)),2)</f>
        <v>154.07</v>
      </c>
      <c r="AO309" s="6">
        <f>ROUND((AD309-(AD309*BK309)),2)</f>
        <v>158.84</v>
      </c>
      <c r="BG309" s="12">
        <v>0.01</v>
      </c>
      <c r="BH309" s="12">
        <v>0.02</v>
      </c>
      <c r="BI309" s="12">
        <v>0.03</v>
      </c>
      <c r="BJ309" s="12">
        <v>0.03</v>
      </c>
      <c r="CC309" s="3" t="str">
        <f>IF(B309&lt;&gt;"",CONCATENATE(SUBSTITUTE(B309," ","-"),".jpg"),"")</f>
        <v>Allied-Moulded-AMP1860CCF.jpg</v>
      </c>
      <c r="CD309" s="16" t="s">
        <v>111</v>
      </c>
      <c r="CE309" s="3"/>
      <c r="CF309" s="3"/>
      <c r="CG309" s="3" t="s">
        <v>112</v>
      </c>
      <c r="CI309" s="3" t="s">
        <v>97</v>
      </c>
      <c r="CJ309" s="3" t="s">
        <v>481</v>
      </c>
      <c r="CK309" s="3" t="s">
        <v>114</v>
      </c>
      <c r="CL309" s="3" t="s">
        <v>115</v>
      </c>
      <c r="CM309" s="16"/>
      <c r="CN309" s="16" t="s">
        <v>349</v>
      </c>
      <c r="CO309" s="3" t="s">
        <v>482</v>
      </c>
      <c r="CP309" s="3" t="s">
        <v>139</v>
      </c>
      <c r="CQ309" s="3" t="s">
        <v>120</v>
      </c>
      <c r="CR309" s="16" t="s">
        <v>121</v>
      </c>
      <c r="CS309" s="3" t="s">
        <v>384</v>
      </c>
      <c r="CT309" s="16" t="s">
        <v>1814</v>
      </c>
      <c r="CU309" s="16" t="s">
        <v>242</v>
      </c>
      <c r="CV309" s="3" t="s">
        <v>167</v>
      </c>
    </row>
    <row r="310" spans="1:100" ht="15" customHeight="1">
      <c r="A310" t="s">
        <v>2061</v>
      </c>
      <c r="B310" s="3" t="s">
        <v>2062</v>
      </c>
      <c r="C310" s="16" t="s">
        <v>97</v>
      </c>
      <c r="D310" s="40" t="s">
        <v>2063</v>
      </c>
      <c r="E310" s="16" t="s">
        <v>97</v>
      </c>
      <c r="F310" s="131" t="s">
        <v>2064</v>
      </c>
      <c r="I310" s="100" t="s">
        <v>342</v>
      </c>
      <c r="J310" s="16" t="s">
        <v>101</v>
      </c>
      <c r="K310" s="16"/>
      <c r="L310" s="3" t="s">
        <v>102</v>
      </c>
      <c r="M310" s="3" t="s">
        <v>103</v>
      </c>
      <c r="N310" s="3" t="s">
        <v>104</v>
      </c>
      <c r="O310" s="16" t="s">
        <v>478</v>
      </c>
      <c r="P310" s="3" t="s">
        <v>2065</v>
      </c>
      <c r="Q310" s="3" t="s">
        <v>2065</v>
      </c>
      <c r="R310" s="3" t="s">
        <v>2065</v>
      </c>
      <c r="S310" t="s">
        <v>2061</v>
      </c>
      <c r="T310" s="130" t="s">
        <v>465</v>
      </c>
      <c r="U310" s="35">
        <v>12</v>
      </c>
      <c r="V310" s="40"/>
      <c r="W310" s="40"/>
      <c r="X310" s="59" t="s">
        <v>108</v>
      </c>
      <c r="Y310" s="93">
        <f>IF(AD310=0, 0, IF(OR(H310="", H310&lt;&gt;0), 1, 0))</f>
        <v>1</v>
      </c>
      <c r="Z310" s="3">
        <v>0</v>
      </c>
      <c r="AA310" s="3" t="s">
        <v>2066</v>
      </c>
      <c r="AD310" s="6">
        <f>ROUND((AG310*(1+AJ310)),2)</f>
        <v>154.91</v>
      </c>
      <c r="AE310" s="69">
        <v>176.54602665000002</v>
      </c>
      <c r="AF310" s="17">
        <f>(AE310*1)</f>
        <v>176.54602665000002</v>
      </c>
      <c r="AG310" s="6">
        <f>ROUND((AE310*AI310),2)</f>
        <v>114.75</v>
      </c>
      <c r="AH310" s="30" t="s">
        <v>110</v>
      </c>
      <c r="AI310" s="3">
        <v>0.65</v>
      </c>
      <c r="AJ310" s="18">
        <v>0.35</v>
      </c>
      <c r="AK310" s="6">
        <f>ROUND((AD310-(AD310*BG310)),2)</f>
        <v>153.36000000000001</v>
      </c>
      <c r="AL310" s="6">
        <f>ROUND((AD310-(AD310*BH310)),2)</f>
        <v>151.81</v>
      </c>
      <c r="AM310" s="6">
        <f>ROUND((AD310-(AD310*BI310)),2)</f>
        <v>150.26</v>
      </c>
      <c r="AN310" s="6">
        <f>ROUND((AD310-(AD310*BJ310)),2)</f>
        <v>150.26</v>
      </c>
      <c r="AO310" s="6">
        <f>ROUND((AD310-(AD310*BK310)),2)</f>
        <v>154.91</v>
      </c>
      <c r="BG310" s="12">
        <v>0.01</v>
      </c>
      <c r="BH310" s="12">
        <v>0.02</v>
      </c>
      <c r="BI310" s="12">
        <v>0.03</v>
      </c>
      <c r="BJ310" s="12">
        <v>0.03</v>
      </c>
      <c r="CC310" s="3" t="str">
        <f>IF(B310&lt;&gt;"",CONCATENATE(SUBSTITUTE(B310," ","-"),".jpg"),"")</f>
        <v>Allied-Moulded-AMP1860CCH.jpg</v>
      </c>
      <c r="CD310" s="16" t="s">
        <v>111</v>
      </c>
      <c r="CE310" s="3"/>
      <c r="CF310" s="3"/>
      <c r="CG310" s="3" t="s">
        <v>112</v>
      </c>
      <c r="CI310" s="3" t="s">
        <v>97</v>
      </c>
      <c r="CJ310" s="3" t="s">
        <v>481</v>
      </c>
      <c r="CK310" s="3" t="s">
        <v>114</v>
      </c>
      <c r="CL310" s="3" t="s">
        <v>115</v>
      </c>
      <c r="CM310" s="3" t="s">
        <v>116</v>
      </c>
      <c r="CN310" s="16" t="s">
        <v>349</v>
      </c>
      <c r="CO310" s="3" t="s">
        <v>482</v>
      </c>
      <c r="CP310" s="3" t="s">
        <v>139</v>
      </c>
      <c r="CQ310" s="3" t="s">
        <v>120</v>
      </c>
      <c r="CR310" s="16" t="s">
        <v>121</v>
      </c>
      <c r="CS310" s="3" t="s">
        <v>384</v>
      </c>
      <c r="CT310" s="16" t="s">
        <v>1814</v>
      </c>
      <c r="CU310" s="16" t="s">
        <v>242</v>
      </c>
      <c r="CV310" s="3" t="s">
        <v>167</v>
      </c>
    </row>
    <row r="311" spans="1:100" ht="15" customHeight="1">
      <c r="A311" t="s">
        <v>2067</v>
      </c>
      <c r="B311" s="3" t="s">
        <v>2068</v>
      </c>
      <c r="C311" s="16" t="s">
        <v>97</v>
      </c>
      <c r="D311" s="39" t="s">
        <v>2069</v>
      </c>
      <c r="E311" s="16" t="s">
        <v>97</v>
      </c>
      <c r="F311" s="131" t="s">
        <v>2070</v>
      </c>
      <c r="I311" s="100" t="s">
        <v>342</v>
      </c>
      <c r="J311" s="16" t="s">
        <v>101</v>
      </c>
      <c r="K311" s="16"/>
      <c r="L311" s="3" t="s">
        <v>102</v>
      </c>
      <c r="M311" s="3" t="s">
        <v>103</v>
      </c>
      <c r="N311" s="3" t="s">
        <v>104</v>
      </c>
      <c r="O311" s="16" t="s">
        <v>478</v>
      </c>
      <c r="P311" s="3" t="s">
        <v>2071</v>
      </c>
      <c r="Q311" s="3" t="s">
        <v>2071</v>
      </c>
      <c r="R311" s="3" t="s">
        <v>2071</v>
      </c>
      <c r="S311" t="s">
        <v>2067</v>
      </c>
      <c r="T311" s="130" t="s">
        <v>465</v>
      </c>
      <c r="U311" s="34">
        <v>12</v>
      </c>
      <c r="V311" s="39"/>
      <c r="W311" s="39"/>
      <c r="X311" s="59" t="s">
        <v>108</v>
      </c>
      <c r="Y311" s="93">
        <f>IF(AD311=0, 0, IF(OR(H311="", H311&lt;&gt;0), 1, 0))</f>
        <v>1</v>
      </c>
      <c r="Z311" s="3">
        <v>0</v>
      </c>
      <c r="AA311" s="3" t="s">
        <v>2072</v>
      </c>
      <c r="AD311" s="6">
        <f>ROUND((AG311*(1+AJ311)),2)</f>
        <v>162.66</v>
      </c>
      <c r="AE311" s="69">
        <v>185.37491384999998</v>
      </c>
      <c r="AF311" s="17">
        <f>(AE311*1)</f>
        <v>185.37491384999998</v>
      </c>
      <c r="AG311" s="6">
        <f>ROUND((AE311*AI311),2)</f>
        <v>120.49</v>
      </c>
      <c r="AH311" s="30" t="s">
        <v>110</v>
      </c>
      <c r="AI311" s="3">
        <v>0.65</v>
      </c>
      <c r="AJ311" s="18">
        <v>0.35</v>
      </c>
      <c r="AK311" s="6">
        <f>ROUND((AD311-(AD311*BG311)),2)</f>
        <v>161.03</v>
      </c>
      <c r="AL311" s="6">
        <f>ROUND((AD311-(AD311*BH311)),2)</f>
        <v>159.41</v>
      </c>
      <c r="AM311" s="6">
        <f>ROUND((AD311-(AD311*BI311)),2)</f>
        <v>157.78</v>
      </c>
      <c r="AN311" s="6">
        <f>ROUND((AD311-(AD311*BJ311)),2)</f>
        <v>157.78</v>
      </c>
      <c r="AO311" s="6">
        <f>ROUND((AD311-(AD311*BK311)),2)</f>
        <v>162.66</v>
      </c>
      <c r="BG311" s="12">
        <v>0.01</v>
      </c>
      <c r="BH311" s="12">
        <v>0.02</v>
      </c>
      <c r="BI311" s="12">
        <v>0.03</v>
      </c>
      <c r="BJ311" s="12">
        <v>0.03</v>
      </c>
      <c r="CC311" s="3" t="str">
        <f>IF(B311&lt;&gt;"",CONCATENATE(SUBSTITUTE(B311," ","-"),".jpg"),"")</f>
        <v>Allied-Moulded-AMP1860CCHF.jpg</v>
      </c>
      <c r="CD311" s="16" t="s">
        <v>111</v>
      </c>
      <c r="CE311" s="3"/>
      <c r="CF311" s="3"/>
      <c r="CG311" s="3" t="s">
        <v>112</v>
      </c>
      <c r="CI311" s="3" t="s">
        <v>97</v>
      </c>
      <c r="CJ311" s="3" t="s">
        <v>481</v>
      </c>
      <c r="CK311" s="3" t="s">
        <v>114</v>
      </c>
      <c r="CL311" s="3" t="s">
        <v>115</v>
      </c>
      <c r="CM311" s="3" t="s">
        <v>116</v>
      </c>
      <c r="CN311" s="16" t="s">
        <v>349</v>
      </c>
      <c r="CO311" s="3" t="s">
        <v>482</v>
      </c>
      <c r="CP311" s="3" t="s">
        <v>139</v>
      </c>
      <c r="CQ311" s="3" t="s">
        <v>120</v>
      </c>
      <c r="CR311" s="16" t="s">
        <v>121</v>
      </c>
      <c r="CS311" s="3" t="s">
        <v>384</v>
      </c>
      <c r="CT311" s="16" t="s">
        <v>1814</v>
      </c>
      <c r="CU311" s="16" t="s">
        <v>242</v>
      </c>
      <c r="CV311" s="3" t="s">
        <v>167</v>
      </c>
    </row>
    <row r="312" spans="1:100" ht="15" customHeight="1">
      <c r="A312" t="s">
        <v>2073</v>
      </c>
      <c r="B312" s="3" t="s">
        <v>2074</v>
      </c>
      <c r="C312" s="16" t="s">
        <v>97</v>
      </c>
      <c r="D312" s="39" t="s">
        <v>2075</v>
      </c>
      <c r="E312" s="16" t="s">
        <v>97</v>
      </c>
      <c r="F312" s="131" t="s">
        <v>2076</v>
      </c>
      <c r="I312" s="100" t="s">
        <v>342</v>
      </c>
      <c r="J312" s="16" t="s">
        <v>101</v>
      </c>
      <c r="K312" s="16"/>
      <c r="L312" s="3" t="s">
        <v>102</v>
      </c>
      <c r="M312" s="3" t="s">
        <v>103</v>
      </c>
      <c r="N312" s="3" t="s">
        <v>104</v>
      </c>
      <c r="O312" s="16" t="s">
        <v>478</v>
      </c>
      <c r="P312" s="3" t="s">
        <v>2077</v>
      </c>
      <c r="Q312" s="3" t="s">
        <v>2077</v>
      </c>
      <c r="R312" s="3" t="s">
        <v>2077</v>
      </c>
      <c r="S312" t="s">
        <v>2073</v>
      </c>
      <c r="T312" s="130" t="s">
        <v>465</v>
      </c>
      <c r="U312" s="34">
        <v>12</v>
      </c>
      <c r="V312" s="39"/>
      <c r="W312" s="39"/>
      <c r="X312" s="59" t="s">
        <v>108</v>
      </c>
      <c r="Y312" s="93">
        <f>IF(AD312=0, 0, IF(OR(H312="", H312&lt;&gt;0), 1, 0))</f>
        <v>1</v>
      </c>
      <c r="Z312" s="3">
        <v>0</v>
      </c>
      <c r="AA312" s="3" t="s">
        <v>2078</v>
      </c>
      <c r="AD312" s="6">
        <f>ROUND((AG312*(1+AJ312)),2)</f>
        <v>182.26</v>
      </c>
      <c r="AE312" s="69">
        <v>207.70120770000003</v>
      </c>
      <c r="AF312" s="17">
        <f>(AE312*1)</f>
        <v>207.70120770000003</v>
      </c>
      <c r="AG312" s="6">
        <f>ROUND((AE312*AI312),2)</f>
        <v>135.01</v>
      </c>
      <c r="AH312" s="30" t="s">
        <v>110</v>
      </c>
      <c r="AI312" s="3">
        <v>0.65</v>
      </c>
      <c r="AJ312" s="18">
        <v>0.35</v>
      </c>
      <c r="AK312" s="6">
        <f>ROUND((AD312-(AD312*BG312)),2)</f>
        <v>180.44</v>
      </c>
      <c r="AL312" s="6">
        <f>ROUND((AD312-(AD312*BH312)),2)</f>
        <v>178.61</v>
      </c>
      <c r="AM312" s="6">
        <f>ROUND((AD312-(AD312*BI312)),2)</f>
        <v>176.79</v>
      </c>
      <c r="AN312" s="6">
        <f>ROUND((AD312-(AD312*BJ312)),2)</f>
        <v>176.79</v>
      </c>
      <c r="AO312" s="6">
        <f>ROUND((AD312-(AD312*BK312)),2)</f>
        <v>182.26</v>
      </c>
      <c r="BG312" s="12">
        <v>0.01</v>
      </c>
      <c r="BH312" s="12">
        <v>0.02</v>
      </c>
      <c r="BI312" s="12">
        <v>0.03</v>
      </c>
      <c r="BJ312" s="12">
        <v>0.03</v>
      </c>
      <c r="CC312" s="3" t="str">
        <f>IF(B312&lt;&gt;"",CONCATENATE(SUBSTITUTE(B312," ","-"),".jpg"),"")</f>
        <v>Allied-Moulded-AMP1860CCL.jpg</v>
      </c>
      <c r="CD312" s="16" t="s">
        <v>111</v>
      </c>
      <c r="CE312" s="3"/>
      <c r="CF312" s="3"/>
      <c r="CG312" s="3" t="s">
        <v>112</v>
      </c>
      <c r="CI312" s="3" t="s">
        <v>97</v>
      </c>
      <c r="CJ312" s="3" t="s">
        <v>481</v>
      </c>
      <c r="CK312" s="3" t="s">
        <v>114</v>
      </c>
      <c r="CL312" s="3" t="s">
        <v>115</v>
      </c>
      <c r="CM312" s="3" t="s">
        <v>116</v>
      </c>
      <c r="CN312" t="s">
        <v>117</v>
      </c>
      <c r="CO312" s="3" t="s">
        <v>482</v>
      </c>
      <c r="CP312" s="3" t="s">
        <v>139</v>
      </c>
      <c r="CQ312" s="3" t="s">
        <v>120</v>
      </c>
      <c r="CR312" s="16" t="s">
        <v>121</v>
      </c>
      <c r="CS312" s="16" t="s">
        <v>122</v>
      </c>
      <c r="CT312" s="16" t="s">
        <v>1814</v>
      </c>
      <c r="CU312" s="16" t="s">
        <v>242</v>
      </c>
      <c r="CV312" s="3" t="s">
        <v>167</v>
      </c>
    </row>
    <row r="313" spans="1:100" ht="15" customHeight="1">
      <c r="A313" t="s">
        <v>2079</v>
      </c>
      <c r="B313" s="3" t="s">
        <v>2080</v>
      </c>
      <c r="C313" s="16" t="s">
        <v>97</v>
      </c>
      <c r="D313" s="40" t="s">
        <v>2081</v>
      </c>
      <c r="E313" s="16" t="s">
        <v>97</v>
      </c>
      <c r="F313" s="131" t="s">
        <v>2082</v>
      </c>
      <c r="I313" s="100" t="s">
        <v>342</v>
      </c>
      <c r="J313" s="16" t="s">
        <v>101</v>
      </c>
      <c r="K313" s="16"/>
      <c r="L313" s="3" t="s">
        <v>102</v>
      </c>
      <c r="M313" s="3" t="s">
        <v>103</v>
      </c>
      <c r="N313" s="3" t="s">
        <v>104</v>
      </c>
      <c r="O313" s="16" t="s">
        <v>478</v>
      </c>
      <c r="P313" s="3" t="s">
        <v>2083</v>
      </c>
      <c r="Q313" s="3" t="s">
        <v>2083</v>
      </c>
      <c r="R313" s="3" t="s">
        <v>2083</v>
      </c>
      <c r="S313" t="s">
        <v>2079</v>
      </c>
      <c r="T313" s="130" t="s">
        <v>465</v>
      </c>
      <c r="U313" s="35">
        <v>12</v>
      </c>
      <c r="V313" s="40"/>
      <c r="W313" s="40"/>
      <c r="X313" s="59" t="s">
        <v>108</v>
      </c>
      <c r="Y313" s="93">
        <f>IF(AD313=0, 0, IF(OR(H313="", H313&lt;&gt;0), 1, 0))</f>
        <v>1</v>
      </c>
      <c r="Z313" s="3">
        <v>0</v>
      </c>
      <c r="AA313" s="3" t="s">
        <v>2084</v>
      </c>
      <c r="AD313" s="6">
        <f>ROUND((AG313*(1+AJ313)),2)</f>
        <v>191.38</v>
      </c>
      <c r="AE313" s="69">
        <v>218.08626734999999</v>
      </c>
      <c r="AF313" s="17">
        <f>(AE313*1)</f>
        <v>218.08626734999999</v>
      </c>
      <c r="AG313" s="6">
        <f>ROUND((AE313*AI313),2)</f>
        <v>141.76</v>
      </c>
      <c r="AH313" s="30" t="s">
        <v>110</v>
      </c>
      <c r="AI313" s="3">
        <v>0.65</v>
      </c>
      <c r="AJ313" s="18">
        <v>0.35</v>
      </c>
      <c r="AK313" s="6">
        <f>ROUND((AD313-(AD313*BG313)),2)</f>
        <v>189.47</v>
      </c>
      <c r="AL313" s="6">
        <f>ROUND((AD313-(AD313*BH313)),2)</f>
        <v>187.55</v>
      </c>
      <c r="AM313" s="6">
        <f>ROUND((AD313-(AD313*BI313)),2)</f>
        <v>185.64</v>
      </c>
      <c r="AN313" s="6">
        <f>ROUND((AD313-(AD313*BJ313)),2)</f>
        <v>185.64</v>
      </c>
      <c r="AO313" s="6">
        <f>ROUND((AD313-(AD313*BK313)),2)</f>
        <v>191.38</v>
      </c>
      <c r="BG313" s="12">
        <v>0.01</v>
      </c>
      <c r="BH313" s="12">
        <v>0.02</v>
      </c>
      <c r="BI313" s="12">
        <v>0.03</v>
      </c>
      <c r="BJ313" s="12">
        <v>0.03</v>
      </c>
      <c r="CC313" s="3" t="str">
        <f>IF(B313&lt;&gt;"",CONCATENATE(SUBSTITUTE(B313," ","-"),".jpg"),"")</f>
        <v>Allied-Moulded-AMP1860CCLF.jpg</v>
      </c>
      <c r="CD313" s="16" t="s">
        <v>111</v>
      </c>
      <c r="CE313" s="3"/>
      <c r="CF313" s="3"/>
      <c r="CG313" s="3" t="s">
        <v>112</v>
      </c>
      <c r="CI313" s="3" t="s">
        <v>97</v>
      </c>
      <c r="CJ313" s="3" t="s">
        <v>481</v>
      </c>
      <c r="CK313" s="3" t="s">
        <v>114</v>
      </c>
      <c r="CL313" s="3" t="s">
        <v>115</v>
      </c>
      <c r="CM313" s="3" t="s">
        <v>116</v>
      </c>
      <c r="CN313" t="s">
        <v>117</v>
      </c>
      <c r="CO313" s="3" t="s">
        <v>482</v>
      </c>
      <c r="CP313" s="3" t="s">
        <v>139</v>
      </c>
      <c r="CQ313" s="3" t="s">
        <v>120</v>
      </c>
      <c r="CR313" s="16" t="s">
        <v>121</v>
      </c>
      <c r="CS313" s="16" t="s">
        <v>122</v>
      </c>
      <c r="CT313" s="16" t="s">
        <v>1814</v>
      </c>
      <c r="CU313" s="16" t="s">
        <v>242</v>
      </c>
      <c r="CV313" s="3" t="s">
        <v>167</v>
      </c>
    </row>
    <row r="314" spans="1:100" ht="15" customHeight="1">
      <c r="A314" t="s">
        <v>2085</v>
      </c>
      <c r="B314" s="3" t="s">
        <v>2086</v>
      </c>
      <c r="C314" s="16" t="s">
        <v>97</v>
      </c>
      <c r="D314" s="39" t="s">
        <v>2087</v>
      </c>
      <c r="E314" s="16" t="s">
        <v>97</v>
      </c>
      <c r="F314" s="131" t="s">
        <v>2088</v>
      </c>
      <c r="I314" s="100" t="s">
        <v>342</v>
      </c>
      <c r="J314" s="16" t="s">
        <v>101</v>
      </c>
      <c r="K314" s="16"/>
      <c r="L314" s="3" t="s">
        <v>102</v>
      </c>
      <c r="M314" s="3" t="s">
        <v>103</v>
      </c>
      <c r="N314" s="3" t="s">
        <v>104</v>
      </c>
      <c r="O314" s="16" t="s">
        <v>478</v>
      </c>
      <c r="P314" s="3" t="s">
        <v>2089</v>
      </c>
      <c r="Q314" s="3" t="s">
        <v>2089</v>
      </c>
      <c r="R314" s="3" t="s">
        <v>2089</v>
      </c>
      <c r="S314" t="s">
        <v>2085</v>
      </c>
      <c r="T314" s="130" t="s">
        <v>465</v>
      </c>
      <c r="U314" s="34">
        <v>12</v>
      </c>
      <c r="V314" s="39"/>
      <c r="W314" s="39"/>
      <c r="X314" s="59" t="s">
        <v>108</v>
      </c>
      <c r="Y314" s="93">
        <f>IF(AD314=0, 0, IF(OR(H314="", H314&lt;&gt;0), 1, 0))</f>
        <v>1</v>
      </c>
      <c r="Z314" s="3">
        <v>0</v>
      </c>
      <c r="AA314" s="3" t="s">
        <v>2090</v>
      </c>
      <c r="AD314" s="6">
        <f>ROUND((AG314*(1+AJ314)),2)</f>
        <v>181.8</v>
      </c>
      <c r="AE314" s="69">
        <v>207.17718839999998</v>
      </c>
      <c r="AF314" s="17">
        <f>(AE314*1)</f>
        <v>207.17718839999998</v>
      </c>
      <c r="AG314" s="6">
        <f>ROUND((AE314*AI314),2)</f>
        <v>134.66999999999999</v>
      </c>
      <c r="AH314" s="30" t="s">
        <v>110</v>
      </c>
      <c r="AI314" s="3">
        <v>0.65</v>
      </c>
      <c r="AJ314" s="18">
        <v>0.35</v>
      </c>
      <c r="AK314" s="6">
        <f>ROUND((AD314-(AD314*BG314)),2)</f>
        <v>179.98</v>
      </c>
      <c r="AL314" s="6">
        <f>ROUND((AD314-(AD314*BH314)),2)</f>
        <v>178.16</v>
      </c>
      <c r="AM314" s="6">
        <f>ROUND((AD314-(AD314*BI314)),2)</f>
        <v>176.35</v>
      </c>
      <c r="AN314" s="6">
        <f>ROUND((AD314-(AD314*BJ314)),2)</f>
        <v>176.35</v>
      </c>
      <c r="AO314" s="6">
        <f>ROUND((AD314-(AD314*BK314)),2)</f>
        <v>181.8</v>
      </c>
      <c r="BG314" s="12">
        <v>0.01</v>
      </c>
      <c r="BH314" s="12">
        <v>0.02</v>
      </c>
      <c r="BI314" s="12">
        <v>0.03</v>
      </c>
      <c r="BJ314" s="12">
        <v>0.03</v>
      </c>
      <c r="CC314" s="3" t="str">
        <f>IF(B314&lt;&gt;"",CONCATENATE(SUBSTITUTE(B314," ","-"),".jpg"),"")</f>
        <v>Allied-Moulded-AMP1860CCNLF.jpg</v>
      </c>
      <c r="CD314" s="16" t="s">
        <v>111</v>
      </c>
      <c r="CE314" s="3"/>
      <c r="CF314" s="3"/>
      <c r="CG314" s="3" t="s">
        <v>112</v>
      </c>
      <c r="CI314" s="3" t="s">
        <v>97</v>
      </c>
      <c r="CJ314" s="3" t="s">
        <v>481</v>
      </c>
      <c r="CK314" s="3" t="s">
        <v>114</v>
      </c>
      <c r="CL314" s="3" t="s">
        <v>115</v>
      </c>
      <c r="CM314" s="3" t="s">
        <v>116</v>
      </c>
      <c r="CN314" t="s">
        <v>117</v>
      </c>
      <c r="CO314" s="3" t="s">
        <v>482</v>
      </c>
      <c r="CP314" s="3" t="s">
        <v>139</v>
      </c>
      <c r="CQ314" s="3" t="s">
        <v>120</v>
      </c>
      <c r="CR314" s="16" t="s">
        <v>121</v>
      </c>
      <c r="CS314" s="16" t="s">
        <v>122</v>
      </c>
      <c r="CT314" s="16" t="s">
        <v>1814</v>
      </c>
      <c r="CU314" s="16" t="s">
        <v>242</v>
      </c>
      <c r="CV314" s="3" t="s">
        <v>167</v>
      </c>
    </row>
    <row r="315" spans="1:100" ht="15" customHeight="1">
      <c r="A315" t="s">
        <v>2091</v>
      </c>
      <c r="B315" s="3" t="s">
        <v>2092</v>
      </c>
      <c r="C315" s="16" t="s">
        <v>97</v>
      </c>
      <c r="D315" s="39" t="s">
        <v>2093</v>
      </c>
      <c r="E315" s="16" t="s">
        <v>97</v>
      </c>
      <c r="F315" s="131" t="s">
        <v>2094</v>
      </c>
      <c r="I315" s="100" t="s">
        <v>342</v>
      </c>
      <c r="J315" s="16" t="s">
        <v>101</v>
      </c>
      <c r="K315" s="16"/>
      <c r="L315" s="3" t="s">
        <v>102</v>
      </c>
      <c r="M315" s="3" t="s">
        <v>103</v>
      </c>
      <c r="N315" s="3" t="s">
        <v>104</v>
      </c>
      <c r="O315" s="16" t="s">
        <v>478</v>
      </c>
      <c r="P315" s="2" t="s">
        <v>2095</v>
      </c>
      <c r="Q315" s="2" t="s">
        <v>2095</v>
      </c>
      <c r="R315" s="2" t="s">
        <v>2095</v>
      </c>
      <c r="S315" t="s">
        <v>2091</v>
      </c>
      <c r="T315" s="130" t="s">
        <v>465</v>
      </c>
      <c r="U315" s="34">
        <v>12</v>
      </c>
      <c r="V315" s="39"/>
      <c r="W315" s="39"/>
      <c r="X315" s="59" t="s">
        <v>108</v>
      </c>
      <c r="Y315" s="93">
        <f>IF(AD315=0, 0, IF(OR(H315="", H315&lt;&gt;0), 1, 0))</f>
        <v>1</v>
      </c>
      <c r="Z315" s="3">
        <v>0</v>
      </c>
      <c r="AA315" s="3" t="s">
        <v>2096</v>
      </c>
      <c r="AD315" s="6">
        <f>ROUND((AG315*(1+AJ315)),2)</f>
        <v>138.78</v>
      </c>
      <c r="AE315" s="69">
        <v>158.15779875000001</v>
      </c>
      <c r="AF315" s="17">
        <f>(AE315*1)</f>
        <v>158.15779875000001</v>
      </c>
      <c r="AG315" s="6">
        <f>ROUND((AE315*AI315),2)</f>
        <v>102.8</v>
      </c>
      <c r="AH315" s="30" t="s">
        <v>110</v>
      </c>
      <c r="AI315" s="3">
        <v>0.65</v>
      </c>
      <c r="AJ315" s="18">
        <v>0.35</v>
      </c>
      <c r="AK315" s="6">
        <f>ROUND((AD315-(AD315*BG315)),2)</f>
        <v>137.38999999999999</v>
      </c>
      <c r="AL315" s="6">
        <f>ROUND((AD315-(AD315*BH315)),2)</f>
        <v>136</v>
      </c>
      <c r="AM315" s="6">
        <f>ROUND((AD315-(AD315*BI315)),2)</f>
        <v>134.62</v>
      </c>
      <c r="AN315" s="6">
        <f>ROUND((AD315-(AD315*BJ315)),2)</f>
        <v>134.62</v>
      </c>
      <c r="AO315" s="6">
        <f>ROUND((AD315-(AD315*BK315)),2)</f>
        <v>138.78</v>
      </c>
      <c r="BG315" s="12">
        <v>0.01</v>
      </c>
      <c r="BH315" s="12">
        <v>0.02</v>
      </c>
      <c r="BI315" s="12">
        <v>0.03</v>
      </c>
      <c r="BJ315" s="12">
        <v>0.03</v>
      </c>
      <c r="CC315" s="3" t="str">
        <f>IF(B315&lt;&gt;"",CONCATENATE(SUBSTITUTE(B315," ","-"),".jpg"),"")</f>
        <v>Allied-Moulded-AMP1860.jpg</v>
      </c>
      <c r="CD315" s="16" t="s">
        <v>111</v>
      </c>
      <c r="CE315" s="3"/>
      <c r="CF315" s="3"/>
      <c r="CG315" s="3" t="s">
        <v>112</v>
      </c>
      <c r="CI315" s="3" t="s">
        <v>97</v>
      </c>
      <c r="CJ315" s="3" t="s">
        <v>481</v>
      </c>
      <c r="CK315" s="3" t="s">
        <v>114</v>
      </c>
      <c r="CL315" s="3" t="s">
        <v>115</v>
      </c>
      <c r="CM315" s="16"/>
      <c r="CN315" s="16" t="s">
        <v>349</v>
      </c>
      <c r="CO315" s="3" t="s">
        <v>482</v>
      </c>
      <c r="CP315" s="3" t="s">
        <v>139</v>
      </c>
      <c r="CQ315" s="3" t="s">
        <v>120</v>
      </c>
      <c r="CR315" s="3" t="s">
        <v>140</v>
      </c>
      <c r="CS315" s="3" t="s">
        <v>384</v>
      </c>
      <c r="CT315" s="16" t="s">
        <v>1814</v>
      </c>
      <c r="CU315" s="16" t="s">
        <v>242</v>
      </c>
      <c r="CV315" s="3" t="s">
        <v>167</v>
      </c>
    </row>
    <row r="316" spans="1:100" ht="15" customHeight="1">
      <c r="A316" t="s">
        <v>2097</v>
      </c>
      <c r="B316" s="3" t="s">
        <v>2098</v>
      </c>
      <c r="C316" s="16" t="s">
        <v>97</v>
      </c>
      <c r="D316" s="40" t="s">
        <v>2099</v>
      </c>
      <c r="E316" s="16" t="s">
        <v>97</v>
      </c>
      <c r="F316" s="131" t="s">
        <v>2100</v>
      </c>
      <c r="I316" s="100" t="s">
        <v>342</v>
      </c>
      <c r="J316" s="16" t="s">
        <v>101</v>
      </c>
      <c r="K316" s="16"/>
      <c r="L316" s="3" t="s">
        <v>102</v>
      </c>
      <c r="M316" s="3" t="s">
        <v>103</v>
      </c>
      <c r="N316" s="3" t="s">
        <v>104</v>
      </c>
      <c r="O316" s="16" t="s">
        <v>478</v>
      </c>
      <c r="P316" s="2" t="s">
        <v>2101</v>
      </c>
      <c r="Q316" s="2" t="s">
        <v>2101</v>
      </c>
      <c r="R316" s="2" t="s">
        <v>2101</v>
      </c>
      <c r="S316" t="s">
        <v>2097</v>
      </c>
      <c r="T316" s="130" t="s">
        <v>465</v>
      </c>
      <c r="U316" s="35">
        <v>12</v>
      </c>
      <c r="V316" s="40"/>
      <c r="W316" s="40"/>
      <c r="X316" s="59" t="s">
        <v>108</v>
      </c>
      <c r="Y316" s="93">
        <f>IF(AD316=0, 0, IF(OR(H316="", H316&lt;&gt;0), 1, 0))</f>
        <v>1</v>
      </c>
      <c r="Z316" s="3">
        <v>0</v>
      </c>
      <c r="AA316" s="3" t="s">
        <v>2102</v>
      </c>
      <c r="AD316" s="6">
        <f>ROUND((AG316*(1+AJ316)),2)</f>
        <v>145.72</v>
      </c>
      <c r="AE316" s="69">
        <v>166.06569000000002</v>
      </c>
      <c r="AF316" s="17">
        <f>(AE316*1)</f>
        <v>166.06569000000002</v>
      </c>
      <c r="AG316" s="6">
        <f>ROUND((AE316*AI316),2)</f>
        <v>107.94</v>
      </c>
      <c r="AH316" s="30" t="s">
        <v>110</v>
      </c>
      <c r="AI316" s="3">
        <v>0.65</v>
      </c>
      <c r="AJ316" s="18">
        <v>0.35</v>
      </c>
      <c r="AK316" s="6">
        <f>ROUND((AD316-(AD316*BG316)),2)</f>
        <v>144.26</v>
      </c>
      <c r="AL316" s="6">
        <f>ROUND((AD316-(AD316*BH316)),2)</f>
        <v>142.81</v>
      </c>
      <c r="AM316" s="6">
        <f>ROUND((AD316-(AD316*BI316)),2)</f>
        <v>141.35</v>
      </c>
      <c r="AN316" s="6">
        <f>ROUND((AD316-(AD316*BJ316)),2)</f>
        <v>141.35</v>
      </c>
      <c r="AO316" s="6">
        <f>ROUND((AD316-(AD316*BK316)),2)</f>
        <v>145.72</v>
      </c>
      <c r="BG316" s="12">
        <v>0.01</v>
      </c>
      <c r="BH316" s="12">
        <v>0.02</v>
      </c>
      <c r="BI316" s="12">
        <v>0.03</v>
      </c>
      <c r="BJ316" s="12">
        <v>0.03</v>
      </c>
      <c r="CC316" s="3" t="str">
        <f>IF(B316&lt;&gt;"",CONCATENATE(SUBSTITUTE(B316," ","-"),".jpg"),"")</f>
        <v>Allied-Moulded-AMP1860F.jpg</v>
      </c>
      <c r="CD316" s="16" t="s">
        <v>111</v>
      </c>
      <c r="CE316" s="3"/>
      <c r="CF316" s="3"/>
      <c r="CG316" s="3" t="s">
        <v>112</v>
      </c>
      <c r="CI316" s="3" t="s">
        <v>97</v>
      </c>
      <c r="CJ316" s="3" t="s">
        <v>481</v>
      </c>
      <c r="CK316" s="3" t="s">
        <v>114</v>
      </c>
      <c r="CL316" s="3" t="s">
        <v>115</v>
      </c>
      <c r="CM316" s="16"/>
      <c r="CN316" s="16" t="s">
        <v>349</v>
      </c>
      <c r="CO316" s="3" t="s">
        <v>482</v>
      </c>
      <c r="CP316" s="3" t="s">
        <v>139</v>
      </c>
      <c r="CQ316" s="3" t="s">
        <v>120</v>
      </c>
      <c r="CR316" s="3" t="s">
        <v>140</v>
      </c>
      <c r="CS316" s="3" t="s">
        <v>384</v>
      </c>
      <c r="CT316" s="16" t="s">
        <v>1814</v>
      </c>
      <c r="CU316" s="16" t="s">
        <v>242</v>
      </c>
      <c r="CV316" s="3" t="s">
        <v>167</v>
      </c>
    </row>
    <row r="317" spans="1:100" ht="15" customHeight="1">
      <c r="A317" t="s">
        <v>2103</v>
      </c>
      <c r="B317" s="3" t="s">
        <v>2104</v>
      </c>
      <c r="C317" s="16" t="s">
        <v>97</v>
      </c>
      <c r="D317" s="40" t="s">
        <v>2105</v>
      </c>
      <c r="E317" s="16" t="s">
        <v>97</v>
      </c>
      <c r="F317" s="131" t="s">
        <v>2106</v>
      </c>
      <c r="I317" s="100" t="s">
        <v>342</v>
      </c>
      <c r="J317" s="16" t="s">
        <v>101</v>
      </c>
      <c r="K317" s="16"/>
      <c r="L317" s="3" t="s">
        <v>102</v>
      </c>
      <c r="M317" s="3" t="s">
        <v>103</v>
      </c>
      <c r="N317" s="3" t="s">
        <v>104</v>
      </c>
      <c r="O317" s="16" t="s">
        <v>478</v>
      </c>
      <c r="P317" s="2" t="s">
        <v>2107</v>
      </c>
      <c r="Q317" s="2" t="s">
        <v>2107</v>
      </c>
      <c r="R317" s="2" t="s">
        <v>2107</v>
      </c>
      <c r="S317" t="s">
        <v>2103</v>
      </c>
      <c r="T317" s="130" t="s">
        <v>465</v>
      </c>
      <c r="U317" s="35">
        <v>12</v>
      </c>
      <c r="V317" s="40"/>
      <c r="W317" s="40"/>
      <c r="X317" s="59" t="s">
        <v>108</v>
      </c>
      <c r="Y317" s="93">
        <f>IF(AD317=0, 0, IF(OR(H317="", H317&lt;&gt;0), 1, 0))</f>
        <v>1</v>
      </c>
      <c r="Z317" s="3">
        <v>0</v>
      </c>
      <c r="AA317" s="3" t="s">
        <v>2108</v>
      </c>
      <c r="AD317" s="6">
        <f>ROUND((AG317*(1+AJ317)),2)</f>
        <v>142.13</v>
      </c>
      <c r="AE317" s="69">
        <v>161.96883045000001</v>
      </c>
      <c r="AF317" s="17">
        <f>(AE317*1)</f>
        <v>161.96883045000001</v>
      </c>
      <c r="AG317" s="6">
        <f>ROUND((AE317*AI317),2)</f>
        <v>105.28</v>
      </c>
      <c r="AH317" s="30" t="s">
        <v>110</v>
      </c>
      <c r="AI317" s="3">
        <v>0.65</v>
      </c>
      <c r="AJ317" s="18">
        <v>0.35</v>
      </c>
      <c r="AK317" s="6">
        <f>ROUND((AD317-(AD317*BG317)),2)</f>
        <v>140.71</v>
      </c>
      <c r="AL317" s="6">
        <f>ROUND((AD317-(AD317*BH317)),2)</f>
        <v>139.29</v>
      </c>
      <c r="AM317" s="6">
        <f>ROUND((AD317-(AD317*BI317)),2)</f>
        <v>137.87</v>
      </c>
      <c r="AN317" s="6">
        <f>ROUND((AD317-(AD317*BJ317)),2)</f>
        <v>137.87</v>
      </c>
      <c r="AO317" s="6">
        <f>ROUND((AD317-(AD317*BK317)),2)</f>
        <v>142.13</v>
      </c>
      <c r="BG317" s="12">
        <v>0.01</v>
      </c>
      <c r="BH317" s="12">
        <v>0.02</v>
      </c>
      <c r="BI317" s="12">
        <v>0.03</v>
      </c>
      <c r="BJ317" s="12">
        <v>0.03</v>
      </c>
      <c r="CC317" s="3" t="str">
        <f>IF(B317&lt;&gt;"",CONCATENATE(SUBSTITUTE(B317," ","-"),".jpg"),"")</f>
        <v>Allied-Moulded-AMP1860H.jpg</v>
      </c>
      <c r="CD317" s="16" t="s">
        <v>111</v>
      </c>
      <c r="CE317" s="3"/>
      <c r="CF317" s="3"/>
      <c r="CG317" s="3" t="s">
        <v>112</v>
      </c>
      <c r="CI317" s="3" t="s">
        <v>97</v>
      </c>
      <c r="CJ317" s="3" t="s">
        <v>481</v>
      </c>
      <c r="CK317" s="3" t="s">
        <v>114</v>
      </c>
      <c r="CL317" s="3" t="s">
        <v>115</v>
      </c>
      <c r="CM317" s="3" t="s">
        <v>116</v>
      </c>
      <c r="CN317" s="16" t="s">
        <v>349</v>
      </c>
      <c r="CO317" s="3" t="s">
        <v>482</v>
      </c>
      <c r="CP317" s="3" t="s">
        <v>139</v>
      </c>
      <c r="CQ317" s="3" t="s">
        <v>120</v>
      </c>
      <c r="CR317" s="3" t="s">
        <v>140</v>
      </c>
      <c r="CS317" s="3" t="s">
        <v>384</v>
      </c>
      <c r="CT317" s="16" t="s">
        <v>1814</v>
      </c>
      <c r="CU317" s="16" t="s">
        <v>242</v>
      </c>
      <c r="CV317" s="3" t="s">
        <v>167</v>
      </c>
    </row>
    <row r="318" spans="1:100" ht="15" customHeight="1">
      <c r="A318" t="s">
        <v>2109</v>
      </c>
      <c r="B318" s="3" t="s">
        <v>2110</v>
      </c>
      <c r="C318" s="16" t="s">
        <v>97</v>
      </c>
      <c r="D318" s="39" t="s">
        <v>2111</v>
      </c>
      <c r="E318" s="16" t="s">
        <v>97</v>
      </c>
      <c r="F318" s="131" t="s">
        <v>2112</v>
      </c>
      <c r="I318" s="100" t="s">
        <v>342</v>
      </c>
      <c r="J318" s="16" t="s">
        <v>101</v>
      </c>
      <c r="K318" s="16"/>
      <c r="L318" s="3" t="s">
        <v>102</v>
      </c>
      <c r="M318" s="3" t="s">
        <v>103</v>
      </c>
      <c r="N318" s="3" t="s">
        <v>104</v>
      </c>
      <c r="O318" s="16" t="s">
        <v>478</v>
      </c>
      <c r="P318" s="2" t="s">
        <v>2113</v>
      </c>
      <c r="Q318" s="2" t="s">
        <v>2113</v>
      </c>
      <c r="R318" s="2" t="s">
        <v>2113</v>
      </c>
      <c r="S318" t="s">
        <v>2109</v>
      </c>
      <c r="T318" s="130" t="s">
        <v>465</v>
      </c>
      <c r="U318" s="34">
        <v>12</v>
      </c>
      <c r="V318" s="39"/>
      <c r="W318" s="39"/>
      <c r="X318" s="59" t="s">
        <v>108</v>
      </c>
      <c r="Y318" s="93">
        <f>IF(AD318=0, 0, IF(OR(H318="", H318&lt;&gt;0), 1, 0))</f>
        <v>1</v>
      </c>
      <c r="Z318" s="3">
        <v>0</v>
      </c>
      <c r="AA318" s="3" t="s">
        <v>2114</v>
      </c>
      <c r="AD318" s="6">
        <f>ROUND((AG318*(1+AJ318)),2)</f>
        <v>149.22999999999999</v>
      </c>
      <c r="AE318" s="69">
        <v>170.06727255000001</v>
      </c>
      <c r="AF318" s="17">
        <f>(AE318*1)</f>
        <v>170.06727255000001</v>
      </c>
      <c r="AG318" s="6">
        <f>ROUND((AE318*AI318),2)</f>
        <v>110.54</v>
      </c>
      <c r="AH318" s="30" t="s">
        <v>110</v>
      </c>
      <c r="AI318" s="3">
        <v>0.65</v>
      </c>
      <c r="AJ318" s="18">
        <v>0.35</v>
      </c>
      <c r="AK318" s="6">
        <f>ROUND((AD318-(AD318*BG318)),2)</f>
        <v>147.74</v>
      </c>
      <c r="AL318" s="6">
        <f>ROUND((AD318-(AD318*BH318)),2)</f>
        <v>146.25</v>
      </c>
      <c r="AM318" s="6">
        <f>ROUND((AD318-(AD318*BI318)),2)</f>
        <v>144.75</v>
      </c>
      <c r="AN318" s="6">
        <f>ROUND((AD318-(AD318*BJ318)),2)</f>
        <v>144.75</v>
      </c>
      <c r="AO318" s="6">
        <f>ROUND((AD318-(AD318*BK318)),2)</f>
        <v>149.22999999999999</v>
      </c>
      <c r="BG318" s="12">
        <v>0.01</v>
      </c>
      <c r="BH318" s="12">
        <v>0.02</v>
      </c>
      <c r="BI318" s="12">
        <v>0.03</v>
      </c>
      <c r="BJ318" s="12">
        <v>0.03</v>
      </c>
      <c r="CC318" s="3" t="str">
        <f>IF(B318&lt;&gt;"",CONCATENATE(SUBSTITUTE(B318," ","-"),".jpg"),"")</f>
        <v>Allied-Moulded-AMP1860HF.jpg</v>
      </c>
      <c r="CD318" s="16" t="s">
        <v>111</v>
      </c>
      <c r="CE318" s="3"/>
      <c r="CF318" s="3"/>
      <c r="CG318" s="3" t="s">
        <v>112</v>
      </c>
      <c r="CI318" s="3" t="s">
        <v>97</v>
      </c>
      <c r="CJ318" s="3" t="s">
        <v>481</v>
      </c>
      <c r="CK318" s="3" t="s">
        <v>114</v>
      </c>
      <c r="CL318" s="3" t="s">
        <v>115</v>
      </c>
      <c r="CM318" s="3" t="s">
        <v>116</v>
      </c>
      <c r="CN318" s="16" t="s">
        <v>349</v>
      </c>
      <c r="CO318" s="3" t="s">
        <v>482</v>
      </c>
      <c r="CP318" s="3" t="s">
        <v>139</v>
      </c>
      <c r="CQ318" s="3" t="s">
        <v>120</v>
      </c>
      <c r="CR318" s="3" t="s">
        <v>140</v>
      </c>
      <c r="CS318" s="3" t="s">
        <v>384</v>
      </c>
      <c r="CT318" s="16" t="s">
        <v>1814</v>
      </c>
      <c r="CU318" s="16" t="s">
        <v>242</v>
      </c>
      <c r="CV318" s="3" t="s">
        <v>167</v>
      </c>
    </row>
    <row r="319" spans="1:100" ht="15" customHeight="1">
      <c r="A319" t="s">
        <v>2115</v>
      </c>
      <c r="B319" s="3" t="s">
        <v>2116</v>
      </c>
      <c r="C319" s="16" t="s">
        <v>97</v>
      </c>
      <c r="D319" s="39" t="s">
        <v>2117</v>
      </c>
      <c r="E319" s="16" t="s">
        <v>97</v>
      </c>
      <c r="F319" s="131" t="s">
        <v>2118</v>
      </c>
      <c r="I319" s="100" t="s">
        <v>342</v>
      </c>
      <c r="J319" s="16" t="s">
        <v>101</v>
      </c>
      <c r="K319" s="16"/>
      <c r="L319" s="3" t="s">
        <v>102</v>
      </c>
      <c r="M319" s="3" t="s">
        <v>103</v>
      </c>
      <c r="N319" s="3" t="s">
        <v>104</v>
      </c>
      <c r="O319" s="16" t="s">
        <v>478</v>
      </c>
      <c r="P319" s="2" t="s">
        <v>2119</v>
      </c>
      <c r="Q319" s="2" t="s">
        <v>2119</v>
      </c>
      <c r="R319" s="2" t="s">
        <v>2119</v>
      </c>
      <c r="S319" t="s">
        <v>2115</v>
      </c>
      <c r="T319" s="130" t="s">
        <v>465</v>
      </c>
      <c r="U319" s="34">
        <v>12</v>
      </c>
      <c r="V319" s="39"/>
      <c r="W319" s="39"/>
      <c r="X319" s="59" t="s">
        <v>108</v>
      </c>
      <c r="Y319" s="93">
        <f>IF(AD319=0, 0, IF(OR(H319="", H319&lt;&gt;0), 1, 0))</f>
        <v>1</v>
      </c>
      <c r="Z319" s="3">
        <v>0</v>
      </c>
      <c r="AA319" s="3" t="s">
        <v>2120</v>
      </c>
      <c r="AD319" s="6">
        <f>ROUND((AG319*(1+AJ319)),2)</f>
        <v>167.21</v>
      </c>
      <c r="AE319" s="69">
        <v>190.55156504999997</v>
      </c>
      <c r="AF319" s="17">
        <f>(AE319*1)</f>
        <v>190.55156504999997</v>
      </c>
      <c r="AG319" s="6">
        <f>ROUND((AE319*AI319),2)</f>
        <v>123.86</v>
      </c>
      <c r="AH319" s="30" t="s">
        <v>110</v>
      </c>
      <c r="AI319" s="3">
        <v>0.65</v>
      </c>
      <c r="AJ319" s="18">
        <v>0.35</v>
      </c>
      <c r="AK319" s="6">
        <f>ROUND((AD319-(AD319*BG319)),2)</f>
        <v>165.54</v>
      </c>
      <c r="AL319" s="6">
        <f>ROUND((AD319-(AD319*BH319)),2)</f>
        <v>163.87</v>
      </c>
      <c r="AM319" s="6">
        <f>ROUND((AD319-(AD319*BI319)),2)</f>
        <v>162.19</v>
      </c>
      <c r="AN319" s="6">
        <f>ROUND((AD319-(AD319*BJ319)),2)</f>
        <v>162.19</v>
      </c>
      <c r="AO319" s="6">
        <f>ROUND((AD319-(AD319*BK319)),2)</f>
        <v>167.21</v>
      </c>
      <c r="BG319" s="12">
        <v>0.01</v>
      </c>
      <c r="BH319" s="12">
        <v>0.02</v>
      </c>
      <c r="BI319" s="12">
        <v>0.03</v>
      </c>
      <c r="BJ319" s="12">
        <v>0.03</v>
      </c>
      <c r="CC319" s="3" t="str">
        <f>IF(B319&lt;&gt;"",CONCATENATE(SUBSTITUTE(B319," ","-"),".jpg"),"")</f>
        <v>Allied-Moulded-AMP1860L.jpg</v>
      </c>
      <c r="CD319" s="16" t="s">
        <v>111</v>
      </c>
      <c r="CE319" s="3"/>
      <c r="CF319" s="3"/>
      <c r="CG319" s="3" t="s">
        <v>112</v>
      </c>
      <c r="CI319" s="3" t="s">
        <v>97</v>
      </c>
      <c r="CJ319" s="3" t="s">
        <v>481</v>
      </c>
      <c r="CK319" s="3" t="s">
        <v>114</v>
      </c>
      <c r="CL319" s="3" t="s">
        <v>115</v>
      </c>
      <c r="CM319" s="3" t="s">
        <v>116</v>
      </c>
      <c r="CN319" t="s">
        <v>117</v>
      </c>
      <c r="CO319" s="3" t="s">
        <v>482</v>
      </c>
      <c r="CP319" s="3" t="s">
        <v>139</v>
      </c>
      <c r="CQ319" s="3" t="s">
        <v>120</v>
      </c>
      <c r="CR319" s="3" t="s">
        <v>140</v>
      </c>
      <c r="CS319" s="16" t="s">
        <v>122</v>
      </c>
      <c r="CT319" s="16" t="s">
        <v>1814</v>
      </c>
      <c r="CU319" s="16" t="s">
        <v>242</v>
      </c>
      <c r="CV319" s="3" t="s">
        <v>167</v>
      </c>
    </row>
    <row r="320" spans="1:100" ht="15" customHeight="1">
      <c r="A320" t="s">
        <v>2121</v>
      </c>
      <c r="B320" s="3" t="s">
        <v>2122</v>
      </c>
      <c r="C320" s="16" t="s">
        <v>97</v>
      </c>
      <c r="D320" s="40" t="s">
        <v>2123</v>
      </c>
      <c r="E320" s="16" t="s">
        <v>97</v>
      </c>
      <c r="F320" s="131" t="s">
        <v>2124</v>
      </c>
      <c r="I320" s="100" t="s">
        <v>342</v>
      </c>
      <c r="J320" s="16" t="s">
        <v>101</v>
      </c>
      <c r="K320" s="16"/>
      <c r="L320" s="3" t="s">
        <v>102</v>
      </c>
      <c r="M320" s="3" t="s">
        <v>103</v>
      </c>
      <c r="N320" s="3" t="s">
        <v>104</v>
      </c>
      <c r="O320" s="16" t="s">
        <v>478</v>
      </c>
      <c r="P320" s="2" t="s">
        <v>2125</v>
      </c>
      <c r="Q320" s="2" t="s">
        <v>2125</v>
      </c>
      <c r="R320" s="2" t="s">
        <v>2125</v>
      </c>
      <c r="S320" t="s">
        <v>2121</v>
      </c>
      <c r="T320" s="130" t="s">
        <v>465</v>
      </c>
      <c r="U320" s="35">
        <v>12</v>
      </c>
      <c r="V320" s="40"/>
      <c r="W320" s="40"/>
      <c r="X320" s="59" t="s">
        <v>108</v>
      </c>
      <c r="Y320" s="93">
        <f>IF(AD320=0, 0, IF(OR(H320="", H320&lt;&gt;0), 1, 0))</f>
        <v>1</v>
      </c>
      <c r="Z320" s="3">
        <v>0</v>
      </c>
      <c r="AA320" s="3" t="s">
        <v>2126</v>
      </c>
      <c r="AD320" s="6">
        <f>ROUND((AG320*(1+AJ320)),2)</f>
        <v>175.57</v>
      </c>
      <c r="AE320" s="69">
        <v>200.0791443</v>
      </c>
      <c r="AF320" s="17">
        <f>(AE320*1)</f>
        <v>200.0791443</v>
      </c>
      <c r="AG320" s="6">
        <f>ROUND((AE320*AI320),2)</f>
        <v>130.05000000000001</v>
      </c>
      <c r="AH320" s="30" t="s">
        <v>110</v>
      </c>
      <c r="AI320" s="3">
        <v>0.65</v>
      </c>
      <c r="AJ320" s="18">
        <v>0.35</v>
      </c>
      <c r="AK320" s="6">
        <f>ROUND((AD320-(AD320*BG320)),2)</f>
        <v>173.81</v>
      </c>
      <c r="AL320" s="6">
        <f>ROUND((AD320-(AD320*BH320)),2)</f>
        <v>172.06</v>
      </c>
      <c r="AM320" s="6">
        <f>ROUND((AD320-(AD320*BI320)),2)</f>
        <v>170.3</v>
      </c>
      <c r="AN320" s="6">
        <f>ROUND((AD320-(AD320*BJ320)),2)</f>
        <v>170.3</v>
      </c>
      <c r="AO320" s="6">
        <f>ROUND((AD320-(AD320*BK320)),2)</f>
        <v>175.57</v>
      </c>
      <c r="BG320" s="12">
        <v>0.01</v>
      </c>
      <c r="BH320" s="12">
        <v>0.02</v>
      </c>
      <c r="BI320" s="12">
        <v>0.03</v>
      </c>
      <c r="BJ320" s="12">
        <v>0.03</v>
      </c>
      <c r="CC320" s="3" t="str">
        <f>IF(B320&lt;&gt;"",CONCATENATE(SUBSTITUTE(B320," ","-"),".jpg"),"")</f>
        <v>Allied-Moulded-AMP1860LF.jpg</v>
      </c>
      <c r="CD320" s="16" t="s">
        <v>111</v>
      </c>
      <c r="CE320" s="3"/>
      <c r="CF320" s="3"/>
      <c r="CG320" s="3" t="s">
        <v>112</v>
      </c>
      <c r="CI320" s="3" t="s">
        <v>97</v>
      </c>
      <c r="CJ320" s="3" t="s">
        <v>481</v>
      </c>
      <c r="CK320" s="3" t="s">
        <v>114</v>
      </c>
      <c r="CL320" s="3" t="s">
        <v>115</v>
      </c>
      <c r="CM320" s="3" t="s">
        <v>116</v>
      </c>
      <c r="CN320" t="s">
        <v>117</v>
      </c>
      <c r="CO320" s="3" t="s">
        <v>482</v>
      </c>
      <c r="CP320" s="3" t="s">
        <v>139</v>
      </c>
      <c r="CQ320" s="3" t="s">
        <v>120</v>
      </c>
      <c r="CR320" s="3" t="s">
        <v>140</v>
      </c>
      <c r="CS320" s="16" t="s">
        <v>122</v>
      </c>
      <c r="CT320" s="16" t="s">
        <v>1814</v>
      </c>
      <c r="CU320" s="16" t="s">
        <v>242</v>
      </c>
      <c r="CV320" s="3" t="s">
        <v>167</v>
      </c>
    </row>
    <row r="321" spans="1:100" ht="15" customHeight="1">
      <c r="A321" t="s">
        <v>2127</v>
      </c>
      <c r="B321" s="3" t="s">
        <v>2128</v>
      </c>
      <c r="C321" s="16" t="s">
        <v>97</v>
      </c>
      <c r="D321" s="40" t="s">
        <v>2129</v>
      </c>
      <c r="E321" s="16" t="s">
        <v>97</v>
      </c>
      <c r="F321" s="131" t="s">
        <v>2130</v>
      </c>
      <c r="I321" s="100" t="s">
        <v>342</v>
      </c>
      <c r="J321" s="16" t="s">
        <v>101</v>
      </c>
      <c r="K321" s="16"/>
      <c r="L321" s="3" t="s">
        <v>102</v>
      </c>
      <c r="M321" s="3" t="s">
        <v>103</v>
      </c>
      <c r="N321" s="3" t="s">
        <v>104</v>
      </c>
      <c r="O321" s="16" t="s">
        <v>478</v>
      </c>
      <c r="P321" s="2" t="s">
        <v>2131</v>
      </c>
      <c r="Q321" s="2" t="s">
        <v>2131</v>
      </c>
      <c r="R321" s="2" t="s">
        <v>2131</v>
      </c>
      <c r="S321" t="s">
        <v>2127</v>
      </c>
      <c r="T321" s="130" t="s">
        <v>465</v>
      </c>
      <c r="U321" s="35">
        <v>12</v>
      </c>
      <c r="V321" s="40"/>
      <c r="W321" s="40"/>
      <c r="X321" s="59" t="s">
        <v>108</v>
      </c>
      <c r="Y321" s="93">
        <f>IF(AD321=0, 0, IF(OR(H321="", H321&lt;&gt;0), 1, 0))</f>
        <v>1</v>
      </c>
      <c r="Z321" s="3">
        <v>0</v>
      </c>
      <c r="AA321" s="3" t="s">
        <v>2132</v>
      </c>
      <c r="AD321" s="6">
        <f>ROUND((AG321*(1+AJ321)),2)</f>
        <v>158.85</v>
      </c>
      <c r="AE321" s="69">
        <v>181.02398685000003</v>
      </c>
      <c r="AF321" s="17">
        <f>(AE321*1)</f>
        <v>181.02398685000003</v>
      </c>
      <c r="AG321" s="6">
        <f>ROUND((AE321*AI321),2)</f>
        <v>117.67</v>
      </c>
      <c r="AH321" s="30" t="s">
        <v>110</v>
      </c>
      <c r="AI321" s="3">
        <v>0.65</v>
      </c>
      <c r="AJ321" s="18">
        <v>0.35</v>
      </c>
      <c r="AK321" s="6">
        <f>ROUND((AD321-(AD321*BG321)),2)</f>
        <v>157.26</v>
      </c>
      <c r="AL321" s="6">
        <f>ROUND((AD321-(AD321*BH321)),2)</f>
        <v>155.66999999999999</v>
      </c>
      <c r="AM321" s="6">
        <f>ROUND((AD321-(AD321*BI321)),2)</f>
        <v>154.08000000000001</v>
      </c>
      <c r="AN321" s="6">
        <f>ROUND((AD321-(AD321*BJ321)),2)</f>
        <v>154.08000000000001</v>
      </c>
      <c r="AO321" s="6">
        <f>ROUND((AD321-(AD321*BK321)),2)</f>
        <v>158.85</v>
      </c>
      <c r="BG321" s="12">
        <v>0.01</v>
      </c>
      <c r="BH321" s="12">
        <v>0.02</v>
      </c>
      <c r="BI321" s="12">
        <v>0.03</v>
      </c>
      <c r="BJ321" s="12">
        <v>0.03</v>
      </c>
      <c r="CC321" s="3" t="str">
        <f>IF(B321&lt;&gt;"",CONCATENATE(SUBSTITUTE(B321," ","-"),".jpg"),"")</f>
        <v>Allied-Moulded-AMP1860NL.jpg</v>
      </c>
      <c r="CD321" s="16" t="s">
        <v>111</v>
      </c>
      <c r="CE321" s="3"/>
      <c r="CF321" s="3"/>
      <c r="CG321" s="3" t="s">
        <v>112</v>
      </c>
      <c r="CI321" s="3" t="s">
        <v>97</v>
      </c>
      <c r="CJ321" s="3" t="s">
        <v>481</v>
      </c>
      <c r="CK321" s="3" t="s">
        <v>114</v>
      </c>
      <c r="CL321" s="3" t="s">
        <v>115</v>
      </c>
      <c r="CM321" s="3" t="s">
        <v>116</v>
      </c>
      <c r="CN321" t="s">
        <v>117</v>
      </c>
      <c r="CO321" s="3" t="s">
        <v>482</v>
      </c>
      <c r="CP321" s="3" t="s">
        <v>139</v>
      </c>
      <c r="CQ321" s="3" t="s">
        <v>120</v>
      </c>
      <c r="CR321" s="3" t="s">
        <v>140</v>
      </c>
      <c r="CS321" s="16" t="s">
        <v>122</v>
      </c>
      <c r="CT321" s="16" t="s">
        <v>1814</v>
      </c>
      <c r="CU321" s="16" t="s">
        <v>242</v>
      </c>
      <c r="CV321" s="3" t="s">
        <v>167</v>
      </c>
    </row>
    <row r="322" spans="1:100" ht="15" customHeight="1">
      <c r="A322" t="s">
        <v>2133</v>
      </c>
      <c r="B322" s="3" t="s">
        <v>2134</v>
      </c>
      <c r="C322" s="16" t="s">
        <v>97</v>
      </c>
      <c r="D322" s="39" t="s">
        <v>2135</v>
      </c>
      <c r="E322" s="16" t="s">
        <v>97</v>
      </c>
      <c r="F322" s="131" t="s">
        <v>2136</v>
      </c>
      <c r="I322" s="100" t="s">
        <v>342</v>
      </c>
      <c r="J322" s="16" t="s">
        <v>101</v>
      </c>
      <c r="K322" s="16"/>
      <c r="L322" s="3" t="s">
        <v>102</v>
      </c>
      <c r="M322" s="3" t="s">
        <v>103</v>
      </c>
      <c r="N322" s="3" t="s">
        <v>104</v>
      </c>
      <c r="O322" s="16" t="s">
        <v>478</v>
      </c>
      <c r="P322" s="2" t="s">
        <v>2137</v>
      </c>
      <c r="Q322" s="2" t="s">
        <v>2137</v>
      </c>
      <c r="R322" s="2" t="s">
        <v>2137</v>
      </c>
      <c r="S322" t="s">
        <v>2133</v>
      </c>
      <c r="T322" s="130" t="s">
        <v>465</v>
      </c>
      <c r="U322" s="34">
        <v>12</v>
      </c>
      <c r="V322" s="39"/>
      <c r="W322" s="39"/>
      <c r="X322" s="59" t="s">
        <v>108</v>
      </c>
      <c r="Y322" s="93">
        <f>IF(AD322=0, 0, IF(OR(H322="", H322&lt;&gt;0), 1, 0))</f>
        <v>1</v>
      </c>
      <c r="Z322" s="3">
        <v>0</v>
      </c>
      <c r="AA322" s="3" t="s">
        <v>2138</v>
      </c>
      <c r="AD322" s="6">
        <f>ROUND((AG322*(1+AJ322)),2)</f>
        <v>166.79</v>
      </c>
      <c r="AE322" s="69">
        <v>190.0751874</v>
      </c>
      <c r="AF322" s="17">
        <f>(AE322*1)</f>
        <v>190.0751874</v>
      </c>
      <c r="AG322" s="6">
        <f>ROUND((AE322*AI322),2)</f>
        <v>123.55</v>
      </c>
      <c r="AH322" s="30" t="s">
        <v>110</v>
      </c>
      <c r="AI322" s="3">
        <v>0.65</v>
      </c>
      <c r="AJ322" s="18">
        <v>0.35</v>
      </c>
      <c r="AK322" s="6">
        <f>ROUND((AD322-(AD322*BG322)),2)</f>
        <v>165.12</v>
      </c>
      <c r="AL322" s="6">
        <f>ROUND((AD322-(AD322*BH322)),2)</f>
        <v>163.44999999999999</v>
      </c>
      <c r="AM322" s="6">
        <f>ROUND((AD322-(AD322*BI322)),2)</f>
        <v>161.79</v>
      </c>
      <c r="AN322" s="6">
        <f>ROUND((AD322-(AD322*BJ322)),2)</f>
        <v>161.79</v>
      </c>
      <c r="AO322" s="6">
        <f>ROUND((AD322-(AD322*BK322)),2)</f>
        <v>166.79</v>
      </c>
      <c r="BG322" s="12">
        <v>0.01</v>
      </c>
      <c r="BH322" s="12">
        <v>0.02</v>
      </c>
      <c r="BI322" s="12">
        <v>0.03</v>
      </c>
      <c r="BJ322" s="12">
        <v>0.03</v>
      </c>
      <c r="CC322" s="3" t="str">
        <f>IF(B322&lt;&gt;"",CONCATENATE(SUBSTITUTE(B322," ","-"),".jpg"),"")</f>
        <v>Allied-Moulded-AMP1860NLF.jpg</v>
      </c>
      <c r="CD322" s="16" t="s">
        <v>111</v>
      </c>
      <c r="CE322" s="3"/>
      <c r="CF322" s="3"/>
      <c r="CG322" s="3" t="s">
        <v>112</v>
      </c>
      <c r="CI322" s="3" t="s">
        <v>97</v>
      </c>
      <c r="CJ322" s="3" t="s">
        <v>481</v>
      </c>
      <c r="CK322" s="3" t="s">
        <v>114</v>
      </c>
      <c r="CL322" s="3" t="s">
        <v>115</v>
      </c>
      <c r="CM322" s="3" t="s">
        <v>116</v>
      </c>
      <c r="CN322" t="s">
        <v>117</v>
      </c>
      <c r="CO322" s="3" t="s">
        <v>482</v>
      </c>
      <c r="CP322" s="3" t="s">
        <v>139</v>
      </c>
      <c r="CQ322" s="3" t="s">
        <v>120</v>
      </c>
      <c r="CR322" s="3" t="s">
        <v>140</v>
      </c>
      <c r="CS322" s="16" t="s">
        <v>122</v>
      </c>
      <c r="CT322" s="16" t="s">
        <v>1814</v>
      </c>
      <c r="CU322" s="16" t="s">
        <v>242</v>
      </c>
      <c r="CV322" s="3" t="s">
        <v>167</v>
      </c>
    </row>
    <row r="323" spans="1:100" ht="15" customHeight="1">
      <c r="A323" t="s">
        <v>2139</v>
      </c>
      <c r="B323" s="3" t="s">
        <v>2140</v>
      </c>
      <c r="C323" s="16" t="s">
        <v>97</v>
      </c>
      <c r="D323" s="40" t="s">
        <v>2141</v>
      </c>
      <c r="E323" s="16" t="s">
        <v>97</v>
      </c>
      <c r="F323" s="131" t="s">
        <v>2142</v>
      </c>
      <c r="I323" s="100" t="s">
        <v>342</v>
      </c>
      <c r="J323" s="16" t="s">
        <v>101</v>
      </c>
      <c r="K323" s="16"/>
      <c r="L323" s="3" t="s">
        <v>102</v>
      </c>
      <c r="M323" s="3" t="s">
        <v>103</v>
      </c>
      <c r="N323" s="3" t="s">
        <v>104</v>
      </c>
      <c r="O323" s="16" t="s">
        <v>105</v>
      </c>
      <c r="P323" s="3" t="s">
        <v>2143</v>
      </c>
      <c r="Q323" s="3" t="s">
        <v>2143</v>
      </c>
      <c r="R323" s="3" t="s">
        <v>2143</v>
      </c>
      <c r="S323" t="s">
        <v>2139</v>
      </c>
      <c r="T323" s="130" t="s">
        <v>107</v>
      </c>
      <c r="U323" s="35">
        <v>19</v>
      </c>
      <c r="V323" s="40"/>
      <c r="W323" s="40"/>
      <c r="X323" s="59" t="s">
        <v>108</v>
      </c>
      <c r="Y323" s="93">
        <f>IF(AD323=0, 0, IF(OR(H323="", H323&lt;&gt;0), 1, 0))</f>
        <v>1</v>
      </c>
      <c r="Z323" s="3">
        <v>0</v>
      </c>
      <c r="AA323" s="3" t="s">
        <v>2144</v>
      </c>
      <c r="AD323" s="6">
        <f>ROUND((AG323*(1+AJ323)),2)</f>
        <v>342.36</v>
      </c>
      <c r="AE323" s="69">
        <v>390.15667773000001</v>
      </c>
      <c r="AF323" s="17">
        <f>(AE323*1)</f>
        <v>390.15667773000001</v>
      </c>
      <c r="AG323" s="6">
        <f>ROUND((AE323*AI323),2)</f>
        <v>253.6</v>
      </c>
      <c r="AH323" s="30" t="s">
        <v>110</v>
      </c>
      <c r="AI323" s="3">
        <v>0.65</v>
      </c>
      <c r="AJ323" s="18">
        <v>0.35</v>
      </c>
      <c r="AK323" s="6">
        <f>ROUND((AD323-(AD323*BG323)),2)</f>
        <v>338.94</v>
      </c>
      <c r="AL323" s="6">
        <f>ROUND((AD323-(AD323*BH323)),2)</f>
        <v>335.51</v>
      </c>
      <c r="AM323" s="6">
        <f>ROUND((AD323-(AD323*BI323)),2)</f>
        <v>332.09</v>
      </c>
      <c r="AN323" s="6">
        <f>ROUND((AD323-(AD323*BJ323)),2)</f>
        <v>332.09</v>
      </c>
      <c r="AO323" s="6">
        <f>ROUND((AD323-(AD323*BK323)),2)</f>
        <v>342.36</v>
      </c>
      <c r="BG323" s="12">
        <v>0.01</v>
      </c>
      <c r="BH323" s="12">
        <v>0.02</v>
      </c>
      <c r="BI323" s="12">
        <v>0.03</v>
      </c>
      <c r="BJ323" s="12">
        <v>0.03</v>
      </c>
      <c r="CC323" s="3" t="str">
        <f>IF(B323&lt;&gt;"",CONCATENATE(SUBSTITUTE(B323," ","-"),".jpg"),"")</f>
        <v>Allied-Moulded-AM2068R.jpg</v>
      </c>
      <c r="CD323" s="16" t="s">
        <v>111</v>
      </c>
      <c r="CE323" s="3"/>
      <c r="CF323" s="3"/>
      <c r="CG323" s="3" t="s">
        <v>112</v>
      </c>
      <c r="CI323" s="3" t="s">
        <v>97</v>
      </c>
      <c r="CJ323" s="3" t="s">
        <v>383</v>
      </c>
      <c r="CK323" s="3" t="s">
        <v>114</v>
      </c>
      <c r="CL323" s="3" t="s">
        <v>115</v>
      </c>
      <c r="CM323" s="16"/>
      <c r="CN323" s="16" t="s">
        <v>349</v>
      </c>
      <c r="CO323" s="3" t="s">
        <v>118</v>
      </c>
      <c r="CP323" s="3" t="s">
        <v>139</v>
      </c>
      <c r="CQ323" s="3" t="s">
        <v>120</v>
      </c>
      <c r="CR323" s="3" t="s">
        <v>140</v>
      </c>
      <c r="CS323" s="3" t="s">
        <v>384</v>
      </c>
      <c r="CT323" s="16" t="s">
        <v>2145</v>
      </c>
      <c r="CU323" s="16" t="s">
        <v>242</v>
      </c>
      <c r="CV323" s="3" t="s">
        <v>167</v>
      </c>
    </row>
    <row r="324" spans="1:100" ht="15" customHeight="1">
      <c r="A324" t="s">
        <v>2146</v>
      </c>
      <c r="B324" s="3" t="s">
        <v>2147</v>
      </c>
      <c r="C324" s="16" t="s">
        <v>97</v>
      </c>
      <c r="D324" s="48" t="s">
        <v>2148</v>
      </c>
      <c r="E324" s="16" t="s">
        <v>97</v>
      </c>
      <c r="F324" s="131" t="s">
        <v>2149</v>
      </c>
      <c r="I324" s="100" t="s">
        <v>342</v>
      </c>
      <c r="J324" s="16" t="s">
        <v>101</v>
      </c>
      <c r="K324" s="16"/>
      <c r="L324" s="3" t="s">
        <v>102</v>
      </c>
      <c r="M324" s="3" t="s">
        <v>103</v>
      </c>
      <c r="N324" s="3" t="s">
        <v>104</v>
      </c>
      <c r="O324" s="16" t="s">
        <v>105</v>
      </c>
      <c r="P324" s="3" t="s">
        <v>2150</v>
      </c>
      <c r="Q324" s="3" t="s">
        <v>2150</v>
      </c>
      <c r="R324" s="3" t="s">
        <v>2150</v>
      </c>
      <c r="S324" t="s">
        <v>2146</v>
      </c>
      <c r="T324" s="130" t="s">
        <v>107</v>
      </c>
      <c r="U324" s="33">
        <v>19</v>
      </c>
      <c r="V324" s="40"/>
      <c r="W324" s="40"/>
      <c r="X324" s="59" t="s">
        <v>108</v>
      </c>
      <c r="Y324" s="93">
        <f>IF(AD324=0, 0, IF(OR(H324="", H324&lt;&gt;0), 1, 0))</f>
        <v>1</v>
      </c>
      <c r="Z324" s="3">
        <v>0</v>
      </c>
      <c r="AA324" s="3" t="s">
        <v>2151</v>
      </c>
      <c r="AD324" s="6">
        <f>ROUND((AG324*(1+AJ324)),2)</f>
        <v>347.68</v>
      </c>
      <c r="AE324" s="68">
        <v>396.20998464000002</v>
      </c>
      <c r="AF324" s="17">
        <f>(AE324*1)</f>
        <v>396.20998464000002</v>
      </c>
      <c r="AG324" s="6">
        <f>ROUND((AE324*AI324),2)</f>
        <v>257.54000000000002</v>
      </c>
      <c r="AH324" s="30" t="s">
        <v>110</v>
      </c>
      <c r="AI324" s="3">
        <v>0.65</v>
      </c>
      <c r="AJ324" s="18">
        <v>0.35</v>
      </c>
      <c r="AK324" s="6">
        <f>ROUND((AD324-(AD324*BG324)),2)</f>
        <v>344.2</v>
      </c>
      <c r="AL324" s="6">
        <f>ROUND((AD324-(AD324*BH324)),2)</f>
        <v>340.73</v>
      </c>
      <c r="AM324" s="6">
        <f>ROUND((AD324-(AD324*BI324)),2)</f>
        <v>337.25</v>
      </c>
      <c r="AN324" s="6">
        <f>ROUND((AD324-(AD324*BJ324)),2)</f>
        <v>337.25</v>
      </c>
      <c r="AO324" s="6">
        <f>ROUND((AD324-(AD324*BK324)),2)</f>
        <v>347.68</v>
      </c>
      <c r="BG324" s="12">
        <v>0.01</v>
      </c>
      <c r="BH324" s="12">
        <v>0.02</v>
      </c>
      <c r="BI324" s="12">
        <v>0.03</v>
      </c>
      <c r="BJ324" s="12">
        <v>0.03</v>
      </c>
      <c r="CC324" s="3" t="str">
        <f>IF(B324&lt;&gt;"",CONCATENATE(SUBSTITUTE(B324," ","-"),".jpg"),"")</f>
        <v>Allied-Moulded-AM2068RH.jpg</v>
      </c>
      <c r="CD324" s="16" t="s">
        <v>111</v>
      </c>
      <c r="CE324" s="3"/>
      <c r="CF324" s="3"/>
      <c r="CG324" s="3" t="s">
        <v>112</v>
      </c>
      <c r="CI324" s="3" t="s">
        <v>97</v>
      </c>
      <c r="CJ324" s="3" t="s">
        <v>383</v>
      </c>
      <c r="CK324" s="3" t="s">
        <v>114</v>
      </c>
      <c r="CL324" s="3" t="s">
        <v>115</v>
      </c>
      <c r="CO324" s="3" t="s">
        <v>118</v>
      </c>
      <c r="CP324" s="3" t="s">
        <v>139</v>
      </c>
      <c r="CQ324" s="3" t="s">
        <v>120</v>
      </c>
      <c r="CR324" s="3" t="s">
        <v>140</v>
      </c>
      <c r="CS324" s="3" t="s">
        <v>384</v>
      </c>
      <c r="CT324" s="16" t="s">
        <v>2145</v>
      </c>
      <c r="CU324" s="16" t="s">
        <v>242</v>
      </c>
      <c r="CV324" s="3" t="s">
        <v>167</v>
      </c>
    </row>
    <row r="325" spans="1:100" ht="15" customHeight="1">
      <c r="A325" t="s">
        <v>2152</v>
      </c>
      <c r="B325" s="3" t="s">
        <v>2153</v>
      </c>
      <c r="C325" s="16" t="s">
        <v>97</v>
      </c>
      <c r="D325" s="44" t="s">
        <v>2154</v>
      </c>
      <c r="E325" s="16" t="s">
        <v>97</v>
      </c>
      <c r="F325" s="131" t="s">
        <v>2155</v>
      </c>
      <c r="I325" s="100" t="s">
        <v>342</v>
      </c>
      <c r="J325" s="16" t="s">
        <v>101</v>
      </c>
      <c r="K325" s="16"/>
      <c r="L325" s="3" t="s">
        <v>102</v>
      </c>
      <c r="M325" s="3" t="s">
        <v>103</v>
      </c>
      <c r="N325" s="3" t="s">
        <v>104</v>
      </c>
      <c r="O325" s="16" t="s">
        <v>105</v>
      </c>
      <c r="P325" s="3" t="s">
        <v>2156</v>
      </c>
      <c r="Q325" s="3" t="s">
        <v>2156</v>
      </c>
      <c r="R325" s="3" t="s">
        <v>2156</v>
      </c>
      <c r="S325" t="s">
        <v>2152</v>
      </c>
      <c r="T325" s="130" t="s">
        <v>1832</v>
      </c>
      <c r="U325" s="34">
        <v>19</v>
      </c>
      <c r="V325" s="39"/>
      <c r="W325" s="39"/>
      <c r="X325" s="59" t="s">
        <v>108</v>
      </c>
      <c r="Y325" s="93">
        <f>IF(AD325=0, 0, IF(OR(H325="", H325&lt;&gt;0), 1, 0))</f>
        <v>1</v>
      </c>
      <c r="Z325" s="3">
        <v>0</v>
      </c>
      <c r="AA325" s="3" t="s">
        <v>2157</v>
      </c>
      <c r="AD325" s="6">
        <f>ROUND((AG325*(1+AJ325)),2)</f>
        <v>364.05</v>
      </c>
      <c r="AE325" s="69">
        <v>414.88021269000001</v>
      </c>
      <c r="AF325" s="17">
        <f>(AE325*1)</f>
        <v>414.88021269000001</v>
      </c>
      <c r="AG325" s="6">
        <f>ROUND((AE325*AI325),2)</f>
        <v>269.67</v>
      </c>
      <c r="AH325" s="30" t="s">
        <v>110</v>
      </c>
      <c r="AI325" s="3">
        <v>0.65</v>
      </c>
      <c r="AJ325" s="18">
        <v>0.35</v>
      </c>
      <c r="AK325" s="6">
        <f>ROUND((AD325-(AD325*BG325)),2)</f>
        <v>360.41</v>
      </c>
      <c r="AL325" s="6">
        <f>ROUND((AD325-(AD325*BH325)),2)</f>
        <v>356.77</v>
      </c>
      <c r="AM325" s="6">
        <f>ROUND((AD325-(AD325*BI325)),2)</f>
        <v>353.13</v>
      </c>
      <c r="AN325" s="6">
        <f>ROUND((AD325-(AD325*BJ325)),2)</f>
        <v>353.13</v>
      </c>
      <c r="AO325" s="6">
        <f>ROUND((AD325-(AD325*BK325)),2)</f>
        <v>364.05</v>
      </c>
      <c r="BG325" s="12">
        <v>0.01</v>
      </c>
      <c r="BH325" s="12">
        <v>0.02</v>
      </c>
      <c r="BI325" s="12">
        <v>0.03</v>
      </c>
      <c r="BJ325" s="12">
        <v>0.03</v>
      </c>
      <c r="CC325" s="3" t="str">
        <f>IF(B325&lt;&gt;"",CONCATENATE(SUBSTITUTE(B325," ","-"),".jpg"),"")</f>
        <v>Allied-Moulded-AM2068RL.jpg</v>
      </c>
      <c r="CD325" s="16" t="s">
        <v>111</v>
      </c>
      <c r="CE325" s="3"/>
      <c r="CF325" s="3"/>
      <c r="CG325" s="3" t="s">
        <v>112</v>
      </c>
      <c r="CI325" s="3" t="s">
        <v>97</v>
      </c>
      <c r="CJ325" s="3" t="s">
        <v>383</v>
      </c>
      <c r="CK325" s="3" t="s">
        <v>114</v>
      </c>
      <c r="CL325" s="3" t="s">
        <v>115</v>
      </c>
      <c r="CM325" s="3" t="s">
        <v>116</v>
      </c>
      <c r="CN325" t="s">
        <v>117</v>
      </c>
      <c r="CO325" s="3" t="s">
        <v>118</v>
      </c>
      <c r="CP325" s="3" t="s">
        <v>139</v>
      </c>
      <c r="CQ325" s="3" t="s">
        <v>120</v>
      </c>
      <c r="CR325" s="3" t="s">
        <v>140</v>
      </c>
      <c r="CS325" s="16" t="s">
        <v>122</v>
      </c>
      <c r="CT325" s="16" t="s">
        <v>2145</v>
      </c>
      <c r="CU325" s="16" t="s">
        <v>242</v>
      </c>
      <c r="CV325" s="3" t="s">
        <v>167</v>
      </c>
    </row>
    <row r="326" spans="1:100" ht="15" customHeight="1">
      <c r="A326" t="s">
        <v>2158</v>
      </c>
      <c r="B326" s="3" t="s">
        <v>2159</v>
      </c>
      <c r="C326" s="16" t="s">
        <v>97</v>
      </c>
      <c r="D326" s="44" t="s">
        <v>2160</v>
      </c>
      <c r="E326" s="16" t="s">
        <v>97</v>
      </c>
      <c r="F326" s="131" t="s">
        <v>2161</v>
      </c>
      <c r="I326" s="100" t="s">
        <v>342</v>
      </c>
      <c r="J326" s="16" t="s">
        <v>101</v>
      </c>
      <c r="K326" s="16"/>
      <c r="L326" s="3" t="s">
        <v>102</v>
      </c>
      <c r="M326" s="3" t="s">
        <v>103</v>
      </c>
      <c r="N326" s="3" t="s">
        <v>104</v>
      </c>
      <c r="O326" s="16" t="s">
        <v>105</v>
      </c>
      <c r="P326" s="3" t="s">
        <v>2162</v>
      </c>
      <c r="Q326" s="3" t="s">
        <v>2162</v>
      </c>
      <c r="R326" s="3" t="s">
        <v>2162</v>
      </c>
      <c r="S326" t="s">
        <v>2158</v>
      </c>
      <c r="T326" s="130" t="s">
        <v>1832</v>
      </c>
      <c r="U326" s="34">
        <v>19</v>
      </c>
      <c r="V326" s="39"/>
      <c r="W326" s="39"/>
      <c r="X326" s="59" t="s">
        <v>108</v>
      </c>
      <c r="Y326" s="93">
        <f>IF(AD326=0, 0, IF(OR(H326="", H326&lt;&gt;0), 1, 0))</f>
        <v>1</v>
      </c>
      <c r="Z326" s="3">
        <v>0</v>
      </c>
      <c r="AA326" s="3" t="s">
        <v>2163</v>
      </c>
      <c r="AD326" s="6">
        <f>ROUND((AG326*(1+AJ326)),2)</f>
        <v>364.05</v>
      </c>
      <c r="AE326" s="69">
        <v>414.88021269000001</v>
      </c>
      <c r="AF326" s="17">
        <f>(AE326*1)</f>
        <v>414.88021269000001</v>
      </c>
      <c r="AG326" s="6">
        <f>ROUND((AE326*AI326),2)</f>
        <v>269.67</v>
      </c>
      <c r="AH326" s="30" t="s">
        <v>110</v>
      </c>
      <c r="AI326" s="3">
        <v>0.65</v>
      </c>
      <c r="AJ326" s="18">
        <v>0.35</v>
      </c>
      <c r="AK326" s="6">
        <f>ROUND((AD326-(AD326*BG326)),2)</f>
        <v>360.41</v>
      </c>
      <c r="AL326" s="6">
        <f>ROUND((AD326-(AD326*BH326)),2)</f>
        <v>356.77</v>
      </c>
      <c r="AM326" s="6">
        <f>ROUND((AD326-(AD326*BI326)),2)</f>
        <v>353.13</v>
      </c>
      <c r="AN326" s="6">
        <f>ROUND((AD326-(AD326*BJ326)),2)</f>
        <v>353.13</v>
      </c>
      <c r="AO326" s="6">
        <f>ROUND((AD326-(AD326*BK326)),2)</f>
        <v>364.05</v>
      </c>
      <c r="BG326" s="12">
        <v>0.01</v>
      </c>
      <c r="BH326" s="12">
        <v>0.02</v>
      </c>
      <c r="BI326" s="12">
        <v>0.03</v>
      </c>
      <c r="BJ326" s="12">
        <v>0.03</v>
      </c>
      <c r="CC326" s="3" t="str">
        <f>IF(B326&lt;&gt;"",CONCATENATE(SUBSTITUTE(B326," ","-"),".jpg"),"")</f>
        <v>Allied-Moulded-AM2068RT.jpg</v>
      </c>
      <c r="CD326" s="16" t="s">
        <v>111</v>
      </c>
      <c r="CE326" s="3"/>
      <c r="CF326" s="3"/>
      <c r="CG326" s="3" t="s">
        <v>112</v>
      </c>
      <c r="CI326" s="3" t="s">
        <v>97</v>
      </c>
      <c r="CJ326" s="3" t="s">
        <v>383</v>
      </c>
      <c r="CK326" s="3" t="s">
        <v>114</v>
      </c>
      <c r="CL326" s="3" t="s">
        <v>115</v>
      </c>
      <c r="CM326" s="3" t="s">
        <v>116</v>
      </c>
      <c r="CN326" s="16" t="s">
        <v>132</v>
      </c>
      <c r="CO326" s="3" t="s">
        <v>118</v>
      </c>
      <c r="CP326" s="3" t="s">
        <v>139</v>
      </c>
      <c r="CQ326" s="3" t="s">
        <v>120</v>
      </c>
      <c r="CR326" s="3" t="s">
        <v>140</v>
      </c>
      <c r="CS326" s="16" t="s">
        <v>122</v>
      </c>
      <c r="CT326" s="16" t="s">
        <v>2145</v>
      </c>
      <c r="CU326" s="16" t="s">
        <v>242</v>
      </c>
      <c r="CV326" s="3" t="s">
        <v>167</v>
      </c>
    </row>
    <row r="327" spans="1:100" ht="15" customHeight="1">
      <c r="A327" t="s">
        <v>2164</v>
      </c>
      <c r="B327" s="3" t="s">
        <v>2165</v>
      </c>
      <c r="C327" s="16" t="s">
        <v>97</v>
      </c>
      <c r="D327" s="43" t="s">
        <v>2166</v>
      </c>
      <c r="E327" s="16" t="s">
        <v>97</v>
      </c>
      <c r="F327" s="131" t="s">
        <v>2167</v>
      </c>
      <c r="I327" s="100" t="s">
        <v>342</v>
      </c>
      <c r="J327" s="16" t="s">
        <v>101</v>
      </c>
      <c r="K327" s="16"/>
      <c r="L327" s="3" t="s">
        <v>102</v>
      </c>
      <c r="M327" s="3" t="s">
        <v>103</v>
      </c>
      <c r="N327" s="3" t="s">
        <v>104</v>
      </c>
      <c r="O327" s="16" t="s">
        <v>105</v>
      </c>
      <c r="P327" s="3" t="s">
        <v>2168</v>
      </c>
      <c r="Q327" s="3" t="s">
        <v>2168</v>
      </c>
      <c r="R327" s="3" t="s">
        <v>2168</v>
      </c>
      <c r="S327" t="s">
        <v>2164</v>
      </c>
      <c r="T327" s="130" t="s">
        <v>107</v>
      </c>
      <c r="U327" s="35">
        <v>19</v>
      </c>
      <c r="V327" s="40"/>
      <c r="W327" s="40"/>
      <c r="X327" s="59" t="s">
        <v>108</v>
      </c>
      <c r="Y327" s="93">
        <f>IF(AD327=0, 0, IF(OR(H327="", H327&lt;&gt;0), 1, 0))</f>
        <v>1</v>
      </c>
      <c r="Z327" s="3">
        <v>0</v>
      </c>
      <c r="AA327" s="3" t="s">
        <v>2169</v>
      </c>
      <c r="AD327" s="6">
        <f>ROUND((AG327*(1+AJ327)),2)</f>
        <v>502.21</v>
      </c>
      <c r="AE327" s="69">
        <v>572.32800780000002</v>
      </c>
      <c r="AF327" s="17">
        <f>(AE327*1)</f>
        <v>572.32800780000002</v>
      </c>
      <c r="AG327" s="6">
        <f>ROUND((AE327*AI327),2)</f>
        <v>372.01</v>
      </c>
      <c r="AH327" s="30" t="s">
        <v>110</v>
      </c>
      <c r="AI327" s="3">
        <v>0.65</v>
      </c>
      <c r="AJ327" s="18">
        <v>0.35</v>
      </c>
      <c r="AK327" s="6">
        <f>ROUND((AD327-(AD327*BG327)),2)</f>
        <v>497.19</v>
      </c>
      <c r="AL327" s="6">
        <f>ROUND((AD327-(AD327*BH327)),2)</f>
        <v>492.17</v>
      </c>
      <c r="AM327" s="6">
        <f>ROUND((AD327-(AD327*BI327)),2)</f>
        <v>487.14</v>
      </c>
      <c r="AN327" s="6">
        <f>ROUND((AD327-(AD327*BJ327)),2)</f>
        <v>487.14</v>
      </c>
      <c r="AO327" s="6">
        <f>ROUND((AD327-(AD327*BK327)),2)</f>
        <v>502.21</v>
      </c>
      <c r="BG327" s="12">
        <v>0.01</v>
      </c>
      <c r="BH327" s="12">
        <v>0.02</v>
      </c>
      <c r="BI327" s="12">
        <v>0.03</v>
      </c>
      <c r="BJ327" s="12">
        <v>0.03</v>
      </c>
      <c r="CC327" s="3" t="str">
        <f>IF(B327&lt;&gt;"",CONCATENATE(SUBSTITUTE(B327," ","-"),".jpg"),"")</f>
        <v>Allied-Moulded-AM2068RW.jpg</v>
      </c>
      <c r="CD327" s="16" t="s">
        <v>111</v>
      </c>
      <c r="CE327" s="3"/>
      <c r="CF327" s="3"/>
      <c r="CG327" s="3" t="s">
        <v>112</v>
      </c>
      <c r="CI327" s="3" t="s">
        <v>97</v>
      </c>
      <c r="CJ327" s="3" t="s">
        <v>383</v>
      </c>
      <c r="CK327" s="3" t="s">
        <v>114</v>
      </c>
      <c r="CL327" s="3" t="s">
        <v>115</v>
      </c>
      <c r="CM327" s="16"/>
      <c r="CN327" s="16" t="s">
        <v>349</v>
      </c>
      <c r="CO327" s="3" t="s">
        <v>118</v>
      </c>
      <c r="CP327" s="3" t="s">
        <v>139</v>
      </c>
      <c r="CQ327" s="3" t="s">
        <v>120</v>
      </c>
      <c r="CR327" s="16" t="s">
        <v>121</v>
      </c>
      <c r="CS327" s="3" t="s">
        <v>384</v>
      </c>
      <c r="CT327" s="16" t="s">
        <v>2145</v>
      </c>
      <c r="CU327" s="16" t="s">
        <v>242</v>
      </c>
      <c r="CV327" s="3" t="s">
        <v>167</v>
      </c>
    </row>
    <row r="328" spans="1:100" ht="15" customHeight="1">
      <c r="A328" t="s">
        <v>2170</v>
      </c>
      <c r="B328" s="3" t="s">
        <v>2171</v>
      </c>
      <c r="C328" s="16" t="s">
        <v>97</v>
      </c>
      <c r="D328" s="129" t="s">
        <v>2172</v>
      </c>
      <c r="E328" s="16" t="s">
        <v>97</v>
      </c>
      <c r="F328" s="131" t="s">
        <v>2173</v>
      </c>
      <c r="I328" s="100" t="s">
        <v>342</v>
      </c>
      <c r="J328" s="16" t="s">
        <v>101</v>
      </c>
      <c r="K328" s="16"/>
      <c r="L328" s="3" t="s">
        <v>102</v>
      </c>
      <c r="M328" s="3" t="s">
        <v>103</v>
      </c>
      <c r="N328" s="3" t="s">
        <v>104</v>
      </c>
      <c r="O328" s="16" t="s">
        <v>105</v>
      </c>
      <c r="P328" s="3" t="s">
        <v>2174</v>
      </c>
      <c r="Q328" s="3" t="s">
        <v>2174</v>
      </c>
      <c r="R328" s="3" t="s">
        <v>2174</v>
      </c>
      <c r="S328" t="s">
        <v>2170</v>
      </c>
      <c r="T328" s="130" t="s">
        <v>107</v>
      </c>
      <c r="U328" s="34">
        <v>19</v>
      </c>
      <c r="V328" s="39"/>
      <c r="W328" s="39"/>
      <c r="X328" s="59" t="s">
        <v>108</v>
      </c>
      <c r="Y328" s="93">
        <f>IF(AD328=0, 0, IF(OR(H328="", H328&lt;&gt;0), 1, 0))</f>
        <v>1</v>
      </c>
      <c r="Z328" s="3">
        <v>0</v>
      </c>
      <c r="AA328" s="3" t="s">
        <v>2175</v>
      </c>
      <c r="AD328" s="6">
        <f>ROUND((AG328*(1+AJ328)),2)</f>
        <v>507.61</v>
      </c>
      <c r="AE328" s="69">
        <v>578.48091571000009</v>
      </c>
      <c r="AF328" s="17">
        <f>(AE328*1)</f>
        <v>578.48091571000009</v>
      </c>
      <c r="AG328" s="6">
        <f>ROUND((AE328*AI328),2)</f>
        <v>376.01</v>
      </c>
      <c r="AH328" s="30" t="s">
        <v>110</v>
      </c>
      <c r="AI328" s="3">
        <v>0.65</v>
      </c>
      <c r="AJ328" s="18">
        <v>0.35</v>
      </c>
      <c r="AK328" s="6">
        <f>ROUND((AD328-(AD328*BG328)),2)</f>
        <v>502.53</v>
      </c>
      <c r="AL328" s="6">
        <f>ROUND((AD328-(AD328*BH328)),2)</f>
        <v>497.46</v>
      </c>
      <c r="AM328" s="6">
        <f>ROUND((AD328-(AD328*BI328)),2)</f>
        <v>492.38</v>
      </c>
      <c r="AN328" s="6">
        <f>ROUND((AD328-(AD328*BJ328)),2)</f>
        <v>492.38</v>
      </c>
      <c r="AO328" s="6">
        <f>ROUND((AD328-(AD328*BK328)),2)</f>
        <v>507.61</v>
      </c>
      <c r="BG328" s="12">
        <v>0.01</v>
      </c>
      <c r="BH328" s="12">
        <v>0.02</v>
      </c>
      <c r="BI328" s="12">
        <v>0.03</v>
      </c>
      <c r="BJ328" s="12">
        <v>0.03</v>
      </c>
      <c r="CC328" s="3" t="str">
        <f>IF(B328&lt;&gt;"",CONCATENATE(SUBSTITUTE(B328," ","-"),".jpg"),"")</f>
        <v>Allied-Moulded-AM2068RHW.jpg</v>
      </c>
      <c r="CD328" s="16" t="s">
        <v>111</v>
      </c>
      <c r="CE328" s="3"/>
      <c r="CF328" s="3"/>
      <c r="CG328" s="3" t="s">
        <v>112</v>
      </c>
      <c r="CI328" s="3" t="s">
        <v>97</v>
      </c>
      <c r="CJ328" s="3" t="s">
        <v>383</v>
      </c>
      <c r="CK328" s="3" t="s">
        <v>114</v>
      </c>
      <c r="CL328" s="3" t="s">
        <v>115</v>
      </c>
      <c r="CO328" s="3" t="s">
        <v>118</v>
      </c>
      <c r="CQ328" s="3" t="s">
        <v>120</v>
      </c>
      <c r="CR328" s="16" t="s">
        <v>121</v>
      </c>
      <c r="CS328" s="3" t="s">
        <v>384</v>
      </c>
      <c r="CT328" s="16" t="s">
        <v>2145</v>
      </c>
      <c r="CU328" s="16" t="s">
        <v>242</v>
      </c>
      <c r="CV328" s="3" t="s">
        <v>167</v>
      </c>
    </row>
    <row r="329" spans="1:100" ht="15" customHeight="1">
      <c r="A329" t="s">
        <v>2176</v>
      </c>
      <c r="B329" s="3" t="s">
        <v>2177</v>
      </c>
      <c r="C329" s="16" t="s">
        <v>97</v>
      </c>
      <c r="D329" s="44" t="s">
        <v>2178</v>
      </c>
      <c r="E329" s="16" t="s">
        <v>97</v>
      </c>
      <c r="F329" s="131" t="s">
        <v>2179</v>
      </c>
      <c r="I329" s="100" t="s">
        <v>342</v>
      </c>
      <c r="J329" s="16" t="s">
        <v>101</v>
      </c>
      <c r="K329" s="16"/>
      <c r="L329" s="3" t="s">
        <v>102</v>
      </c>
      <c r="M329" s="3" t="s">
        <v>103</v>
      </c>
      <c r="N329" s="3" t="s">
        <v>104</v>
      </c>
      <c r="O329" s="16" t="s">
        <v>105</v>
      </c>
      <c r="P329" s="3" t="s">
        <v>2180</v>
      </c>
      <c r="Q329" s="3" t="s">
        <v>2180</v>
      </c>
      <c r="R329" s="3" t="s">
        <v>2180</v>
      </c>
      <c r="S329" t="s">
        <v>2176</v>
      </c>
      <c r="T329" s="130" t="s">
        <v>1832</v>
      </c>
      <c r="U329" s="34">
        <v>19</v>
      </c>
      <c r="V329" s="39"/>
      <c r="W329" s="39"/>
      <c r="X329" s="59" t="s">
        <v>108</v>
      </c>
      <c r="Y329" s="93">
        <f>IF(AD329=0, 0, IF(OR(H329="", H329&lt;&gt;0), 1, 0))</f>
        <v>1</v>
      </c>
      <c r="Z329" s="3">
        <v>0</v>
      </c>
      <c r="AA329" s="3" t="s">
        <v>2181</v>
      </c>
      <c r="AD329" s="6">
        <f>ROUND((AG329*(1+AJ329)),2)</f>
        <v>564.79</v>
      </c>
      <c r="AE329" s="69">
        <v>643.63356880000003</v>
      </c>
      <c r="AF329" s="17">
        <f>(AE329*1)</f>
        <v>643.63356880000003</v>
      </c>
      <c r="AG329" s="6">
        <f>ROUND((AE329*AI329),2)</f>
        <v>418.36</v>
      </c>
      <c r="AH329" s="30" t="s">
        <v>110</v>
      </c>
      <c r="AI329" s="3">
        <v>0.65</v>
      </c>
      <c r="AJ329" s="18">
        <v>0.35</v>
      </c>
      <c r="AK329" s="6">
        <f>ROUND((AD329-(AD329*BG329)),2)</f>
        <v>559.14</v>
      </c>
      <c r="AL329" s="6">
        <f>ROUND((AD329-(AD329*BH329)),2)</f>
        <v>553.49</v>
      </c>
      <c r="AM329" s="6">
        <f>ROUND((AD329-(AD329*BI329)),2)</f>
        <v>547.85</v>
      </c>
      <c r="AN329" s="6">
        <f>ROUND((AD329-(AD329*BJ329)),2)</f>
        <v>547.85</v>
      </c>
      <c r="AO329" s="6">
        <f>ROUND((AD329-(AD329*BK329)),2)</f>
        <v>564.79</v>
      </c>
      <c r="BG329" s="12">
        <v>0.01</v>
      </c>
      <c r="BH329" s="12">
        <v>0.02</v>
      </c>
      <c r="BI329" s="12">
        <v>0.03</v>
      </c>
      <c r="BJ329" s="12">
        <v>0.03</v>
      </c>
      <c r="CC329" s="3" t="str">
        <f>IF(B329&lt;&gt;"",CONCATENATE(SUBSTITUTE(B329," ","-"),".jpg"),"")</f>
        <v>Allied-Moulded-AM2068RLW.jpg</v>
      </c>
      <c r="CD329" s="16" t="s">
        <v>111</v>
      </c>
      <c r="CE329" s="3"/>
      <c r="CF329" s="3"/>
      <c r="CG329" s="3" t="s">
        <v>112</v>
      </c>
      <c r="CI329" s="3" t="s">
        <v>97</v>
      </c>
      <c r="CJ329" s="3" t="s">
        <v>383</v>
      </c>
      <c r="CK329" s="3" t="s">
        <v>114</v>
      </c>
      <c r="CL329" s="3" t="s">
        <v>115</v>
      </c>
      <c r="CM329" s="3" t="s">
        <v>116</v>
      </c>
      <c r="CN329" t="s">
        <v>117</v>
      </c>
      <c r="CO329" s="3" t="s">
        <v>118</v>
      </c>
      <c r="CP329" s="3" t="s">
        <v>139</v>
      </c>
      <c r="CQ329" s="3" t="s">
        <v>120</v>
      </c>
      <c r="CR329" s="16" t="s">
        <v>121</v>
      </c>
      <c r="CS329" s="16" t="s">
        <v>122</v>
      </c>
      <c r="CT329" s="16" t="s">
        <v>2145</v>
      </c>
      <c r="CU329" s="16" t="s">
        <v>242</v>
      </c>
      <c r="CV329" s="3" t="s">
        <v>167</v>
      </c>
    </row>
    <row r="330" spans="1:100" ht="15" customHeight="1">
      <c r="A330" t="s">
        <v>2182</v>
      </c>
      <c r="B330" s="3" t="s">
        <v>2183</v>
      </c>
      <c r="C330" s="16" t="s">
        <v>97</v>
      </c>
      <c r="D330" s="43" t="s">
        <v>2184</v>
      </c>
      <c r="E330" s="16" t="s">
        <v>97</v>
      </c>
      <c r="F330" s="131" t="s">
        <v>2185</v>
      </c>
      <c r="I330" s="100" t="s">
        <v>342</v>
      </c>
      <c r="J330" s="16" t="s">
        <v>101</v>
      </c>
      <c r="K330" s="16"/>
      <c r="L330" s="3" t="s">
        <v>102</v>
      </c>
      <c r="M330" s="3" t="s">
        <v>103</v>
      </c>
      <c r="N330" s="3" t="s">
        <v>104</v>
      </c>
      <c r="O330" s="16" t="s">
        <v>105</v>
      </c>
      <c r="P330" s="3" t="s">
        <v>2186</v>
      </c>
      <c r="Q330" s="3" t="s">
        <v>2186</v>
      </c>
      <c r="R330" s="3" t="s">
        <v>2186</v>
      </c>
      <c r="S330" t="s">
        <v>2182</v>
      </c>
      <c r="T330" s="130" t="s">
        <v>1832</v>
      </c>
      <c r="U330" s="35">
        <v>19</v>
      </c>
      <c r="V330" s="40"/>
      <c r="W330" s="40"/>
      <c r="X330" s="59" t="s">
        <v>108</v>
      </c>
      <c r="Y330" s="93">
        <f>IF(AD330=0, 0, IF(OR(H330="", H330&lt;&gt;0), 1, 0))</f>
        <v>1</v>
      </c>
      <c r="Z330" s="3">
        <v>0</v>
      </c>
      <c r="AA330" s="3" t="s">
        <v>2187</v>
      </c>
      <c r="AD330" s="6">
        <f>ROUND((AG330*(1+AJ330)),2)</f>
        <v>564.79</v>
      </c>
      <c r="AE330" s="69">
        <v>643.63356880000003</v>
      </c>
      <c r="AF330" s="17">
        <f>(AE330*1)</f>
        <v>643.63356880000003</v>
      </c>
      <c r="AG330" s="6">
        <f>ROUND((AE330*AI330),2)</f>
        <v>418.36</v>
      </c>
      <c r="AH330" s="30" t="s">
        <v>110</v>
      </c>
      <c r="AI330" s="3">
        <v>0.65</v>
      </c>
      <c r="AJ330" s="18">
        <v>0.35</v>
      </c>
      <c r="AK330" s="6">
        <f>ROUND((AD330-(AD330*BG330)),2)</f>
        <v>559.14</v>
      </c>
      <c r="AL330" s="6">
        <f>ROUND((AD330-(AD330*BH330)),2)</f>
        <v>553.49</v>
      </c>
      <c r="AM330" s="6">
        <f>ROUND((AD330-(AD330*BI330)),2)</f>
        <v>547.85</v>
      </c>
      <c r="AN330" s="6">
        <f>ROUND((AD330-(AD330*BJ330)),2)</f>
        <v>547.85</v>
      </c>
      <c r="AO330" s="6">
        <f>ROUND((AD330-(AD330*BK330)),2)</f>
        <v>564.79</v>
      </c>
      <c r="BG330" s="12">
        <v>0.01</v>
      </c>
      <c r="BH330" s="12">
        <v>0.02</v>
      </c>
      <c r="BI330" s="12">
        <v>0.03</v>
      </c>
      <c r="BJ330" s="12">
        <v>0.03</v>
      </c>
      <c r="CC330" s="3" t="str">
        <f>IF(B330&lt;&gt;"",CONCATENATE(SUBSTITUTE(B330," ","-"),".jpg"),"")</f>
        <v>Allied-Moulded-AM2068RTW.jpg</v>
      </c>
      <c r="CD330" s="16" t="s">
        <v>111</v>
      </c>
      <c r="CE330" s="3"/>
      <c r="CF330" s="3"/>
      <c r="CG330" s="3" t="s">
        <v>112</v>
      </c>
      <c r="CI330" s="3" t="s">
        <v>97</v>
      </c>
      <c r="CJ330" s="3" t="s">
        <v>383</v>
      </c>
      <c r="CK330" s="3" t="s">
        <v>114</v>
      </c>
      <c r="CL330" s="3" t="s">
        <v>115</v>
      </c>
      <c r="CM330" s="3" t="s">
        <v>116</v>
      </c>
      <c r="CN330" s="16" t="s">
        <v>132</v>
      </c>
      <c r="CO330" s="3" t="s">
        <v>118</v>
      </c>
      <c r="CP330" s="3" t="s">
        <v>139</v>
      </c>
      <c r="CQ330" s="3" t="s">
        <v>120</v>
      </c>
      <c r="CR330" s="16" t="s">
        <v>121</v>
      </c>
      <c r="CS330" s="16" t="s">
        <v>122</v>
      </c>
      <c r="CT330" s="16" t="s">
        <v>2145</v>
      </c>
      <c r="CU330" s="16" t="s">
        <v>242</v>
      </c>
      <c r="CV330" s="3" t="s">
        <v>167</v>
      </c>
    </row>
    <row r="331" spans="1:100" ht="15" customHeight="1">
      <c r="A331" t="s">
        <v>2188</v>
      </c>
      <c r="B331" s="3" t="s">
        <v>2189</v>
      </c>
      <c r="C331" s="16" t="s">
        <v>97</v>
      </c>
      <c r="D331" s="44" t="s">
        <v>2190</v>
      </c>
      <c r="E331" s="16" t="s">
        <v>97</v>
      </c>
      <c r="F331" s="131" t="s">
        <v>2191</v>
      </c>
      <c r="I331" s="100" t="s">
        <v>342</v>
      </c>
      <c r="J331" s="16" t="s">
        <v>101</v>
      </c>
      <c r="K331" s="16"/>
      <c r="L331" s="3" t="s">
        <v>102</v>
      </c>
      <c r="M331" s="3" t="s">
        <v>103</v>
      </c>
      <c r="N331" s="3" t="s">
        <v>104</v>
      </c>
      <c r="O331" s="16" t="s">
        <v>105</v>
      </c>
      <c r="P331" s="3" t="s">
        <v>2192</v>
      </c>
      <c r="Q331" s="3" t="s">
        <v>2192</v>
      </c>
      <c r="R331" s="3" t="s">
        <v>2192</v>
      </c>
      <c r="S331" t="s">
        <v>2188</v>
      </c>
      <c r="T331" s="130" t="s">
        <v>465</v>
      </c>
      <c r="U331" s="34">
        <v>19</v>
      </c>
      <c r="V331" s="39"/>
      <c r="W331" s="39"/>
      <c r="X331" s="59" t="s">
        <v>108</v>
      </c>
      <c r="Y331" s="93">
        <f>IF(AD331=0, 0, IF(OR(H331="", H331&lt;&gt;0), 1, 0))</f>
        <v>1</v>
      </c>
      <c r="Z331" s="3">
        <v>0</v>
      </c>
      <c r="AA331" s="3" t="s">
        <v>2193</v>
      </c>
      <c r="AD331" s="6">
        <f>ROUND((AG331*(1+AJ331)),2)</f>
        <v>414.41</v>
      </c>
      <c r="AE331" s="69">
        <v>472.26343776000004</v>
      </c>
      <c r="AF331" s="17">
        <f>(AE331*1)</f>
        <v>472.26343776000004</v>
      </c>
      <c r="AG331" s="6">
        <f>ROUND((AE331*AI331),2)</f>
        <v>306.97000000000003</v>
      </c>
      <c r="AH331" s="30" t="s">
        <v>110</v>
      </c>
      <c r="AI331" s="3">
        <v>0.65</v>
      </c>
      <c r="AJ331" s="18">
        <v>0.35</v>
      </c>
      <c r="AK331" s="6">
        <f>ROUND((AD331-(AD331*BG331)),2)</f>
        <v>410.27</v>
      </c>
      <c r="AL331" s="6">
        <f>ROUND((AD331-(AD331*BH331)),2)</f>
        <v>406.12</v>
      </c>
      <c r="AM331" s="6">
        <f>ROUND((AD331-(AD331*BI331)),2)</f>
        <v>401.98</v>
      </c>
      <c r="AN331" s="6">
        <f>ROUND((AD331-(AD331*BJ331)),2)</f>
        <v>401.98</v>
      </c>
      <c r="AO331" s="6">
        <f>ROUND((AD331-(AD331*BK331)),2)</f>
        <v>414.41</v>
      </c>
      <c r="BG331" s="12">
        <v>0.01</v>
      </c>
      <c r="BH331" s="12">
        <v>0.02</v>
      </c>
      <c r="BI331" s="12">
        <v>0.03</v>
      </c>
      <c r="BJ331" s="12">
        <v>0.03</v>
      </c>
      <c r="CC331" s="3" t="str">
        <f>IF(B331&lt;&gt;"",CONCATENATE(SUBSTITUTE(B331," ","-"),".jpg"),"")</f>
        <v>Allied-Moulded-AMU2060LF.jpg</v>
      </c>
      <c r="CD331" s="16" t="s">
        <v>111</v>
      </c>
      <c r="CE331" s="3"/>
      <c r="CF331" s="3"/>
      <c r="CG331" s="3" t="s">
        <v>112</v>
      </c>
      <c r="CI331" s="3" t="s">
        <v>97</v>
      </c>
      <c r="CJ331" s="3" t="s">
        <v>467</v>
      </c>
      <c r="CK331" s="3" t="s">
        <v>114</v>
      </c>
      <c r="CL331" s="3" t="s">
        <v>115</v>
      </c>
      <c r="CM331" s="3" t="s">
        <v>116</v>
      </c>
      <c r="CN331" t="s">
        <v>117</v>
      </c>
      <c r="CO331" s="3" t="s">
        <v>118</v>
      </c>
      <c r="CP331" s="3" t="s">
        <v>139</v>
      </c>
      <c r="CQ331" s="3" t="s">
        <v>120</v>
      </c>
      <c r="CR331" s="3" t="s">
        <v>140</v>
      </c>
      <c r="CS331" s="16" t="s">
        <v>122</v>
      </c>
      <c r="CT331" s="16" t="s">
        <v>2145</v>
      </c>
      <c r="CU331" s="16" t="s">
        <v>242</v>
      </c>
      <c r="CV331" s="3" t="s">
        <v>167</v>
      </c>
    </row>
    <row r="332" spans="1:100" ht="15" customHeight="1">
      <c r="A332" t="s">
        <v>2194</v>
      </c>
      <c r="B332" s="3" t="s">
        <v>2195</v>
      </c>
      <c r="C332" s="16" t="s">
        <v>97</v>
      </c>
      <c r="D332" s="44" t="s">
        <v>2196</v>
      </c>
      <c r="E332" s="16" t="s">
        <v>97</v>
      </c>
      <c r="F332" s="131" t="s">
        <v>2197</v>
      </c>
      <c r="I332" s="100" t="s">
        <v>342</v>
      </c>
      <c r="J332" s="16" t="s">
        <v>101</v>
      </c>
      <c r="K332" s="16"/>
      <c r="L332" s="3" t="s">
        <v>102</v>
      </c>
      <c r="M332" s="3" t="s">
        <v>103</v>
      </c>
      <c r="N332" s="3" t="s">
        <v>104</v>
      </c>
      <c r="O332" s="16" t="s">
        <v>105</v>
      </c>
      <c r="P332" s="3" t="s">
        <v>2198</v>
      </c>
      <c r="Q332" s="3" t="s">
        <v>2198</v>
      </c>
      <c r="R332" s="3" t="s">
        <v>2198</v>
      </c>
      <c r="S332" t="s">
        <v>2194</v>
      </c>
      <c r="T332" s="130" t="s">
        <v>465</v>
      </c>
      <c r="U332" s="34">
        <v>19</v>
      </c>
      <c r="V332" s="39"/>
      <c r="W332" s="39"/>
      <c r="X332" s="59" t="s">
        <v>108</v>
      </c>
      <c r="Y332" s="93">
        <f>IF(AD332=0, 0, IF(OR(H332="", H332&lt;&gt;0), 1, 0))</f>
        <v>1</v>
      </c>
      <c r="Z332" s="3">
        <v>0</v>
      </c>
      <c r="AA332" s="3" t="s">
        <v>2199</v>
      </c>
      <c r="AD332" s="6">
        <f>ROUND((AG332*(1+AJ332)),2)</f>
        <v>414.41</v>
      </c>
      <c r="AE332" s="69">
        <v>472.26343776000004</v>
      </c>
      <c r="AF332" s="17">
        <f>(AE332*1)</f>
        <v>472.26343776000004</v>
      </c>
      <c r="AG332" s="6">
        <f>ROUND((AE332*AI332),2)</f>
        <v>306.97000000000003</v>
      </c>
      <c r="AH332" s="30" t="s">
        <v>110</v>
      </c>
      <c r="AI332" s="3">
        <v>0.65</v>
      </c>
      <c r="AJ332" s="18">
        <v>0.35</v>
      </c>
      <c r="AK332" s="6">
        <f>ROUND((AD332-(AD332*BG332)),2)</f>
        <v>410.27</v>
      </c>
      <c r="AL332" s="6">
        <f>ROUND((AD332-(AD332*BH332)),2)</f>
        <v>406.12</v>
      </c>
      <c r="AM332" s="6">
        <f>ROUND((AD332-(AD332*BI332)),2)</f>
        <v>401.98</v>
      </c>
      <c r="AN332" s="6">
        <f>ROUND((AD332-(AD332*BJ332)),2)</f>
        <v>401.98</v>
      </c>
      <c r="AO332" s="6">
        <f>ROUND((AD332-(AD332*BK332)),2)</f>
        <v>414.41</v>
      </c>
      <c r="BG332" s="12">
        <v>0.01</v>
      </c>
      <c r="BH332" s="12">
        <v>0.02</v>
      </c>
      <c r="BI332" s="12">
        <v>0.03</v>
      </c>
      <c r="BJ332" s="12">
        <v>0.03</v>
      </c>
      <c r="CC332" s="3" t="str">
        <f>IF(B332&lt;&gt;"",CONCATENATE(SUBSTITUTE(B332," ","-"),".jpg"),"")</f>
        <v>Allied-Moulded-AMU2060TF.jpg</v>
      </c>
      <c r="CD332" s="16" t="s">
        <v>111</v>
      </c>
      <c r="CE332" s="3"/>
      <c r="CF332" s="3"/>
      <c r="CG332" s="3" t="s">
        <v>112</v>
      </c>
      <c r="CI332" s="3" t="s">
        <v>97</v>
      </c>
      <c r="CJ332" s="3" t="s">
        <v>467</v>
      </c>
      <c r="CK332" s="3" t="s">
        <v>114</v>
      </c>
      <c r="CL332" s="3" t="s">
        <v>115</v>
      </c>
      <c r="CM332" s="3" t="s">
        <v>116</v>
      </c>
      <c r="CN332" s="16" t="s">
        <v>132</v>
      </c>
      <c r="CO332" s="3" t="s">
        <v>118</v>
      </c>
      <c r="CP332" s="3" t="s">
        <v>139</v>
      </c>
      <c r="CQ332" s="3" t="s">
        <v>120</v>
      </c>
      <c r="CR332" s="3" t="s">
        <v>140</v>
      </c>
      <c r="CS332" s="16" t="s">
        <v>122</v>
      </c>
      <c r="CT332" s="16" t="s">
        <v>2145</v>
      </c>
      <c r="CU332" s="16" t="s">
        <v>242</v>
      </c>
      <c r="CV332" s="3" t="s">
        <v>167</v>
      </c>
    </row>
    <row r="333" spans="1:100" ht="15" customHeight="1">
      <c r="A333" t="s">
        <v>2200</v>
      </c>
      <c r="B333" s="3" t="s">
        <v>2201</v>
      </c>
      <c r="C333" s="16" t="s">
        <v>97</v>
      </c>
      <c r="D333" s="44" t="s">
        <v>2202</v>
      </c>
      <c r="E333" s="16" t="s">
        <v>97</v>
      </c>
      <c r="F333" s="131" t="s">
        <v>2203</v>
      </c>
      <c r="I333" s="100" t="s">
        <v>342</v>
      </c>
      <c r="J333" s="16" t="s">
        <v>101</v>
      </c>
      <c r="K333" s="16"/>
      <c r="L333" s="3" t="s">
        <v>102</v>
      </c>
      <c r="M333" s="3" t="s">
        <v>103</v>
      </c>
      <c r="N333" s="3" t="s">
        <v>104</v>
      </c>
      <c r="O333" s="16" t="s">
        <v>105</v>
      </c>
      <c r="P333" s="3" t="s">
        <v>2204</v>
      </c>
      <c r="Q333" s="3" t="s">
        <v>2204</v>
      </c>
      <c r="R333" s="3" t="s">
        <v>2204</v>
      </c>
      <c r="S333" t="s">
        <v>2200</v>
      </c>
      <c r="T333" s="130" t="s">
        <v>465</v>
      </c>
      <c r="U333" s="34">
        <v>19</v>
      </c>
      <c r="V333" s="39"/>
      <c r="W333" s="39"/>
      <c r="X333" s="59" t="s">
        <v>108</v>
      </c>
      <c r="Y333" s="93">
        <f>IF(AD333=0, 0, IF(OR(H333="", H333&lt;&gt;0), 1, 0))</f>
        <v>1</v>
      </c>
      <c r="Z333" s="3">
        <v>0</v>
      </c>
      <c r="AA333" s="3" t="s">
        <v>2205</v>
      </c>
      <c r="AD333" s="6">
        <f>ROUND((AG333*(1+AJ333)),2)</f>
        <v>609.51</v>
      </c>
      <c r="AE333" s="69">
        <v>694.59925217999989</v>
      </c>
      <c r="AF333" s="17">
        <f>(AE333*1)</f>
        <v>694.59925217999989</v>
      </c>
      <c r="AG333" s="6">
        <f>ROUND((AE333*AI333),2)</f>
        <v>451.49</v>
      </c>
      <c r="AH333" s="30" t="s">
        <v>110</v>
      </c>
      <c r="AI333" s="3">
        <v>0.65</v>
      </c>
      <c r="AJ333" s="18">
        <v>0.35</v>
      </c>
      <c r="AK333" s="6">
        <f>ROUND((AD333-(AD333*BG333)),2)</f>
        <v>603.41</v>
      </c>
      <c r="AL333" s="6">
        <f>ROUND((AD333-(AD333*BH333)),2)</f>
        <v>597.32000000000005</v>
      </c>
      <c r="AM333" s="6">
        <f>ROUND((AD333-(AD333*BI333)),2)</f>
        <v>591.22</v>
      </c>
      <c r="AN333" s="6">
        <f>ROUND((AD333-(AD333*BJ333)),2)</f>
        <v>591.22</v>
      </c>
      <c r="AO333" s="6">
        <f>ROUND((AD333-(AD333*BK333)),2)</f>
        <v>609.51</v>
      </c>
      <c r="BG333" s="12">
        <v>0.01</v>
      </c>
      <c r="BH333" s="12">
        <v>0.02</v>
      </c>
      <c r="BI333" s="12">
        <v>0.03</v>
      </c>
      <c r="BJ333" s="12">
        <v>0.03</v>
      </c>
      <c r="CC333" s="3" t="str">
        <f>IF(B333&lt;&gt;"",CONCATENATE(SUBSTITUTE(B333," ","-"),".jpg"),"")</f>
        <v>Allied-Moulded-AMU2060LW.jpg</v>
      </c>
      <c r="CD333" s="16" t="s">
        <v>111</v>
      </c>
      <c r="CE333" s="3"/>
      <c r="CF333" s="3"/>
      <c r="CG333" s="3" t="s">
        <v>112</v>
      </c>
      <c r="CI333" s="3" t="s">
        <v>97</v>
      </c>
      <c r="CJ333" s="3" t="s">
        <v>467</v>
      </c>
      <c r="CK333" s="3" t="s">
        <v>114</v>
      </c>
      <c r="CL333" s="3" t="s">
        <v>115</v>
      </c>
      <c r="CM333" s="3" t="s">
        <v>116</v>
      </c>
      <c r="CN333" t="s">
        <v>117</v>
      </c>
      <c r="CO333" s="3" t="s">
        <v>118</v>
      </c>
      <c r="CP333" s="3" t="s">
        <v>139</v>
      </c>
      <c r="CQ333" s="3" t="s">
        <v>120</v>
      </c>
      <c r="CR333" s="3" t="s">
        <v>140</v>
      </c>
      <c r="CS333" s="16" t="s">
        <v>122</v>
      </c>
      <c r="CT333" s="16" t="s">
        <v>2145</v>
      </c>
      <c r="CU333" s="16" t="s">
        <v>242</v>
      </c>
      <c r="CV333" s="3" t="s">
        <v>167</v>
      </c>
    </row>
    <row r="334" spans="1:100" ht="15" customHeight="1">
      <c r="A334" t="s">
        <v>2206</v>
      </c>
      <c r="B334" s="3" t="s">
        <v>2207</v>
      </c>
      <c r="C334" s="16" t="s">
        <v>97</v>
      </c>
      <c r="D334" s="43" t="s">
        <v>2208</v>
      </c>
      <c r="E334" s="16" t="s">
        <v>97</v>
      </c>
      <c r="F334" s="131" t="s">
        <v>2209</v>
      </c>
      <c r="I334" s="100" t="s">
        <v>342</v>
      </c>
      <c r="J334" s="16" t="s">
        <v>101</v>
      </c>
      <c r="K334" s="16"/>
      <c r="L334" s="3" t="s">
        <v>102</v>
      </c>
      <c r="M334" s="3" t="s">
        <v>103</v>
      </c>
      <c r="N334" s="3" t="s">
        <v>104</v>
      </c>
      <c r="O334" s="16" t="s">
        <v>105</v>
      </c>
      <c r="P334" s="3" t="s">
        <v>2210</v>
      </c>
      <c r="Q334" s="3" t="s">
        <v>2210</v>
      </c>
      <c r="R334" s="3" t="s">
        <v>2210</v>
      </c>
      <c r="S334" t="s">
        <v>2206</v>
      </c>
      <c r="T334" s="130" t="s">
        <v>465</v>
      </c>
      <c r="U334" s="35">
        <v>19</v>
      </c>
      <c r="V334" s="40"/>
      <c r="W334" s="40"/>
      <c r="X334" s="59" t="s">
        <v>108</v>
      </c>
      <c r="Y334" s="93">
        <f>IF(AD334=0, 0, IF(OR(H334="", H334&lt;&gt;0), 1, 0))</f>
        <v>1</v>
      </c>
      <c r="Z334" s="3">
        <v>0</v>
      </c>
      <c r="AA334" s="3" t="s">
        <v>2211</v>
      </c>
      <c r="AD334" s="6">
        <f>ROUND((AG334*(1+AJ334)),2)</f>
        <v>626.25</v>
      </c>
      <c r="AE334" s="69">
        <v>713.67420328000003</v>
      </c>
      <c r="AF334" s="17">
        <f>(AE334*1)</f>
        <v>713.67420328000003</v>
      </c>
      <c r="AG334" s="6">
        <f>ROUND((AE334*AI334),2)</f>
        <v>463.89</v>
      </c>
      <c r="AH334" s="30" t="s">
        <v>110</v>
      </c>
      <c r="AI334" s="3">
        <v>0.65</v>
      </c>
      <c r="AJ334" s="18">
        <v>0.35</v>
      </c>
      <c r="AK334" s="6">
        <f>ROUND((AD334-(AD334*BG334)),2)</f>
        <v>619.99</v>
      </c>
      <c r="AL334" s="6">
        <f>ROUND((AD334-(AD334*BH334)),2)</f>
        <v>613.73</v>
      </c>
      <c r="AM334" s="6">
        <f>ROUND((AD334-(AD334*BI334)),2)</f>
        <v>607.46</v>
      </c>
      <c r="AN334" s="6">
        <f>ROUND((AD334-(AD334*BJ334)),2)</f>
        <v>607.46</v>
      </c>
      <c r="AO334" s="6">
        <f>ROUND((AD334-(AD334*BK334)),2)</f>
        <v>626.25</v>
      </c>
      <c r="BG334" s="12">
        <v>0.01</v>
      </c>
      <c r="BH334" s="12">
        <v>0.02</v>
      </c>
      <c r="BI334" s="12">
        <v>0.03</v>
      </c>
      <c r="BJ334" s="12">
        <v>0.03</v>
      </c>
      <c r="CC334" s="3" t="str">
        <f>IF(B334&lt;&gt;"",CONCATENATE(SUBSTITUTE(B334," ","-"),".jpg"),"")</f>
        <v>Allied-Moulded-AMU2060LWF.jpg</v>
      </c>
      <c r="CD334" s="16" t="s">
        <v>111</v>
      </c>
      <c r="CE334" s="3"/>
      <c r="CF334" s="3"/>
      <c r="CG334" s="3" t="s">
        <v>112</v>
      </c>
      <c r="CI334" s="3" t="s">
        <v>97</v>
      </c>
      <c r="CJ334" s="3" t="s">
        <v>467</v>
      </c>
      <c r="CK334" s="3" t="s">
        <v>114</v>
      </c>
      <c r="CL334" s="3" t="s">
        <v>115</v>
      </c>
      <c r="CM334" s="3" t="s">
        <v>116</v>
      </c>
      <c r="CN334" t="s">
        <v>117</v>
      </c>
      <c r="CO334" s="3" t="s">
        <v>118</v>
      </c>
      <c r="CP334" s="3" t="s">
        <v>139</v>
      </c>
      <c r="CQ334" s="3" t="s">
        <v>120</v>
      </c>
      <c r="CR334" s="3" t="s">
        <v>140</v>
      </c>
      <c r="CS334" s="16" t="s">
        <v>122</v>
      </c>
      <c r="CT334" s="16" t="s">
        <v>2145</v>
      </c>
      <c r="CU334" s="16" t="s">
        <v>242</v>
      </c>
      <c r="CV334" s="3" t="s">
        <v>167</v>
      </c>
    </row>
    <row r="335" spans="1:100" ht="15" customHeight="1">
      <c r="A335" t="s">
        <v>2212</v>
      </c>
      <c r="B335" s="3" t="s">
        <v>2213</v>
      </c>
      <c r="C335" s="16" t="s">
        <v>97</v>
      </c>
      <c r="D335" s="44" t="s">
        <v>2214</v>
      </c>
      <c r="E335" s="16" t="s">
        <v>97</v>
      </c>
      <c r="F335" s="131" t="s">
        <v>2215</v>
      </c>
      <c r="I335" s="100" t="s">
        <v>342</v>
      </c>
      <c r="J335" s="16" t="s">
        <v>101</v>
      </c>
      <c r="K335" s="16"/>
      <c r="L335" s="3" t="s">
        <v>102</v>
      </c>
      <c r="M335" s="3" t="s">
        <v>103</v>
      </c>
      <c r="N335" s="3" t="s">
        <v>104</v>
      </c>
      <c r="O335" s="16" t="s">
        <v>105</v>
      </c>
      <c r="P335" s="3" t="s">
        <v>2216</v>
      </c>
      <c r="Q335" s="3" t="s">
        <v>2216</v>
      </c>
      <c r="R335" s="3" t="s">
        <v>2216</v>
      </c>
      <c r="S335" t="s">
        <v>2212</v>
      </c>
      <c r="T335" s="130" t="s">
        <v>465</v>
      </c>
      <c r="U335" s="34">
        <v>19</v>
      </c>
      <c r="V335" s="39"/>
      <c r="W335" s="39"/>
      <c r="X335" s="59" t="s">
        <v>108</v>
      </c>
      <c r="Y335" s="93">
        <f>IF(AD335=0, 0, IF(OR(H335="", H335&lt;&gt;0), 1, 0))</f>
        <v>1</v>
      </c>
      <c r="Z335" s="3">
        <v>0</v>
      </c>
      <c r="AA335" s="3" t="s">
        <v>2217</v>
      </c>
      <c r="AD335" s="6">
        <f>ROUND((AG335*(1+AJ335)),2)</f>
        <v>609.51</v>
      </c>
      <c r="AE335" s="69">
        <v>694.59925217999989</v>
      </c>
      <c r="AF335" s="17">
        <f>(AE335*1)</f>
        <v>694.59925217999989</v>
      </c>
      <c r="AG335" s="6">
        <f>ROUND((AE335*AI335),2)</f>
        <v>451.49</v>
      </c>
      <c r="AH335" s="30" t="s">
        <v>110</v>
      </c>
      <c r="AI335" s="3">
        <v>0.65</v>
      </c>
      <c r="AJ335" s="18">
        <v>0.35</v>
      </c>
      <c r="AK335" s="6">
        <f>ROUND((AD335-(AD335*BG335)),2)</f>
        <v>603.41</v>
      </c>
      <c r="AL335" s="6">
        <f>ROUND((AD335-(AD335*BH335)),2)</f>
        <v>597.32000000000005</v>
      </c>
      <c r="AM335" s="6">
        <f>ROUND((AD335-(AD335*BI335)),2)</f>
        <v>591.22</v>
      </c>
      <c r="AN335" s="6">
        <f>ROUND((AD335-(AD335*BJ335)),2)</f>
        <v>591.22</v>
      </c>
      <c r="AO335" s="6">
        <f>ROUND((AD335-(AD335*BK335)),2)</f>
        <v>609.51</v>
      </c>
      <c r="BG335" s="12">
        <v>0.01</v>
      </c>
      <c r="BH335" s="12">
        <v>0.02</v>
      </c>
      <c r="BI335" s="12">
        <v>0.03</v>
      </c>
      <c r="BJ335" s="12">
        <v>0.03</v>
      </c>
      <c r="CC335" s="3" t="str">
        <f>IF(B335&lt;&gt;"",CONCATENATE(SUBSTITUTE(B335," ","-"),".jpg"),"")</f>
        <v>Allied-Moulded-AMU2060TW.jpg</v>
      </c>
      <c r="CD335" s="16" t="s">
        <v>111</v>
      </c>
      <c r="CE335" s="3"/>
      <c r="CF335" s="3"/>
      <c r="CG335" s="3" t="s">
        <v>112</v>
      </c>
      <c r="CI335" s="3" t="s">
        <v>97</v>
      </c>
      <c r="CJ335" s="3" t="s">
        <v>467</v>
      </c>
      <c r="CK335" s="3" t="s">
        <v>114</v>
      </c>
      <c r="CL335" s="3" t="s">
        <v>115</v>
      </c>
      <c r="CM335" s="3" t="s">
        <v>116</v>
      </c>
      <c r="CN335" s="16" t="s">
        <v>132</v>
      </c>
      <c r="CO335" s="3" t="s">
        <v>118</v>
      </c>
      <c r="CP335" s="3" t="s">
        <v>139</v>
      </c>
      <c r="CQ335" s="3" t="s">
        <v>120</v>
      </c>
      <c r="CR335" s="16" t="s">
        <v>121</v>
      </c>
      <c r="CS335" s="16" t="s">
        <v>122</v>
      </c>
      <c r="CT335" s="16" t="s">
        <v>2145</v>
      </c>
      <c r="CU335" s="16" t="s">
        <v>242</v>
      </c>
      <c r="CV335" s="3" t="s">
        <v>167</v>
      </c>
    </row>
    <row r="336" spans="1:100" ht="15" customHeight="1">
      <c r="A336" t="s">
        <v>2218</v>
      </c>
      <c r="B336" s="3" t="s">
        <v>2219</v>
      </c>
      <c r="C336" s="16" t="s">
        <v>97</v>
      </c>
      <c r="D336" s="43" t="s">
        <v>2220</v>
      </c>
      <c r="E336" s="16" t="s">
        <v>97</v>
      </c>
      <c r="F336" s="131" t="s">
        <v>2221</v>
      </c>
      <c r="I336" s="100" t="s">
        <v>342</v>
      </c>
      <c r="J336" s="16" t="s">
        <v>101</v>
      </c>
      <c r="K336" s="16"/>
      <c r="L336" s="3" t="s">
        <v>102</v>
      </c>
      <c r="M336" s="3" t="s">
        <v>103</v>
      </c>
      <c r="N336" s="3" t="s">
        <v>104</v>
      </c>
      <c r="O336" s="16" t="s">
        <v>105</v>
      </c>
      <c r="P336" s="3" t="s">
        <v>2222</v>
      </c>
      <c r="Q336" s="3" t="s">
        <v>2222</v>
      </c>
      <c r="R336" s="3" t="s">
        <v>2222</v>
      </c>
      <c r="S336" t="s">
        <v>2218</v>
      </c>
      <c r="T336" s="130" t="s">
        <v>465</v>
      </c>
      <c r="U336" s="35">
        <v>19</v>
      </c>
      <c r="V336" s="40"/>
      <c r="W336" s="40"/>
      <c r="X336" s="59" t="s">
        <v>108</v>
      </c>
      <c r="Y336" s="93">
        <f>IF(AD336=0, 0, IF(OR(H336="", H336&lt;&gt;0), 1, 0))</f>
        <v>1</v>
      </c>
      <c r="Z336" s="3">
        <v>0</v>
      </c>
      <c r="AA336" s="3" t="s">
        <v>2223</v>
      </c>
      <c r="AD336" s="6">
        <f>ROUND((AG336*(1+AJ336)),2)</f>
        <v>626.25</v>
      </c>
      <c r="AE336" s="69">
        <v>713.67420328000003</v>
      </c>
      <c r="AF336" s="17">
        <f>(AE336*1)</f>
        <v>713.67420328000003</v>
      </c>
      <c r="AG336" s="6">
        <f>ROUND((AE336*AI336),2)</f>
        <v>463.89</v>
      </c>
      <c r="AH336" s="30" t="s">
        <v>110</v>
      </c>
      <c r="AI336" s="3">
        <v>0.65</v>
      </c>
      <c r="AJ336" s="18">
        <v>0.35</v>
      </c>
      <c r="AK336" s="6">
        <f>ROUND((AD336-(AD336*BG336)),2)</f>
        <v>619.99</v>
      </c>
      <c r="AL336" s="6">
        <f>ROUND((AD336-(AD336*BH336)),2)</f>
        <v>613.73</v>
      </c>
      <c r="AM336" s="6">
        <f>ROUND((AD336-(AD336*BI336)),2)</f>
        <v>607.46</v>
      </c>
      <c r="AN336" s="6">
        <f>ROUND((AD336-(AD336*BJ336)),2)</f>
        <v>607.46</v>
      </c>
      <c r="AO336" s="6">
        <f>ROUND((AD336-(AD336*BK336)),2)</f>
        <v>626.25</v>
      </c>
      <c r="BG336" s="12">
        <v>0.01</v>
      </c>
      <c r="BH336" s="12">
        <v>0.02</v>
      </c>
      <c r="BI336" s="12">
        <v>0.03</v>
      </c>
      <c r="BJ336" s="12">
        <v>0.03</v>
      </c>
      <c r="CC336" s="3" t="str">
        <f>IF(B336&lt;&gt;"",CONCATENATE(SUBSTITUTE(B336," ","-"),".jpg"),"")</f>
        <v>Allied-Moulded-AMU2060TWF.jpg</v>
      </c>
      <c r="CD336" s="16" t="s">
        <v>111</v>
      </c>
      <c r="CE336" s="3"/>
      <c r="CF336" s="3"/>
      <c r="CG336" s="3" t="s">
        <v>112</v>
      </c>
      <c r="CI336" s="3" t="s">
        <v>97</v>
      </c>
      <c r="CJ336" s="3" t="s">
        <v>467</v>
      </c>
      <c r="CK336" s="3" t="s">
        <v>114</v>
      </c>
      <c r="CL336" s="3" t="s">
        <v>115</v>
      </c>
      <c r="CM336" s="3" t="s">
        <v>116</v>
      </c>
      <c r="CN336" s="16" t="s">
        <v>132</v>
      </c>
      <c r="CO336" s="3" t="s">
        <v>118</v>
      </c>
      <c r="CP336" s="3" t="s">
        <v>139</v>
      </c>
      <c r="CQ336" s="3" t="s">
        <v>120</v>
      </c>
      <c r="CR336" s="16" t="s">
        <v>121</v>
      </c>
      <c r="CS336" s="16" t="s">
        <v>122</v>
      </c>
      <c r="CT336" s="16" t="s">
        <v>2145</v>
      </c>
      <c r="CU336" s="16" t="s">
        <v>242</v>
      </c>
      <c r="CV336" s="3" t="s">
        <v>167</v>
      </c>
    </row>
    <row r="337" spans="1:100" ht="15" customHeight="1">
      <c r="A337" s="86" t="s">
        <v>2224</v>
      </c>
      <c r="B337" s="80" t="s">
        <v>2225</v>
      </c>
      <c r="C337" s="16" t="s">
        <v>97</v>
      </c>
      <c r="D337" s="104" t="s">
        <v>2226</v>
      </c>
      <c r="E337" s="16" t="s">
        <v>97</v>
      </c>
      <c r="F337" s="150" t="s">
        <v>2227</v>
      </c>
      <c r="I337" s="100" t="s">
        <v>342</v>
      </c>
      <c r="J337" s="16" t="s">
        <v>101</v>
      </c>
      <c r="K337" s="16"/>
      <c r="L337" s="3" t="s">
        <v>102</v>
      </c>
      <c r="M337" s="3" t="s">
        <v>103</v>
      </c>
      <c r="N337" s="3" t="s">
        <v>104</v>
      </c>
      <c r="O337" s="16" t="s">
        <v>343</v>
      </c>
      <c r="P337" s="80" t="s">
        <v>2228</v>
      </c>
      <c r="Q337" s="80" t="s">
        <v>2228</v>
      </c>
      <c r="R337" s="80" t="s">
        <v>2229</v>
      </c>
      <c r="S337" s="80" t="s">
        <v>2230</v>
      </c>
      <c r="T337" s="132" t="s">
        <v>1832</v>
      </c>
      <c r="U337" s="97">
        <v>18</v>
      </c>
      <c r="X337" s="31" t="s">
        <v>108</v>
      </c>
      <c r="Y337" s="93">
        <f>IF(AD337=0, 0, IF(OR(H337="", H337&lt;&gt;0), 1, 0))</f>
        <v>1</v>
      </c>
      <c r="Z337" s="3">
        <v>0</v>
      </c>
      <c r="AA337" s="3" t="s">
        <v>2231</v>
      </c>
      <c r="AD337" s="6">
        <f>ROUND((AG337*(1+AJ337)),2)</f>
        <v>354.01</v>
      </c>
      <c r="AE337" s="99">
        <v>403.42468041000001</v>
      </c>
      <c r="AF337" s="17">
        <f>(AE337*1)</f>
        <v>403.42468041000001</v>
      </c>
      <c r="AG337" s="6">
        <f>ROUND((AE337*AI337),2)</f>
        <v>262.23</v>
      </c>
      <c r="AH337" s="30" t="s">
        <v>110</v>
      </c>
      <c r="AI337" s="3">
        <v>0.65</v>
      </c>
      <c r="AJ337" s="18">
        <v>0.35</v>
      </c>
      <c r="AK337" s="6">
        <f>ROUND((AD337-(AD337*BG337)),2)</f>
        <v>350.47</v>
      </c>
      <c r="AL337" s="6">
        <f>ROUND((AD337-(AD337*BH337)),2)</f>
        <v>346.93</v>
      </c>
      <c r="AM337" s="6">
        <f>ROUND((AD337-(AD337*BI337)),2)</f>
        <v>343.39</v>
      </c>
      <c r="AN337" s="6">
        <f>ROUND((AD337-(AD337*BJ337)),2)</f>
        <v>343.39</v>
      </c>
      <c r="AO337" s="6">
        <f>ROUND((AD337-(AD337*BK337)),2)</f>
        <v>354.01</v>
      </c>
      <c r="BG337" s="12">
        <v>0.01</v>
      </c>
      <c r="BH337" s="12">
        <v>0.02</v>
      </c>
      <c r="BI337" s="12">
        <v>0.03</v>
      </c>
      <c r="BJ337" s="12">
        <v>0.03</v>
      </c>
      <c r="BK337" s="12"/>
      <c r="CC337" s="3" t="str">
        <f>IF(B337&lt;&gt;"",CONCATENATE(SUBSTITUTE(B337," ","-"),".jpg"),"")</f>
        <v>Allied-Moulded-AM2068L.jpg</v>
      </c>
      <c r="CD337" s="16" t="s">
        <v>111</v>
      </c>
      <c r="CE337" s="3"/>
      <c r="CF337" s="3"/>
      <c r="CG337" s="3" t="s">
        <v>112</v>
      </c>
      <c r="CI337" s="3" t="s">
        <v>97</v>
      </c>
      <c r="CJ337" s="16" t="s">
        <v>348</v>
      </c>
      <c r="CK337" s="3" t="s">
        <v>114</v>
      </c>
      <c r="CL337" s="3" t="s">
        <v>115</v>
      </c>
      <c r="CM337" s="3" t="s">
        <v>116</v>
      </c>
      <c r="CN337" s="16" t="s">
        <v>368</v>
      </c>
      <c r="CO337" s="16" t="s">
        <v>350</v>
      </c>
      <c r="CP337" s="3" t="s">
        <v>139</v>
      </c>
      <c r="CQ337" s="3" t="s">
        <v>120</v>
      </c>
      <c r="CR337" s="3" t="s">
        <v>140</v>
      </c>
      <c r="CS337" s="16" t="s">
        <v>122</v>
      </c>
      <c r="CT337" s="16" t="s">
        <v>2145</v>
      </c>
      <c r="CU337" s="16" t="s">
        <v>242</v>
      </c>
      <c r="CV337" s="16" t="s">
        <v>385</v>
      </c>
    </row>
    <row r="338" spans="1:100" ht="15" customHeight="1">
      <c r="A338" s="86" t="s">
        <v>2232</v>
      </c>
      <c r="B338" s="80" t="s">
        <v>2233</v>
      </c>
      <c r="C338" s="16" t="s">
        <v>97</v>
      </c>
      <c r="D338" s="104" t="s">
        <v>2234</v>
      </c>
      <c r="E338" s="16" t="s">
        <v>97</v>
      </c>
      <c r="F338" s="150" t="s">
        <v>2235</v>
      </c>
      <c r="I338" s="100" t="s">
        <v>342</v>
      </c>
      <c r="J338" s="16" t="s">
        <v>101</v>
      </c>
      <c r="K338" s="16"/>
      <c r="L338" s="3" t="s">
        <v>102</v>
      </c>
      <c r="M338" s="3" t="s">
        <v>103</v>
      </c>
      <c r="N338" s="3" t="s">
        <v>104</v>
      </c>
      <c r="O338" s="16" t="s">
        <v>343</v>
      </c>
      <c r="P338" s="80" t="s">
        <v>2236</v>
      </c>
      <c r="Q338" s="80" t="s">
        <v>2236</v>
      </c>
      <c r="R338" s="80" t="s">
        <v>2237</v>
      </c>
      <c r="S338" s="80" t="s">
        <v>2238</v>
      </c>
      <c r="T338" s="132" t="s">
        <v>1832</v>
      </c>
      <c r="U338" s="97">
        <v>18</v>
      </c>
      <c r="X338" s="31" t="s">
        <v>108</v>
      </c>
      <c r="Y338" s="93">
        <f>IF(AD338=0, 0, IF(OR(H338="", H338&lt;&gt;0), 1, 0))</f>
        <v>1</v>
      </c>
      <c r="Z338" s="3">
        <v>0</v>
      </c>
      <c r="AA338" s="3" t="s">
        <v>2239</v>
      </c>
      <c r="AD338" s="6">
        <f>ROUND((AG338*(1+AJ338)),2)</f>
        <v>354.01</v>
      </c>
      <c r="AE338" s="99">
        <v>403.42468041000001</v>
      </c>
      <c r="AF338" s="17">
        <f>(AE338*1)</f>
        <v>403.42468041000001</v>
      </c>
      <c r="AG338" s="6">
        <f>ROUND((AE338*AI338),2)</f>
        <v>262.23</v>
      </c>
      <c r="AH338" s="30" t="s">
        <v>110</v>
      </c>
      <c r="AI338" s="3">
        <v>0.65</v>
      </c>
      <c r="AJ338" s="18">
        <v>0.35</v>
      </c>
      <c r="AK338" s="6">
        <f>ROUND((AD338-(AD338*BG338)),2)</f>
        <v>350.47</v>
      </c>
      <c r="AL338" s="6">
        <f>ROUND((AD338-(AD338*BH338)),2)</f>
        <v>346.93</v>
      </c>
      <c r="AM338" s="6">
        <f>ROUND((AD338-(AD338*BI338)),2)</f>
        <v>343.39</v>
      </c>
      <c r="AN338" s="6">
        <f>ROUND((AD338-(AD338*BJ338)),2)</f>
        <v>343.39</v>
      </c>
      <c r="AO338" s="6">
        <f>ROUND((AD338-(AD338*BK338)),2)</f>
        <v>354.01</v>
      </c>
      <c r="BG338" s="12">
        <v>0.01</v>
      </c>
      <c r="BH338" s="12">
        <v>0.02</v>
      </c>
      <c r="BI338" s="12">
        <v>0.03</v>
      </c>
      <c r="BJ338" s="12">
        <v>0.03</v>
      </c>
      <c r="BK338" s="12"/>
      <c r="CC338" s="3" t="str">
        <f>IF(B338&lt;&gt;"",CONCATENATE(SUBSTITUTE(B338," ","-"),".jpg"),"")</f>
        <v>Allied-Moulded-AM2068T.jpg</v>
      </c>
      <c r="CD338" s="16" t="s">
        <v>111</v>
      </c>
      <c r="CE338" s="3"/>
      <c r="CF338" s="3"/>
      <c r="CG338" s="3" t="s">
        <v>112</v>
      </c>
      <c r="CI338" s="3" t="s">
        <v>97</v>
      </c>
      <c r="CJ338" s="16" t="s">
        <v>348</v>
      </c>
      <c r="CK338" s="3" t="s">
        <v>114</v>
      </c>
      <c r="CL338" s="3" t="s">
        <v>115</v>
      </c>
      <c r="CM338" s="3" t="s">
        <v>116</v>
      </c>
      <c r="CN338" s="16" t="s">
        <v>132</v>
      </c>
      <c r="CO338" s="16" t="s">
        <v>350</v>
      </c>
      <c r="CP338" s="3" t="s">
        <v>139</v>
      </c>
      <c r="CQ338" s="3" t="s">
        <v>120</v>
      </c>
      <c r="CR338" s="3" t="s">
        <v>140</v>
      </c>
      <c r="CS338" s="16" t="s">
        <v>122</v>
      </c>
      <c r="CT338" s="16" t="s">
        <v>2145</v>
      </c>
      <c r="CU338" s="16" t="s">
        <v>242</v>
      </c>
      <c r="CV338" s="16" t="s">
        <v>385</v>
      </c>
    </row>
    <row r="339" spans="1:100" ht="15" customHeight="1">
      <c r="A339" s="86" t="s">
        <v>2240</v>
      </c>
      <c r="B339" s="80" t="s">
        <v>2241</v>
      </c>
      <c r="C339" s="16" t="s">
        <v>97</v>
      </c>
      <c r="D339" s="104" t="s">
        <v>2242</v>
      </c>
      <c r="E339" s="16" t="s">
        <v>97</v>
      </c>
      <c r="F339" s="150" t="s">
        <v>2243</v>
      </c>
      <c r="I339" s="100" t="s">
        <v>342</v>
      </c>
      <c r="J339" s="16" t="s">
        <v>101</v>
      </c>
      <c r="K339" s="16"/>
      <c r="L339" s="3" t="s">
        <v>102</v>
      </c>
      <c r="M339" s="3" t="s">
        <v>103</v>
      </c>
      <c r="N339" s="3" t="s">
        <v>104</v>
      </c>
      <c r="O339" s="16" t="s">
        <v>343</v>
      </c>
      <c r="P339" s="80" t="s">
        <v>2244</v>
      </c>
      <c r="Q339" s="80" t="s">
        <v>2244</v>
      </c>
      <c r="R339" s="80" t="s">
        <v>2245</v>
      </c>
      <c r="S339" s="80" t="s">
        <v>2246</v>
      </c>
      <c r="T339" s="132" t="s">
        <v>107</v>
      </c>
      <c r="U339" s="97">
        <v>18</v>
      </c>
      <c r="X339" s="31" t="s">
        <v>108</v>
      </c>
      <c r="Y339" s="93">
        <f>IF(AD339=0, 0, IF(OR(H339="", H339&lt;&gt;0), 1, 0))</f>
        <v>1</v>
      </c>
      <c r="Z339" s="3">
        <v>0</v>
      </c>
      <c r="AA339" s="3" t="s">
        <v>2247</v>
      </c>
      <c r="AD339" s="6">
        <f>ROUND((AG339*(1+AJ339)),2)</f>
        <v>494.67</v>
      </c>
      <c r="AE339" s="99">
        <v>563.7175271000001</v>
      </c>
      <c r="AF339" s="17">
        <f>(AE339*1)</f>
        <v>563.7175271000001</v>
      </c>
      <c r="AG339" s="6">
        <f>ROUND((AE339*AI339),2)</f>
        <v>366.42</v>
      </c>
      <c r="AH339" s="30" t="s">
        <v>110</v>
      </c>
      <c r="AI339" s="3">
        <v>0.65</v>
      </c>
      <c r="AJ339" s="18">
        <v>0.35</v>
      </c>
      <c r="AK339" s="6">
        <f>ROUND((AD339-(AD339*BG339)),2)</f>
        <v>489.72</v>
      </c>
      <c r="AL339" s="6">
        <f>ROUND((AD339-(AD339*BH339)),2)</f>
        <v>484.78</v>
      </c>
      <c r="AM339" s="6">
        <f>ROUND((AD339-(AD339*BI339)),2)</f>
        <v>479.83</v>
      </c>
      <c r="AN339" s="6">
        <f>ROUND((AD339-(AD339*BJ339)),2)</f>
        <v>479.83</v>
      </c>
      <c r="AO339" s="6">
        <f>ROUND((AD339-(AD339*BK339)),2)</f>
        <v>494.67</v>
      </c>
      <c r="BG339" s="12">
        <v>0.01</v>
      </c>
      <c r="BH339" s="12">
        <v>0.02</v>
      </c>
      <c r="BI339" s="12">
        <v>0.03</v>
      </c>
      <c r="BJ339" s="12">
        <v>0.03</v>
      </c>
      <c r="BK339" s="12"/>
      <c r="CC339" s="3" t="str">
        <f>IF(B339&lt;&gt;"",CONCATENATE(SUBSTITUTE(B339," ","-"),".jpg"),"")</f>
        <v>Allied-Moulded-AM2068W.jpg</v>
      </c>
      <c r="CD339" s="16" t="s">
        <v>111</v>
      </c>
      <c r="CE339" s="3"/>
      <c r="CF339" s="3"/>
      <c r="CG339" s="3" t="s">
        <v>112</v>
      </c>
      <c r="CI339" s="3" t="s">
        <v>97</v>
      </c>
      <c r="CJ339" s="16" t="s">
        <v>348</v>
      </c>
      <c r="CK339" s="3" t="s">
        <v>114</v>
      </c>
      <c r="CL339" s="3" t="s">
        <v>115</v>
      </c>
      <c r="CM339" s="16"/>
      <c r="CN339" s="16" t="s">
        <v>349</v>
      </c>
      <c r="CO339" s="16" t="s">
        <v>350</v>
      </c>
      <c r="CP339" s="3" t="s">
        <v>139</v>
      </c>
      <c r="CQ339" s="3" t="s">
        <v>120</v>
      </c>
      <c r="CR339" s="16" t="s">
        <v>121</v>
      </c>
      <c r="CS339" s="16" t="s">
        <v>122</v>
      </c>
      <c r="CT339" s="16" t="s">
        <v>2145</v>
      </c>
      <c r="CU339" s="16" t="s">
        <v>242</v>
      </c>
      <c r="CV339" s="16" t="s">
        <v>385</v>
      </c>
    </row>
    <row r="340" spans="1:100" ht="15" customHeight="1">
      <c r="A340" s="86" t="s">
        <v>2248</v>
      </c>
      <c r="B340" s="80" t="s">
        <v>2249</v>
      </c>
      <c r="C340" s="16" t="s">
        <v>97</v>
      </c>
      <c r="D340" s="104" t="s">
        <v>2250</v>
      </c>
      <c r="E340" s="16" t="s">
        <v>97</v>
      </c>
      <c r="F340" s="150" t="s">
        <v>2251</v>
      </c>
      <c r="I340" s="100" t="s">
        <v>342</v>
      </c>
      <c r="J340" s="16" t="s">
        <v>101</v>
      </c>
      <c r="K340" s="16"/>
      <c r="L340" s="3" t="s">
        <v>102</v>
      </c>
      <c r="M340" s="3" t="s">
        <v>103</v>
      </c>
      <c r="N340" s="3" t="s">
        <v>104</v>
      </c>
      <c r="O340" s="16" t="s">
        <v>343</v>
      </c>
      <c r="P340" s="80" t="s">
        <v>2252</v>
      </c>
      <c r="Q340" s="80" t="s">
        <v>2252</v>
      </c>
      <c r="R340" s="80" t="s">
        <v>2253</v>
      </c>
      <c r="S340" s="80" t="s">
        <v>2254</v>
      </c>
      <c r="T340" s="132" t="s">
        <v>107</v>
      </c>
      <c r="U340" s="97">
        <v>18</v>
      </c>
      <c r="X340" s="31" t="s">
        <v>108</v>
      </c>
      <c r="Y340" s="93">
        <f>IF(AD340=0, 0, IF(OR(H340="", H340&lt;&gt;0), 1, 0))</f>
        <v>1</v>
      </c>
      <c r="Z340" s="3">
        <v>0</v>
      </c>
      <c r="AA340" s="3" t="s">
        <v>2255</v>
      </c>
      <c r="AD340" s="6">
        <f>ROUND((AG340*(1+AJ340)),2)</f>
        <v>495.19</v>
      </c>
      <c r="AE340" s="99">
        <v>564.32743645000005</v>
      </c>
      <c r="AF340" s="17">
        <f>(AE340*1)</f>
        <v>564.32743645000005</v>
      </c>
      <c r="AG340" s="6">
        <f>ROUND((AE340*AI340),2)</f>
        <v>366.81</v>
      </c>
      <c r="AH340" s="30" t="s">
        <v>110</v>
      </c>
      <c r="AI340" s="3">
        <v>0.65</v>
      </c>
      <c r="AJ340" s="18">
        <v>0.35</v>
      </c>
      <c r="AK340" s="6">
        <f>ROUND((AD340-(AD340*BG340)),2)</f>
        <v>490.24</v>
      </c>
      <c r="AL340" s="6">
        <f>ROUND((AD340-(AD340*BH340)),2)</f>
        <v>485.29</v>
      </c>
      <c r="AM340" s="6">
        <f>ROUND((AD340-(AD340*BI340)),2)</f>
        <v>480.33</v>
      </c>
      <c r="AN340" s="6">
        <f>ROUND((AD340-(AD340*BJ340)),2)</f>
        <v>480.33</v>
      </c>
      <c r="AO340" s="6">
        <f>ROUND((AD340-(AD340*BK340)),2)</f>
        <v>495.19</v>
      </c>
      <c r="BG340" s="12">
        <v>0.01</v>
      </c>
      <c r="BH340" s="12">
        <v>0.02</v>
      </c>
      <c r="BI340" s="12">
        <v>0.03</v>
      </c>
      <c r="BJ340" s="12">
        <v>0.03</v>
      </c>
      <c r="BK340" s="12"/>
      <c r="CC340" s="3" t="str">
        <f>IF(B340&lt;&gt;"",CONCATENATE(SUBSTITUTE(B340," ","-"),".jpg"),"")</f>
        <v>Allied-Moulded-AM2068HW.jpg</v>
      </c>
      <c r="CD340" s="16" t="s">
        <v>111</v>
      </c>
      <c r="CE340" s="3"/>
      <c r="CF340" s="3"/>
      <c r="CG340" s="3" t="s">
        <v>112</v>
      </c>
      <c r="CI340" s="3" t="s">
        <v>97</v>
      </c>
      <c r="CJ340" s="16" t="s">
        <v>348</v>
      </c>
      <c r="CK340" s="3" t="s">
        <v>114</v>
      </c>
      <c r="CL340" s="3" t="s">
        <v>115</v>
      </c>
      <c r="CM340" s="3" t="s">
        <v>116</v>
      </c>
      <c r="CN340" s="16" t="s">
        <v>349</v>
      </c>
      <c r="CO340" s="16" t="s">
        <v>350</v>
      </c>
      <c r="CP340" s="3" t="s">
        <v>139</v>
      </c>
      <c r="CQ340" s="3" t="s">
        <v>120</v>
      </c>
      <c r="CR340" s="16" t="s">
        <v>121</v>
      </c>
      <c r="CS340" s="16" t="s">
        <v>122</v>
      </c>
      <c r="CT340" s="16" t="s">
        <v>2145</v>
      </c>
      <c r="CU340" s="16" t="s">
        <v>242</v>
      </c>
      <c r="CV340" s="16" t="s">
        <v>385</v>
      </c>
    </row>
    <row r="341" spans="1:100" ht="15" customHeight="1">
      <c r="A341" s="86" t="s">
        <v>2256</v>
      </c>
      <c r="B341" s="80" t="s">
        <v>2257</v>
      </c>
      <c r="C341" s="16" t="s">
        <v>97</v>
      </c>
      <c r="D341" s="80" t="s">
        <v>2258</v>
      </c>
      <c r="E341" s="16" t="s">
        <v>97</v>
      </c>
      <c r="F341" s="132" t="s">
        <v>2259</v>
      </c>
      <c r="I341" s="100" t="s">
        <v>342</v>
      </c>
      <c r="J341" s="16" t="s">
        <v>101</v>
      </c>
      <c r="K341" s="16"/>
      <c r="L341" s="3" t="s">
        <v>102</v>
      </c>
      <c r="M341" s="3" t="s">
        <v>103</v>
      </c>
      <c r="N341" s="3" t="s">
        <v>104</v>
      </c>
      <c r="O341" s="16" t="s">
        <v>343</v>
      </c>
      <c r="P341" s="80" t="s">
        <v>2260</v>
      </c>
      <c r="Q341" s="80" t="s">
        <v>2260</v>
      </c>
      <c r="R341" s="80" t="s">
        <v>2261</v>
      </c>
      <c r="S341" s="80" t="s">
        <v>2262</v>
      </c>
      <c r="T341" s="132" t="s">
        <v>1832</v>
      </c>
      <c r="U341" s="6">
        <v>18</v>
      </c>
      <c r="X341" s="31" t="s">
        <v>108</v>
      </c>
      <c r="Y341" s="93">
        <f>IF(AD341=0, 0, IF(OR(H341="", H341&lt;&gt;0), 1, 0))</f>
        <v>1</v>
      </c>
      <c r="Z341" s="3">
        <v>0</v>
      </c>
      <c r="AA341" s="3" t="s">
        <v>2263</v>
      </c>
      <c r="AD341" s="6">
        <f>ROUND((AG341*(1+AJ341)),2)</f>
        <v>545.39</v>
      </c>
      <c r="AE341" s="67">
        <v>621.51538897</v>
      </c>
      <c r="AF341" s="17">
        <f>(AE341*1)</f>
        <v>621.51538897</v>
      </c>
      <c r="AG341" s="6">
        <f>ROUND((AE341*AI341),2)</f>
        <v>403.99</v>
      </c>
      <c r="AH341" s="30" t="s">
        <v>110</v>
      </c>
      <c r="AI341" s="3">
        <v>0.65</v>
      </c>
      <c r="AJ341" s="18">
        <v>0.35</v>
      </c>
      <c r="AK341" s="6">
        <f>ROUND((AD341-(AD341*BG341)),2)</f>
        <v>539.94000000000005</v>
      </c>
      <c r="AL341" s="6">
        <f>ROUND((AD341-(AD341*BH341)),2)</f>
        <v>534.48</v>
      </c>
      <c r="AM341" s="6">
        <f>ROUND((AD341-(AD341*BI341)),2)</f>
        <v>529.03</v>
      </c>
      <c r="AN341" s="6">
        <f>ROUND((AD341-(AD341*BJ341)),2)</f>
        <v>529.03</v>
      </c>
      <c r="AO341" s="6">
        <f>ROUND((AD341-(AD341*BK341)),2)</f>
        <v>545.39</v>
      </c>
      <c r="BG341" s="12">
        <v>0.01</v>
      </c>
      <c r="BH341" s="12">
        <v>0.02</v>
      </c>
      <c r="BI341" s="12">
        <v>0.03</v>
      </c>
      <c r="BJ341" s="12">
        <v>0.03</v>
      </c>
      <c r="BK341" s="12"/>
      <c r="CC341" s="3" t="str">
        <f>IF(B341&lt;&gt;"",CONCATENATE(SUBSTITUTE(B341," ","-"),".jpg"),"")</f>
        <v>Allied-Moulded-AM2068LW.jpg</v>
      </c>
      <c r="CD341" s="16" t="s">
        <v>111</v>
      </c>
      <c r="CE341" s="3"/>
      <c r="CF341" s="3"/>
      <c r="CG341" s="3" t="s">
        <v>112</v>
      </c>
      <c r="CI341" s="3" t="s">
        <v>97</v>
      </c>
      <c r="CJ341" s="16" t="s">
        <v>348</v>
      </c>
      <c r="CK341" s="3" t="s">
        <v>114</v>
      </c>
      <c r="CL341" s="3" t="s">
        <v>115</v>
      </c>
      <c r="CM341" s="3" t="s">
        <v>116</v>
      </c>
      <c r="CN341" s="16" t="s">
        <v>368</v>
      </c>
      <c r="CO341" s="16" t="s">
        <v>350</v>
      </c>
      <c r="CP341" s="3" t="s">
        <v>139</v>
      </c>
      <c r="CQ341" s="3" t="s">
        <v>120</v>
      </c>
      <c r="CR341" s="16" t="s">
        <v>121</v>
      </c>
      <c r="CS341" s="16" t="s">
        <v>122</v>
      </c>
      <c r="CT341" s="16" t="s">
        <v>2145</v>
      </c>
      <c r="CU341" s="16" t="s">
        <v>242</v>
      </c>
      <c r="CV341" s="16" t="s">
        <v>385</v>
      </c>
    </row>
    <row r="342" spans="1:100" ht="15" customHeight="1">
      <c r="A342" s="86" t="s">
        <v>2264</v>
      </c>
      <c r="B342" s="80" t="s">
        <v>2265</v>
      </c>
      <c r="C342" s="16" t="s">
        <v>97</v>
      </c>
      <c r="D342" s="109" t="s">
        <v>2266</v>
      </c>
      <c r="E342" s="16" t="s">
        <v>97</v>
      </c>
      <c r="F342" s="150" t="s">
        <v>2267</v>
      </c>
      <c r="I342" s="100" t="s">
        <v>342</v>
      </c>
      <c r="J342" s="16" t="s">
        <v>101</v>
      </c>
      <c r="K342" s="16"/>
      <c r="L342" s="3" t="s">
        <v>102</v>
      </c>
      <c r="M342" s="3" t="s">
        <v>103</v>
      </c>
      <c r="N342" s="3" t="s">
        <v>104</v>
      </c>
      <c r="O342" s="16" t="s">
        <v>343</v>
      </c>
      <c r="P342" s="80" t="s">
        <v>2268</v>
      </c>
      <c r="Q342" s="80" t="s">
        <v>2268</v>
      </c>
      <c r="R342" s="80" t="s">
        <v>2269</v>
      </c>
      <c r="S342" s="80" t="s">
        <v>2270</v>
      </c>
      <c r="T342" s="132" t="s">
        <v>1832</v>
      </c>
      <c r="U342" s="96">
        <v>18</v>
      </c>
      <c r="X342" s="31" t="s">
        <v>108</v>
      </c>
      <c r="Y342" s="93">
        <f>IF(AD342=0, 0, IF(OR(H342="", H342&lt;&gt;0), 1, 0))</f>
        <v>1</v>
      </c>
      <c r="Z342" s="3">
        <v>0</v>
      </c>
      <c r="AA342" s="3" t="s">
        <v>2271</v>
      </c>
      <c r="AD342" s="6">
        <f>ROUND((AG342*(1+AJ342)),2)</f>
        <v>545.39</v>
      </c>
      <c r="AE342" s="98">
        <v>621.51538897</v>
      </c>
      <c r="AF342" s="17">
        <f>(AE342*1)</f>
        <v>621.51538897</v>
      </c>
      <c r="AG342" s="6">
        <f>ROUND((AE342*AI342),2)</f>
        <v>403.99</v>
      </c>
      <c r="AH342" s="30" t="s">
        <v>110</v>
      </c>
      <c r="AI342" s="3">
        <v>0.65</v>
      </c>
      <c r="AJ342" s="18">
        <v>0.35</v>
      </c>
      <c r="AK342" s="6">
        <f>ROUND((AD342-(AD342*BG342)),2)</f>
        <v>539.94000000000005</v>
      </c>
      <c r="AL342" s="6">
        <f>ROUND((AD342-(AD342*BH342)),2)</f>
        <v>534.48</v>
      </c>
      <c r="AM342" s="6">
        <f>ROUND((AD342-(AD342*BI342)),2)</f>
        <v>529.03</v>
      </c>
      <c r="AN342" s="6">
        <f>ROUND((AD342-(AD342*BJ342)),2)</f>
        <v>529.03</v>
      </c>
      <c r="AO342" s="6">
        <f>ROUND((AD342-(AD342*BK342)),2)</f>
        <v>545.39</v>
      </c>
      <c r="BG342" s="12">
        <v>0.01</v>
      </c>
      <c r="BH342" s="12">
        <v>0.02</v>
      </c>
      <c r="BI342" s="12">
        <v>0.03</v>
      </c>
      <c r="BJ342" s="12">
        <v>0.03</v>
      </c>
      <c r="BK342" s="12"/>
      <c r="CC342" s="3" t="str">
        <f>IF(B342&lt;&gt;"",CONCATENATE(SUBSTITUTE(B342," ","-"),".jpg"),"")</f>
        <v>Allied-Moulded-AM2068TW.jpg</v>
      </c>
      <c r="CD342" s="16" t="s">
        <v>111</v>
      </c>
      <c r="CE342" s="3"/>
      <c r="CF342" s="3"/>
      <c r="CG342" s="3" t="s">
        <v>112</v>
      </c>
      <c r="CI342" s="3" t="s">
        <v>97</v>
      </c>
      <c r="CJ342" s="16" t="s">
        <v>348</v>
      </c>
      <c r="CK342" s="3" t="s">
        <v>114</v>
      </c>
      <c r="CL342" s="3" t="s">
        <v>115</v>
      </c>
      <c r="CM342" s="3" t="s">
        <v>116</v>
      </c>
      <c r="CN342" s="16" t="s">
        <v>132</v>
      </c>
      <c r="CO342" s="16" t="s">
        <v>350</v>
      </c>
      <c r="CP342" s="3" t="s">
        <v>139</v>
      </c>
      <c r="CQ342" s="3" t="s">
        <v>120</v>
      </c>
      <c r="CR342" s="16" t="s">
        <v>121</v>
      </c>
      <c r="CS342" s="16" t="s">
        <v>122</v>
      </c>
      <c r="CT342" s="16" t="s">
        <v>2145</v>
      </c>
      <c r="CU342" s="16" t="s">
        <v>242</v>
      </c>
      <c r="CV342" s="16" t="s">
        <v>385</v>
      </c>
    </row>
    <row r="343" spans="1:100" ht="15" customHeight="1">
      <c r="A343" t="s">
        <v>2272</v>
      </c>
      <c r="B343" s="3" t="s">
        <v>2273</v>
      </c>
      <c r="C343" s="16" t="s">
        <v>97</v>
      </c>
      <c r="D343" s="43" t="s">
        <v>2274</v>
      </c>
      <c r="E343" s="16" t="s">
        <v>97</v>
      </c>
      <c r="F343" s="131" t="s">
        <v>2275</v>
      </c>
      <c r="I343" s="100" t="s">
        <v>342</v>
      </c>
      <c r="J343" s="16" t="s">
        <v>101</v>
      </c>
      <c r="K343" s="16"/>
      <c r="L343" s="3" t="s">
        <v>102</v>
      </c>
      <c r="M343" s="3" t="s">
        <v>103</v>
      </c>
      <c r="N343" s="3" t="s">
        <v>104</v>
      </c>
      <c r="O343" s="16" t="s">
        <v>105</v>
      </c>
      <c r="P343" s="3" t="s">
        <v>2276</v>
      </c>
      <c r="Q343" s="3" t="s">
        <v>2276</v>
      </c>
      <c r="R343" s="3" t="s">
        <v>2276</v>
      </c>
      <c r="S343" t="s">
        <v>2272</v>
      </c>
      <c r="T343" s="130" t="s">
        <v>465</v>
      </c>
      <c r="U343" s="35">
        <v>18</v>
      </c>
      <c r="V343" s="40"/>
      <c r="W343" s="40"/>
      <c r="X343" s="59" t="s">
        <v>108</v>
      </c>
      <c r="Y343" s="93">
        <f>IF(AD343=0, 0, IF(OR(H343="", H343&lt;&gt;0), 1, 0))</f>
        <v>1</v>
      </c>
      <c r="Z343" s="3">
        <v>0</v>
      </c>
      <c r="AA343" s="3" t="s">
        <v>2277</v>
      </c>
      <c r="AD343" s="6">
        <f>ROUND((AG343*(1+AJ343)),2)</f>
        <v>382.83</v>
      </c>
      <c r="AE343" s="69">
        <v>436.27970590000007</v>
      </c>
      <c r="AF343" s="17">
        <f>(AE343*1)</f>
        <v>436.27970590000007</v>
      </c>
      <c r="AG343" s="6">
        <f>ROUND((AE343*AI343),2)</f>
        <v>283.58</v>
      </c>
      <c r="AH343" s="30" t="s">
        <v>110</v>
      </c>
      <c r="AI343" s="3">
        <v>0.65</v>
      </c>
      <c r="AJ343" s="18">
        <v>0.35</v>
      </c>
      <c r="AK343" s="6">
        <f>ROUND((AD343-(AD343*BG343)),2)</f>
        <v>379</v>
      </c>
      <c r="AL343" s="6">
        <f>ROUND((AD343-(AD343*BH343)),2)</f>
        <v>375.17</v>
      </c>
      <c r="AM343" s="6">
        <f>ROUND((AD343-(AD343*BI343)),2)</f>
        <v>371.35</v>
      </c>
      <c r="AN343" s="6">
        <f>ROUND((AD343-(AD343*BJ343)),2)</f>
        <v>371.35</v>
      </c>
      <c r="AO343" s="6">
        <f>ROUND((AD343-(AD343*BK343)),2)</f>
        <v>382.83</v>
      </c>
      <c r="BG343" s="12">
        <v>0.01</v>
      </c>
      <c r="BH343" s="12">
        <v>0.02</v>
      </c>
      <c r="BI343" s="12">
        <v>0.03</v>
      </c>
      <c r="BJ343" s="12">
        <v>0.03</v>
      </c>
      <c r="CC343" s="3" t="str">
        <f>IF(B343&lt;&gt;"",CONCATENATE(SUBSTITUTE(B343," ","-"),".jpg"),"")</f>
        <v>Allied-Moulded-AMU2060.jpg</v>
      </c>
      <c r="CD343" s="16" t="s">
        <v>111</v>
      </c>
      <c r="CE343" s="3"/>
      <c r="CF343" s="3"/>
      <c r="CG343" s="3" t="s">
        <v>112</v>
      </c>
      <c r="CI343" s="3" t="s">
        <v>97</v>
      </c>
      <c r="CJ343" s="3" t="s">
        <v>467</v>
      </c>
      <c r="CK343" s="3" t="s">
        <v>114</v>
      </c>
      <c r="CL343" s="3" t="s">
        <v>115</v>
      </c>
      <c r="CM343" s="16"/>
      <c r="CN343" s="16" t="s">
        <v>349</v>
      </c>
      <c r="CO343" s="3" t="s">
        <v>118</v>
      </c>
      <c r="CP343" s="3" t="s">
        <v>139</v>
      </c>
      <c r="CQ343" s="3" t="s">
        <v>120</v>
      </c>
      <c r="CR343" s="3" t="s">
        <v>140</v>
      </c>
      <c r="CS343" s="3" t="s">
        <v>384</v>
      </c>
      <c r="CT343" s="16" t="s">
        <v>2145</v>
      </c>
      <c r="CU343" s="16" t="s">
        <v>242</v>
      </c>
      <c r="CV343" s="3" t="s">
        <v>167</v>
      </c>
    </row>
    <row r="344" spans="1:100" ht="15" customHeight="1">
      <c r="A344" t="s">
        <v>2278</v>
      </c>
      <c r="B344" s="3" t="s">
        <v>2279</v>
      </c>
      <c r="C344" s="16" t="s">
        <v>97</v>
      </c>
      <c r="D344" s="44" t="s">
        <v>2280</v>
      </c>
      <c r="E344" s="16" t="s">
        <v>97</v>
      </c>
      <c r="F344" s="131" t="s">
        <v>2281</v>
      </c>
      <c r="I344" s="100" t="s">
        <v>342</v>
      </c>
      <c r="J344" s="16" t="s">
        <v>101</v>
      </c>
      <c r="K344" s="16"/>
      <c r="L344" s="3" t="s">
        <v>102</v>
      </c>
      <c r="M344" s="3" t="s">
        <v>103</v>
      </c>
      <c r="N344" s="3" t="s">
        <v>104</v>
      </c>
      <c r="O344" s="16" t="s">
        <v>105</v>
      </c>
      <c r="P344" s="3" t="s">
        <v>2282</v>
      </c>
      <c r="Q344" s="3" t="s">
        <v>2282</v>
      </c>
      <c r="R344" s="3" t="s">
        <v>2282</v>
      </c>
      <c r="S344" t="s">
        <v>2278</v>
      </c>
      <c r="T344" s="130" t="s">
        <v>465</v>
      </c>
      <c r="U344" s="34">
        <v>18</v>
      </c>
      <c r="V344" s="39"/>
      <c r="W344" s="39"/>
      <c r="X344" s="59" t="s">
        <v>108</v>
      </c>
      <c r="Y344" s="93">
        <f>IF(AD344=0, 0, IF(OR(H344="", H344&lt;&gt;0), 1, 0))</f>
        <v>1</v>
      </c>
      <c r="Z344" s="3">
        <v>0</v>
      </c>
      <c r="AA344" s="3" t="s">
        <v>2283</v>
      </c>
      <c r="AD344" s="6">
        <f>ROUND((AG344*(1+AJ344)),2)</f>
        <v>393.35</v>
      </c>
      <c r="AE344" s="69">
        <v>448.26137763000003</v>
      </c>
      <c r="AF344" s="17">
        <f>(AE344*1)</f>
        <v>448.26137763000003</v>
      </c>
      <c r="AG344" s="6">
        <f>ROUND((AE344*AI344),2)</f>
        <v>291.37</v>
      </c>
      <c r="AH344" s="30" t="s">
        <v>110</v>
      </c>
      <c r="AI344" s="3">
        <v>0.65</v>
      </c>
      <c r="AJ344" s="18">
        <v>0.35</v>
      </c>
      <c r="AK344" s="6">
        <f>ROUND((AD344-(AD344*BG344)),2)</f>
        <v>389.42</v>
      </c>
      <c r="AL344" s="6">
        <f>ROUND((AD344-(AD344*BH344)),2)</f>
        <v>385.48</v>
      </c>
      <c r="AM344" s="6">
        <f>ROUND((AD344-(AD344*BI344)),2)</f>
        <v>381.55</v>
      </c>
      <c r="AN344" s="6">
        <f>ROUND((AD344-(AD344*BJ344)),2)</f>
        <v>381.55</v>
      </c>
      <c r="AO344" s="6">
        <f>ROUND((AD344-(AD344*BK344)),2)</f>
        <v>393.35</v>
      </c>
      <c r="BG344" s="12">
        <v>0.01</v>
      </c>
      <c r="BH344" s="12">
        <v>0.02</v>
      </c>
      <c r="BI344" s="12">
        <v>0.03</v>
      </c>
      <c r="BJ344" s="12">
        <v>0.03</v>
      </c>
      <c r="CC344" s="3" t="str">
        <f>IF(B344&lt;&gt;"",CONCATENATE(SUBSTITUTE(B344," ","-"),".jpg"),"")</f>
        <v>Allied-Moulded-AMU2060F.jpg</v>
      </c>
      <c r="CD344" s="16" t="s">
        <v>111</v>
      </c>
      <c r="CE344" s="3"/>
      <c r="CF344" s="3"/>
      <c r="CG344" s="3" t="s">
        <v>112</v>
      </c>
      <c r="CI344" s="3" t="s">
        <v>97</v>
      </c>
      <c r="CJ344" s="3" t="s">
        <v>467</v>
      </c>
      <c r="CK344" s="3" t="s">
        <v>114</v>
      </c>
      <c r="CL344" s="3" t="s">
        <v>115</v>
      </c>
      <c r="CM344" s="16"/>
      <c r="CN344" s="16" t="s">
        <v>349</v>
      </c>
      <c r="CO344" s="3" t="s">
        <v>118</v>
      </c>
      <c r="CP344" s="3" t="s">
        <v>139</v>
      </c>
      <c r="CQ344" s="3" t="s">
        <v>120</v>
      </c>
      <c r="CR344" s="3" t="s">
        <v>140</v>
      </c>
      <c r="CS344" s="3" t="s">
        <v>384</v>
      </c>
      <c r="CT344" s="16" t="s">
        <v>2145</v>
      </c>
      <c r="CU344" s="16" t="s">
        <v>242</v>
      </c>
      <c r="CV344" s="3" t="s">
        <v>167</v>
      </c>
    </row>
    <row r="345" spans="1:100" ht="15" customHeight="1">
      <c r="A345" t="s">
        <v>2284</v>
      </c>
      <c r="B345" s="3" t="s">
        <v>2285</v>
      </c>
      <c r="C345" s="16" t="s">
        <v>97</v>
      </c>
      <c r="D345" s="44" t="s">
        <v>2286</v>
      </c>
      <c r="E345" s="16" t="s">
        <v>97</v>
      </c>
      <c r="F345" s="131" t="s">
        <v>2287</v>
      </c>
      <c r="I345" s="100" t="s">
        <v>342</v>
      </c>
      <c r="J345" s="16" t="s">
        <v>101</v>
      </c>
      <c r="K345" s="16"/>
      <c r="L345" s="3" t="s">
        <v>102</v>
      </c>
      <c r="M345" s="3" t="s">
        <v>103</v>
      </c>
      <c r="N345" s="3" t="s">
        <v>104</v>
      </c>
      <c r="O345" s="16" t="s">
        <v>105</v>
      </c>
      <c r="P345" s="3" t="s">
        <v>2288</v>
      </c>
      <c r="Q345" s="3" t="s">
        <v>2288</v>
      </c>
      <c r="R345" s="3" t="s">
        <v>2288</v>
      </c>
      <c r="S345" t="s">
        <v>2284</v>
      </c>
      <c r="T345" s="130" t="s">
        <v>465</v>
      </c>
      <c r="U345" s="34">
        <v>18</v>
      </c>
      <c r="V345" s="39"/>
      <c r="W345" s="39"/>
      <c r="X345" s="59" t="s">
        <v>108</v>
      </c>
      <c r="Y345" s="93">
        <f>IF(AD345=0, 0, IF(OR(H345="", H345&lt;&gt;0), 1, 0))</f>
        <v>1</v>
      </c>
      <c r="Z345" s="3">
        <v>0</v>
      </c>
      <c r="AA345" s="3" t="s">
        <v>2289</v>
      </c>
      <c r="AD345" s="6">
        <f>ROUND((AG345*(1+AJ345)),2)</f>
        <v>388.19</v>
      </c>
      <c r="AE345" s="69">
        <v>442.38404107000002</v>
      </c>
      <c r="AF345" s="17">
        <f>(AE345*1)</f>
        <v>442.38404107000002</v>
      </c>
      <c r="AG345" s="6">
        <f>ROUND((AE345*AI345),2)</f>
        <v>287.55</v>
      </c>
      <c r="AH345" s="30" t="s">
        <v>110</v>
      </c>
      <c r="AI345" s="3">
        <v>0.65</v>
      </c>
      <c r="AJ345" s="18">
        <v>0.35</v>
      </c>
      <c r="AK345" s="6">
        <f>ROUND((AD345-(AD345*BG345)),2)</f>
        <v>384.31</v>
      </c>
      <c r="AL345" s="6">
        <f>ROUND((AD345-(AD345*BH345)),2)</f>
        <v>380.43</v>
      </c>
      <c r="AM345" s="6">
        <f>ROUND((AD345-(AD345*BI345)),2)</f>
        <v>376.54</v>
      </c>
      <c r="AN345" s="6">
        <f>ROUND((AD345-(AD345*BJ345)),2)</f>
        <v>376.54</v>
      </c>
      <c r="AO345" s="6">
        <f>ROUND((AD345-(AD345*BK345)),2)</f>
        <v>388.19</v>
      </c>
      <c r="BG345" s="12">
        <v>0.01</v>
      </c>
      <c r="BH345" s="12">
        <v>0.02</v>
      </c>
      <c r="BI345" s="12">
        <v>0.03</v>
      </c>
      <c r="BJ345" s="12">
        <v>0.03</v>
      </c>
      <c r="CC345" s="3" t="str">
        <f>IF(B345&lt;&gt;"",CONCATENATE(SUBSTITUTE(B345," ","-"),".jpg"),"")</f>
        <v>Allied-Moulded-AMU2060H.jpg</v>
      </c>
      <c r="CD345" s="16" t="s">
        <v>111</v>
      </c>
      <c r="CE345" s="3"/>
      <c r="CF345" s="3"/>
      <c r="CG345" s="3" t="s">
        <v>112</v>
      </c>
      <c r="CI345" s="3" t="s">
        <v>97</v>
      </c>
      <c r="CJ345" s="3" t="s">
        <v>467</v>
      </c>
      <c r="CK345" s="3" t="s">
        <v>114</v>
      </c>
      <c r="CL345" s="3" t="s">
        <v>115</v>
      </c>
      <c r="CM345" s="3" t="s">
        <v>116</v>
      </c>
      <c r="CN345" s="16" t="s">
        <v>349</v>
      </c>
      <c r="CO345" s="3" t="s">
        <v>118</v>
      </c>
      <c r="CP345" s="3" t="s">
        <v>139</v>
      </c>
      <c r="CQ345" s="3" t="s">
        <v>120</v>
      </c>
      <c r="CR345" s="3" t="s">
        <v>140</v>
      </c>
      <c r="CS345" s="3" t="s">
        <v>384</v>
      </c>
      <c r="CT345" s="16" t="s">
        <v>2145</v>
      </c>
      <c r="CU345" s="16" t="s">
        <v>242</v>
      </c>
      <c r="CV345" s="3" t="s">
        <v>167</v>
      </c>
    </row>
    <row r="346" spans="1:100" ht="15" customHeight="1">
      <c r="A346" t="s">
        <v>2290</v>
      </c>
      <c r="B346" s="3" t="s">
        <v>2291</v>
      </c>
      <c r="C346" s="16" t="s">
        <v>97</v>
      </c>
      <c r="D346" s="43" t="s">
        <v>2292</v>
      </c>
      <c r="E346" s="16" t="s">
        <v>97</v>
      </c>
      <c r="F346" s="131" t="s">
        <v>2293</v>
      </c>
      <c r="I346" s="100" t="s">
        <v>342</v>
      </c>
      <c r="J346" s="16" t="s">
        <v>101</v>
      </c>
      <c r="K346" s="16"/>
      <c r="L346" s="3" t="s">
        <v>102</v>
      </c>
      <c r="M346" s="3" t="s">
        <v>103</v>
      </c>
      <c r="N346" s="3" t="s">
        <v>104</v>
      </c>
      <c r="O346" s="16" t="s">
        <v>105</v>
      </c>
      <c r="P346" s="3" t="s">
        <v>2294</v>
      </c>
      <c r="Q346" s="3" t="s">
        <v>2294</v>
      </c>
      <c r="R346" s="3" t="s">
        <v>2294</v>
      </c>
      <c r="S346" t="s">
        <v>2290</v>
      </c>
      <c r="T346" s="130" t="s">
        <v>465</v>
      </c>
      <c r="U346" s="35">
        <v>18</v>
      </c>
      <c r="V346" s="40"/>
      <c r="W346" s="40"/>
      <c r="X346" s="59" t="s">
        <v>108</v>
      </c>
      <c r="Y346" s="93">
        <f>IF(AD346=0, 0, IF(OR(H346="", H346&lt;&gt;0), 1, 0))</f>
        <v>1</v>
      </c>
      <c r="Z346" s="3">
        <v>0</v>
      </c>
      <c r="AA346" s="3" t="s">
        <v>2295</v>
      </c>
      <c r="AD346" s="6">
        <f>ROUND((AG346*(1+AJ346)),2)</f>
        <v>398.93</v>
      </c>
      <c r="AE346" s="69">
        <v>454.61382744000002</v>
      </c>
      <c r="AF346" s="17">
        <f>(AE346*1)</f>
        <v>454.61382744000002</v>
      </c>
      <c r="AG346" s="6">
        <f>ROUND((AE346*AI346),2)</f>
        <v>295.5</v>
      </c>
      <c r="AH346" s="30" t="s">
        <v>110</v>
      </c>
      <c r="AI346" s="3">
        <v>0.65</v>
      </c>
      <c r="AJ346" s="18">
        <v>0.35</v>
      </c>
      <c r="AK346" s="6">
        <f>ROUND((AD346-(AD346*BG346)),2)</f>
        <v>394.94</v>
      </c>
      <c r="AL346" s="6">
        <f>ROUND((AD346-(AD346*BH346)),2)</f>
        <v>390.95</v>
      </c>
      <c r="AM346" s="6">
        <f>ROUND((AD346-(AD346*BI346)),2)</f>
        <v>386.96</v>
      </c>
      <c r="AN346" s="6">
        <f>ROUND((AD346-(AD346*BJ346)),2)</f>
        <v>386.96</v>
      </c>
      <c r="AO346" s="6">
        <f>ROUND((AD346-(AD346*BK346)),2)</f>
        <v>398.93</v>
      </c>
      <c r="BG346" s="12">
        <v>0.01</v>
      </c>
      <c r="BH346" s="12">
        <v>0.02</v>
      </c>
      <c r="BI346" s="12">
        <v>0.03</v>
      </c>
      <c r="BJ346" s="12">
        <v>0.03</v>
      </c>
      <c r="CC346" s="3" t="str">
        <f>IF(B346&lt;&gt;"",CONCATENATE(SUBSTITUTE(B346," ","-"),".jpg"),"")</f>
        <v>Allied-Moulded-AMU2060HF.jpg</v>
      </c>
      <c r="CD346" s="16" t="s">
        <v>111</v>
      </c>
      <c r="CE346" s="3"/>
      <c r="CF346" s="3"/>
      <c r="CG346" s="3" t="s">
        <v>112</v>
      </c>
      <c r="CI346" s="3" t="s">
        <v>97</v>
      </c>
      <c r="CJ346" s="3" t="s">
        <v>467</v>
      </c>
      <c r="CK346" s="3" t="s">
        <v>114</v>
      </c>
      <c r="CL346" s="3" t="s">
        <v>115</v>
      </c>
      <c r="CM346" s="3" t="s">
        <v>116</v>
      </c>
      <c r="CN346" s="16" t="s">
        <v>349</v>
      </c>
      <c r="CO346" s="3" t="s">
        <v>118</v>
      </c>
      <c r="CP346" s="3" t="s">
        <v>139</v>
      </c>
      <c r="CQ346" s="3" t="s">
        <v>120</v>
      </c>
      <c r="CR346" s="3" t="s">
        <v>140</v>
      </c>
      <c r="CS346" s="3" t="s">
        <v>384</v>
      </c>
      <c r="CT346" s="16" t="s">
        <v>2145</v>
      </c>
      <c r="CU346" s="16" t="s">
        <v>242</v>
      </c>
      <c r="CV346" s="3" t="s">
        <v>167</v>
      </c>
    </row>
    <row r="347" spans="1:100" ht="15" customHeight="1">
      <c r="A347" t="s">
        <v>2296</v>
      </c>
      <c r="B347" s="3" t="s">
        <v>2297</v>
      </c>
      <c r="C347" s="16" t="s">
        <v>97</v>
      </c>
      <c r="D347" s="43" t="s">
        <v>2298</v>
      </c>
      <c r="E347" s="16" t="s">
        <v>97</v>
      </c>
      <c r="F347" s="131" t="s">
        <v>2299</v>
      </c>
      <c r="I347" s="100" t="s">
        <v>342</v>
      </c>
      <c r="J347" s="16" t="s">
        <v>101</v>
      </c>
      <c r="K347" s="16"/>
      <c r="L347" s="3" t="s">
        <v>102</v>
      </c>
      <c r="M347" s="3" t="s">
        <v>103</v>
      </c>
      <c r="N347" s="3" t="s">
        <v>104</v>
      </c>
      <c r="O347" s="16" t="s">
        <v>105</v>
      </c>
      <c r="P347" s="3" t="s">
        <v>2300</v>
      </c>
      <c r="Q347" s="3" t="s">
        <v>2300</v>
      </c>
      <c r="R347" s="3" t="s">
        <v>2300</v>
      </c>
      <c r="S347" t="s">
        <v>2296</v>
      </c>
      <c r="T347" s="130" t="s">
        <v>465</v>
      </c>
      <c r="U347" s="35">
        <v>18</v>
      </c>
      <c r="V347" s="40"/>
      <c r="W347" s="40"/>
      <c r="X347" s="59" t="s">
        <v>108</v>
      </c>
      <c r="Y347" s="93">
        <f>IF(AD347=0, 0, IF(OR(H347="", H347&lt;&gt;0), 1, 0))</f>
        <v>1</v>
      </c>
      <c r="Z347" s="3">
        <v>0</v>
      </c>
      <c r="AA347" s="3" t="s">
        <v>2301</v>
      </c>
      <c r="AD347" s="6">
        <f>ROUND((AG347*(1+AJ347)),2)</f>
        <v>403.25</v>
      </c>
      <c r="AE347" s="69">
        <v>459.54093853000001</v>
      </c>
      <c r="AF347" s="17">
        <f>(AE347*1)</f>
        <v>459.54093853000001</v>
      </c>
      <c r="AG347" s="6">
        <f>ROUND((AE347*AI347),2)</f>
        <v>298.7</v>
      </c>
      <c r="AH347" s="30" t="s">
        <v>110</v>
      </c>
      <c r="AI347" s="3">
        <v>0.65</v>
      </c>
      <c r="AJ347" s="18">
        <v>0.35</v>
      </c>
      <c r="AK347" s="6">
        <f>ROUND((AD347-(AD347*BG347)),2)</f>
        <v>399.22</v>
      </c>
      <c r="AL347" s="6">
        <f>ROUND((AD347-(AD347*BH347)),2)</f>
        <v>395.19</v>
      </c>
      <c r="AM347" s="6">
        <f>ROUND((AD347-(AD347*BI347)),2)</f>
        <v>391.15</v>
      </c>
      <c r="AN347" s="6">
        <f>ROUND((AD347-(AD347*BJ347)),2)</f>
        <v>391.15</v>
      </c>
      <c r="AO347" s="6">
        <f>ROUND((AD347-(AD347*BK347)),2)</f>
        <v>403.25</v>
      </c>
      <c r="BG347" s="12">
        <v>0.01</v>
      </c>
      <c r="BH347" s="12">
        <v>0.02</v>
      </c>
      <c r="BI347" s="12">
        <v>0.03</v>
      </c>
      <c r="BJ347" s="12">
        <v>0.03</v>
      </c>
      <c r="CC347" s="3" t="str">
        <f>IF(B347&lt;&gt;"",CONCATENATE(SUBSTITUTE(B347," ","-"),".jpg"),"")</f>
        <v>Allied-Moulded-AMU2060L.jpg</v>
      </c>
      <c r="CD347" s="16" t="s">
        <v>111</v>
      </c>
      <c r="CE347" s="3"/>
      <c r="CF347" s="3"/>
      <c r="CG347" s="3" t="s">
        <v>112</v>
      </c>
      <c r="CI347" s="3" t="s">
        <v>97</v>
      </c>
      <c r="CJ347" s="3" t="s">
        <v>467</v>
      </c>
      <c r="CK347" s="3" t="s">
        <v>114</v>
      </c>
      <c r="CL347" s="3" t="s">
        <v>115</v>
      </c>
      <c r="CM347" s="3" t="s">
        <v>116</v>
      </c>
      <c r="CN347" t="s">
        <v>117</v>
      </c>
      <c r="CO347" s="3" t="s">
        <v>118</v>
      </c>
      <c r="CP347" s="3" t="s">
        <v>139</v>
      </c>
      <c r="CQ347" s="3" t="s">
        <v>120</v>
      </c>
      <c r="CR347" s="3" t="s">
        <v>140</v>
      </c>
      <c r="CS347" s="16" t="s">
        <v>122</v>
      </c>
      <c r="CT347" s="16" t="s">
        <v>2145</v>
      </c>
      <c r="CU347" s="16" t="s">
        <v>242</v>
      </c>
      <c r="CV347" s="3" t="s">
        <v>167</v>
      </c>
    </row>
    <row r="348" spans="1:100" ht="15" customHeight="1">
      <c r="A348" t="s">
        <v>2302</v>
      </c>
      <c r="B348" s="3" t="s">
        <v>2303</v>
      </c>
      <c r="C348" s="16" t="s">
        <v>97</v>
      </c>
      <c r="D348" s="44" t="s">
        <v>2304</v>
      </c>
      <c r="E348" s="16" t="s">
        <v>97</v>
      </c>
      <c r="F348" s="131" t="s">
        <v>2305</v>
      </c>
      <c r="I348" s="100" t="s">
        <v>342</v>
      </c>
      <c r="J348" s="16" t="s">
        <v>101</v>
      </c>
      <c r="K348" s="16"/>
      <c r="L348" s="3" t="s">
        <v>102</v>
      </c>
      <c r="M348" s="3" t="s">
        <v>103</v>
      </c>
      <c r="N348" s="3" t="s">
        <v>104</v>
      </c>
      <c r="O348" s="16" t="s">
        <v>105</v>
      </c>
      <c r="P348" s="3" t="s">
        <v>2306</v>
      </c>
      <c r="Q348" s="3" t="s">
        <v>2306</v>
      </c>
      <c r="R348" s="3" t="s">
        <v>2306</v>
      </c>
      <c r="S348" t="s">
        <v>2302</v>
      </c>
      <c r="T348" s="130" t="s">
        <v>465</v>
      </c>
      <c r="U348" s="34">
        <v>18</v>
      </c>
      <c r="V348" s="39"/>
      <c r="W348" s="39"/>
      <c r="X348" s="59" t="s">
        <v>108</v>
      </c>
      <c r="Y348" s="93">
        <f>IF(AD348=0, 0, IF(OR(H348="", H348&lt;&gt;0), 1, 0))</f>
        <v>1</v>
      </c>
      <c r="Z348" s="3">
        <v>0</v>
      </c>
      <c r="AA348" s="3" t="s">
        <v>2307</v>
      </c>
      <c r="AD348" s="6">
        <f>ROUND((AG348*(1+AJ348)),2)</f>
        <v>383.08</v>
      </c>
      <c r="AE348" s="69">
        <v>436.55949200999999</v>
      </c>
      <c r="AF348" s="17">
        <f>(AE348*1)</f>
        <v>436.55949200999999</v>
      </c>
      <c r="AG348" s="6">
        <f>ROUND((AE348*AI348),2)</f>
        <v>283.76</v>
      </c>
      <c r="AH348" s="30" t="s">
        <v>110</v>
      </c>
      <c r="AI348" s="3">
        <v>0.65</v>
      </c>
      <c r="AJ348" s="18">
        <v>0.35</v>
      </c>
      <c r="AK348" s="6">
        <f>ROUND((AD348-(AD348*BG348)),2)</f>
        <v>379.25</v>
      </c>
      <c r="AL348" s="6">
        <f>ROUND((AD348-(AD348*BH348)),2)</f>
        <v>375.42</v>
      </c>
      <c r="AM348" s="6">
        <f>ROUND((AD348-(AD348*BI348)),2)</f>
        <v>371.59</v>
      </c>
      <c r="AN348" s="6">
        <f>ROUND((AD348-(AD348*BJ348)),2)</f>
        <v>371.59</v>
      </c>
      <c r="AO348" s="6">
        <f>ROUND((AD348-(AD348*BK348)),2)</f>
        <v>383.08</v>
      </c>
      <c r="BG348" s="12">
        <v>0.01</v>
      </c>
      <c r="BH348" s="12">
        <v>0.02</v>
      </c>
      <c r="BI348" s="12">
        <v>0.03</v>
      </c>
      <c r="BJ348" s="12">
        <v>0.03</v>
      </c>
      <c r="CC348" s="3" t="str">
        <f>IF(B348&lt;&gt;"",CONCATENATE(SUBSTITUTE(B348," ","-"),".jpg"),"")</f>
        <v>Allied-Moulded-AMU2060NL.jpg</v>
      </c>
      <c r="CD348" s="16" t="s">
        <v>111</v>
      </c>
      <c r="CE348" s="3"/>
      <c r="CF348" s="3"/>
      <c r="CG348" s="3" t="s">
        <v>112</v>
      </c>
      <c r="CI348" s="3" t="s">
        <v>97</v>
      </c>
      <c r="CJ348" s="3" t="s">
        <v>467</v>
      </c>
      <c r="CK348" s="3" t="s">
        <v>114</v>
      </c>
      <c r="CL348" s="3" t="s">
        <v>115</v>
      </c>
      <c r="CM348" s="3" t="s">
        <v>116</v>
      </c>
      <c r="CN348" t="s">
        <v>117</v>
      </c>
      <c r="CO348" s="3" t="s">
        <v>118</v>
      </c>
      <c r="CP348" s="3" t="s">
        <v>139</v>
      </c>
      <c r="CQ348" s="3" t="s">
        <v>120</v>
      </c>
      <c r="CR348" s="3" t="s">
        <v>140</v>
      </c>
      <c r="CS348" s="16" t="s">
        <v>122</v>
      </c>
      <c r="CT348" s="16" t="s">
        <v>2145</v>
      </c>
      <c r="CU348" s="16" t="s">
        <v>242</v>
      </c>
      <c r="CV348" s="3" t="s">
        <v>167</v>
      </c>
    </row>
    <row r="349" spans="1:100" ht="15" customHeight="1">
      <c r="A349" t="s">
        <v>2308</v>
      </c>
      <c r="B349" s="3" t="s">
        <v>2309</v>
      </c>
      <c r="C349" s="16" t="s">
        <v>97</v>
      </c>
      <c r="D349" s="43" t="s">
        <v>2310</v>
      </c>
      <c r="E349" s="16" t="s">
        <v>97</v>
      </c>
      <c r="F349" s="131" t="s">
        <v>2311</v>
      </c>
      <c r="I349" s="100" t="s">
        <v>342</v>
      </c>
      <c r="J349" s="16" t="s">
        <v>101</v>
      </c>
      <c r="K349" s="16"/>
      <c r="L349" s="3" t="s">
        <v>102</v>
      </c>
      <c r="M349" s="3" t="s">
        <v>103</v>
      </c>
      <c r="N349" s="3" t="s">
        <v>104</v>
      </c>
      <c r="O349" s="16" t="s">
        <v>105</v>
      </c>
      <c r="P349" s="3" t="s">
        <v>2312</v>
      </c>
      <c r="Q349" s="3" t="s">
        <v>2312</v>
      </c>
      <c r="R349" s="3" t="s">
        <v>2312</v>
      </c>
      <c r="S349" t="s">
        <v>2308</v>
      </c>
      <c r="T349" s="130" t="s">
        <v>465</v>
      </c>
      <c r="U349" s="35">
        <v>18</v>
      </c>
      <c r="V349" s="40"/>
      <c r="W349" s="40"/>
      <c r="X349" s="59" t="s">
        <v>108</v>
      </c>
      <c r="Y349" s="93">
        <f>IF(AD349=0, 0, IF(OR(H349="", H349&lt;&gt;0), 1, 0))</f>
        <v>1</v>
      </c>
      <c r="Z349" s="3">
        <v>0</v>
      </c>
      <c r="AA349" s="3" t="s">
        <v>2313</v>
      </c>
      <c r="AD349" s="6">
        <f>ROUND((AG349*(1+AJ349)),2)</f>
        <v>393.69</v>
      </c>
      <c r="AE349" s="69">
        <v>448.64850828000004</v>
      </c>
      <c r="AF349" s="17">
        <f>(AE349*1)</f>
        <v>448.64850828000004</v>
      </c>
      <c r="AG349" s="6">
        <f>ROUND((AE349*AI349),2)</f>
        <v>291.62</v>
      </c>
      <c r="AH349" s="30" t="s">
        <v>110</v>
      </c>
      <c r="AI349" s="3">
        <v>0.65</v>
      </c>
      <c r="AJ349" s="18">
        <v>0.35</v>
      </c>
      <c r="AK349" s="6">
        <f>ROUND((AD349-(AD349*BG349)),2)</f>
        <v>389.75</v>
      </c>
      <c r="AL349" s="6">
        <f>ROUND((AD349-(AD349*BH349)),2)</f>
        <v>385.82</v>
      </c>
      <c r="AM349" s="6">
        <f>ROUND((AD349-(AD349*BI349)),2)</f>
        <v>381.88</v>
      </c>
      <c r="AN349" s="6">
        <f>ROUND((AD349-(AD349*BJ349)),2)</f>
        <v>381.88</v>
      </c>
      <c r="AO349" s="6">
        <f>ROUND((AD349-(AD349*BK349)),2)</f>
        <v>393.69</v>
      </c>
      <c r="BG349" s="12">
        <v>0.01</v>
      </c>
      <c r="BH349" s="12">
        <v>0.02</v>
      </c>
      <c r="BI349" s="12">
        <v>0.03</v>
      </c>
      <c r="BJ349" s="12">
        <v>0.03</v>
      </c>
      <c r="CC349" s="3" t="str">
        <f>IF(B349&lt;&gt;"",CONCATENATE(SUBSTITUTE(B349," ","-"),".jpg"),"")</f>
        <v>Allied-Moulded-AMU2060NLF.jpg</v>
      </c>
      <c r="CD349" s="16" t="s">
        <v>111</v>
      </c>
      <c r="CE349" s="3"/>
      <c r="CF349" s="3"/>
      <c r="CG349" s="3" t="s">
        <v>112</v>
      </c>
      <c r="CI349" s="3" t="s">
        <v>97</v>
      </c>
      <c r="CJ349" s="3" t="s">
        <v>467</v>
      </c>
      <c r="CK349" s="3" t="s">
        <v>114</v>
      </c>
      <c r="CL349" s="3" t="s">
        <v>115</v>
      </c>
      <c r="CM349" s="3" t="s">
        <v>116</v>
      </c>
      <c r="CN349" t="s">
        <v>117</v>
      </c>
      <c r="CO349" s="3" t="s">
        <v>118</v>
      </c>
      <c r="CP349" s="3" t="s">
        <v>139</v>
      </c>
      <c r="CQ349" s="3" t="s">
        <v>120</v>
      </c>
      <c r="CR349" s="3" t="s">
        <v>140</v>
      </c>
      <c r="CS349" s="16" t="s">
        <v>122</v>
      </c>
      <c r="CT349" s="16" t="s">
        <v>2145</v>
      </c>
      <c r="CU349" s="16" t="s">
        <v>242</v>
      </c>
      <c r="CV349" s="3" t="s">
        <v>167</v>
      </c>
    </row>
    <row r="350" spans="1:100" ht="15" customHeight="1">
      <c r="A350" t="s">
        <v>2314</v>
      </c>
      <c r="B350" s="3" t="s">
        <v>2315</v>
      </c>
      <c r="C350" s="16" t="s">
        <v>97</v>
      </c>
      <c r="D350" s="43" t="s">
        <v>2316</v>
      </c>
      <c r="E350" s="16" t="s">
        <v>97</v>
      </c>
      <c r="F350" s="131" t="s">
        <v>2317</v>
      </c>
      <c r="I350" s="100" t="s">
        <v>342</v>
      </c>
      <c r="J350" s="16" t="s">
        <v>101</v>
      </c>
      <c r="K350" s="16"/>
      <c r="L350" s="3" t="s">
        <v>102</v>
      </c>
      <c r="M350" s="3" t="s">
        <v>103</v>
      </c>
      <c r="N350" s="3" t="s">
        <v>104</v>
      </c>
      <c r="O350" s="16" t="s">
        <v>105</v>
      </c>
      <c r="P350" s="3" t="s">
        <v>2318</v>
      </c>
      <c r="Q350" s="3" t="s">
        <v>2318</v>
      </c>
      <c r="R350" s="3" t="s">
        <v>2318</v>
      </c>
      <c r="S350" t="s">
        <v>2314</v>
      </c>
      <c r="T350" s="130" t="s">
        <v>465</v>
      </c>
      <c r="U350" s="35">
        <v>18</v>
      </c>
      <c r="V350" s="40"/>
      <c r="W350" s="40"/>
      <c r="X350" s="59" t="s">
        <v>108</v>
      </c>
      <c r="Y350" s="93">
        <f>IF(AD350=0, 0, IF(OR(H350="", H350&lt;&gt;0), 1, 0))</f>
        <v>1</v>
      </c>
      <c r="Z350" s="3">
        <v>0</v>
      </c>
      <c r="AA350" s="3" t="s">
        <v>2319</v>
      </c>
      <c r="AD350" s="6">
        <f>ROUND((AG350*(1+AJ350)),2)</f>
        <v>403.25</v>
      </c>
      <c r="AE350" s="69">
        <v>459.54093853000001</v>
      </c>
      <c r="AF350" s="17">
        <f>(AE350*1)</f>
        <v>459.54093853000001</v>
      </c>
      <c r="AG350" s="6">
        <f>ROUND((AE350*AI350),2)</f>
        <v>298.7</v>
      </c>
      <c r="AH350" s="30" t="s">
        <v>110</v>
      </c>
      <c r="AI350" s="3">
        <v>0.65</v>
      </c>
      <c r="AJ350" s="18">
        <v>0.35</v>
      </c>
      <c r="AK350" s="6">
        <f>ROUND((AD350-(AD350*BG350)),2)</f>
        <v>399.22</v>
      </c>
      <c r="AL350" s="6">
        <f>ROUND((AD350-(AD350*BH350)),2)</f>
        <v>395.19</v>
      </c>
      <c r="AM350" s="6">
        <f>ROUND((AD350-(AD350*BI350)),2)</f>
        <v>391.15</v>
      </c>
      <c r="AN350" s="6">
        <f>ROUND((AD350-(AD350*BJ350)),2)</f>
        <v>391.15</v>
      </c>
      <c r="AO350" s="6">
        <f>ROUND((AD350-(AD350*BK350)),2)</f>
        <v>403.25</v>
      </c>
      <c r="BG350" s="12">
        <v>0.01</v>
      </c>
      <c r="BH350" s="12">
        <v>0.02</v>
      </c>
      <c r="BI350" s="12">
        <v>0.03</v>
      </c>
      <c r="BJ350" s="12">
        <v>0.03</v>
      </c>
      <c r="CC350" s="3" t="str">
        <f>IF(B350&lt;&gt;"",CONCATENATE(SUBSTITUTE(B350," ","-"),".jpg"),"")</f>
        <v>Allied-Moulded-AMU2060T.jpg</v>
      </c>
      <c r="CD350" s="16" t="s">
        <v>111</v>
      </c>
      <c r="CE350" s="3"/>
      <c r="CF350" s="3"/>
      <c r="CG350" s="3" t="s">
        <v>112</v>
      </c>
      <c r="CI350" s="3" t="s">
        <v>97</v>
      </c>
      <c r="CJ350" s="3" t="s">
        <v>467</v>
      </c>
      <c r="CK350" s="3" t="s">
        <v>114</v>
      </c>
      <c r="CL350" s="3" t="s">
        <v>115</v>
      </c>
      <c r="CM350" s="3" t="s">
        <v>116</v>
      </c>
      <c r="CN350" s="16" t="s">
        <v>132</v>
      </c>
      <c r="CO350" s="3" t="s">
        <v>118</v>
      </c>
      <c r="CP350" s="3" t="s">
        <v>139</v>
      </c>
      <c r="CQ350" s="3" t="s">
        <v>120</v>
      </c>
      <c r="CR350" s="3" t="s">
        <v>140</v>
      </c>
      <c r="CS350" s="16" t="s">
        <v>122</v>
      </c>
      <c r="CT350" s="16" t="s">
        <v>2145</v>
      </c>
      <c r="CU350" s="16" t="s">
        <v>242</v>
      </c>
      <c r="CV350" s="3" t="s">
        <v>167</v>
      </c>
    </row>
    <row r="351" spans="1:100" ht="15" customHeight="1">
      <c r="A351" t="s">
        <v>2320</v>
      </c>
      <c r="B351" s="3" t="s">
        <v>2321</v>
      </c>
      <c r="C351" s="16" t="s">
        <v>97</v>
      </c>
      <c r="D351" s="43" t="s">
        <v>2322</v>
      </c>
      <c r="E351" s="16" t="s">
        <v>97</v>
      </c>
      <c r="F351" s="131" t="s">
        <v>2323</v>
      </c>
      <c r="I351" s="100" t="s">
        <v>342</v>
      </c>
      <c r="J351" s="16" t="s">
        <v>101</v>
      </c>
      <c r="K351" s="16"/>
      <c r="L351" s="3" t="s">
        <v>102</v>
      </c>
      <c r="M351" s="3" t="s">
        <v>103</v>
      </c>
      <c r="N351" s="3" t="s">
        <v>104</v>
      </c>
      <c r="O351" s="16" t="s">
        <v>105</v>
      </c>
      <c r="P351" s="3" t="s">
        <v>2324</v>
      </c>
      <c r="Q351" s="3" t="s">
        <v>2324</v>
      </c>
      <c r="R351" s="3" t="s">
        <v>2324</v>
      </c>
      <c r="S351" t="s">
        <v>2320</v>
      </c>
      <c r="T351" s="130" t="s">
        <v>465</v>
      </c>
      <c r="U351" s="35">
        <v>18</v>
      </c>
      <c r="V351" s="40"/>
      <c r="W351" s="40"/>
      <c r="X351" s="59" t="s">
        <v>108</v>
      </c>
      <c r="Y351" s="93">
        <f>IF(AD351=0, 0, IF(OR(H351="", H351&lt;&gt;0), 1, 0))</f>
        <v>1</v>
      </c>
      <c r="Z351" s="3">
        <v>0</v>
      </c>
      <c r="AA351" s="3" t="s">
        <v>2325</v>
      </c>
      <c r="AD351" s="6">
        <f>ROUND((AG351*(1+AJ351)),2)</f>
        <v>552.83000000000004</v>
      </c>
      <c r="AE351" s="69">
        <v>630.00133031000007</v>
      </c>
      <c r="AF351" s="17">
        <f>(AE351*1)</f>
        <v>630.00133031000007</v>
      </c>
      <c r="AG351" s="6">
        <f>ROUND((AE351*AI351),2)</f>
        <v>409.5</v>
      </c>
      <c r="AH351" s="30" t="s">
        <v>110</v>
      </c>
      <c r="AI351" s="3">
        <v>0.65</v>
      </c>
      <c r="AJ351" s="18">
        <v>0.35</v>
      </c>
      <c r="AK351" s="6">
        <f>ROUND((AD351-(AD351*BG351)),2)</f>
        <v>547.29999999999995</v>
      </c>
      <c r="AL351" s="6">
        <f>ROUND((AD351-(AD351*BH351)),2)</f>
        <v>541.77</v>
      </c>
      <c r="AM351" s="6">
        <f>ROUND((AD351-(AD351*BI351)),2)</f>
        <v>536.25</v>
      </c>
      <c r="AN351" s="6">
        <f>ROUND((AD351-(AD351*BJ351)),2)</f>
        <v>536.25</v>
      </c>
      <c r="AO351" s="6">
        <f>ROUND((AD351-(AD351*BK351)),2)</f>
        <v>552.83000000000004</v>
      </c>
      <c r="BG351" s="12">
        <v>0.01</v>
      </c>
      <c r="BH351" s="12">
        <v>0.02</v>
      </c>
      <c r="BI351" s="12">
        <v>0.03</v>
      </c>
      <c r="BJ351" s="12">
        <v>0.03</v>
      </c>
      <c r="CC351" s="3" t="str">
        <f>IF(B351&lt;&gt;"",CONCATENATE(SUBSTITUTE(B351," ","-"),".jpg"),"")</f>
        <v>Allied-Moulded-AMU2060W.jpg</v>
      </c>
      <c r="CD351" s="16" t="s">
        <v>111</v>
      </c>
      <c r="CE351" s="3"/>
      <c r="CF351" s="3"/>
      <c r="CG351" s="3" t="s">
        <v>112</v>
      </c>
      <c r="CI351" s="3" t="s">
        <v>97</v>
      </c>
      <c r="CJ351" s="3" t="s">
        <v>467</v>
      </c>
      <c r="CK351" s="3" t="s">
        <v>114</v>
      </c>
      <c r="CL351" s="3" t="s">
        <v>115</v>
      </c>
      <c r="CM351" s="16"/>
      <c r="CN351" s="16" t="s">
        <v>349</v>
      </c>
      <c r="CO351" s="3" t="s">
        <v>118</v>
      </c>
      <c r="CP351" s="3" t="s">
        <v>139</v>
      </c>
      <c r="CQ351" s="3" t="s">
        <v>120</v>
      </c>
      <c r="CR351" s="3" t="s">
        <v>140</v>
      </c>
      <c r="CS351" s="3" t="s">
        <v>384</v>
      </c>
      <c r="CT351" s="16" t="s">
        <v>2145</v>
      </c>
      <c r="CU351" s="16" t="s">
        <v>242</v>
      </c>
      <c r="CV351" s="3" t="s">
        <v>167</v>
      </c>
    </row>
    <row r="352" spans="1:100" ht="15" customHeight="1">
      <c r="A352" t="s">
        <v>2326</v>
      </c>
      <c r="B352" s="3" t="s">
        <v>2327</v>
      </c>
      <c r="C352" s="16" t="s">
        <v>97</v>
      </c>
      <c r="D352" s="44" t="s">
        <v>2328</v>
      </c>
      <c r="E352" s="16" t="s">
        <v>97</v>
      </c>
      <c r="F352" s="131" t="s">
        <v>2329</v>
      </c>
      <c r="I352" s="100" t="s">
        <v>342</v>
      </c>
      <c r="J352" s="16" t="s">
        <v>101</v>
      </c>
      <c r="K352" s="16"/>
      <c r="L352" s="3" t="s">
        <v>102</v>
      </c>
      <c r="M352" s="3" t="s">
        <v>103</v>
      </c>
      <c r="N352" s="3" t="s">
        <v>104</v>
      </c>
      <c r="O352" s="16" t="s">
        <v>105</v>
      </c>
      <c r="P352" s="3" t="s">
        <v>2330</v>
      </c>
      <c r="Q352" s="3" t="s">
        <v>2330</v>
      </c>
      <c r="R352" s="3" t="s">
        <v>2330</v>
      </c>
      <c r="S352" t="s">
        <v>2326</v>
      </c>
      <c r="T352" s="130" t="s">
        <v>465</v>
      </c>
      <c r="U352" s="34">
        <v>18</v>
      </c>
      <c r="V352" s="39"/>
      <c r="W352" s="39"/>
      <c r="X352" s="59" t="s">
        <v>108</v>
      </c>
      <c r="Y352" s="93">
        <f>IF(AD352=0, 0, IF(OR(H352="", H352&lt;&gt;0), 1, 0))</f>
        <v>1</v>
      </c>
      <c r="Z352" s="3">
        <v>0</v>
      </c>
      <c r="AA352" s="3" t="s">
        <v>2331</v>
      </c>
      <c r="AD352" s="6">
        <f>ROUND((AG352*(1+AJ352)),2)</f>
        <v>567.99</v>
      </c>
      <c r="AE352" s="69">
        <v>647.28140546999998</v>
      </c>
      <c r="AF352" s="17">
        <f>(AE352*1)</f>
        <v>647.28140546999998</v>
      </c>
      <c r="AG352" s="6">
        <f>ROUND((AE352*AI352),2)</f>
        <v>420.73</v>
      </c>
      <c r="AH352" s="30" t="s">
        <v>110</v>
      </c>
      <c r="AI352" s="3">
        <v>0.65</v>
      </c>
      <c r="AJ352" s="18">
        <v>0.35</v>
      </c>
      <c r="AK352" s="6">
        <f>ROUND((AD352-(AD352*BG352)),2)</f>
        <v>562.30999999999995</v>
      </c>
      <c r="AL352" s="6">
        <f>ROUND((AD352-(AD352*BH352)),2)</f>
        <v>556.63</v>
      </c>
      <c r="AM352" s="6">
        <f>ROUND((AD352-(AD352*BI352)),2)</f>
        <v>550.95000000000005</v>
      </c>
      <c r="AN352" s="6">
        <f>ROUND((AD352-(AD352*BJ352)),2)</f>
        <v>550.95000000000005</v>
      </c>
      <c r="AO352" s="6">
        <f>ROUND((AD352-(AD352*BK352)),2)</f>
        <v>567.99</v>
      </c>
      <c r="BG352" s="12">
        <v>0.01</v>
      </c>
      <c r="BH352" s="12">
        <v>0.02</v>
      </c>
      <c r="BI352" s="12">
        <v>0.03</v>
      </c>
      <c r="BJ352" s="12">
        <v>0.03</v>
      </c>
      <c r="CC352" s="3" t="str">
        <f>IF(B352&lt;&gt;"",CONCATENATE(SUBSTITUTE(B352," ","-"),".jpg"),"")</f>
        <v>Allied-Moulded-AMU2060WF.jpg</v>
      </c>
      <c r="CD352" s="16" t="s">
        <v>111</v>
      </c>
      <c r="CE352" s="3"/>
      <c r="CF352" s="3"/>
      <c r="CG352" s="3" t="s">
        <v>112</v>
      </c>
      <c r="CI352" s="3" t="s">
        <v>97</v>
      </c>
      <c r="CJ352" s="3" t="s">
        <v>467</v>
      </c>
      <c r="CK352" s="3" t="s">
        <v>114</v>
      </c>
      <c r="CL352" s="3" t="s">
        <v>115</v>
      </c>
      <c r="CM352" s="16"/>
      <c r="CN352" s="16" t="s">
        <v>349</v>
      </c>
      <c r="CO352" s="3" t="s">
        <v>118</v>
      </c>
      <c r="CP352" s="3" t="s">
        <v>139</v>
      </c>
      <c r="CQ352" s="3" t="s">
        <v>120</v>
      </c>
      <c r="CR352" s="3" t="s">
        <v>140</v>
      </c>
      <c r="CS352" s="3" t="s">
        <v>384</v>
      </c>
      <c r="CT352" s="16" t="s">
        <v>2145</v>
      </c>
      <c r="CU352" s="16" t="s">
        <v>242</v>
      </c>
      <c r="CV352" s="3" t="s">
        <v>167</v>
      </c>
    </row>
    <row r="353" spans="1:100" ht="15" customHeight="1">
      <c r="A353" t="s">
        <v>2332</v>
      </c>
      <c r="B353" s="3" t="s">
        <v>2333</v>
      </c>
      <c r="C353" s="16" t="s">
        <v>97</v>
      </c>
      <c r="D353" s="43" t="s">
        <v>2334</v>
      </c>
      <c r="E353" s="16" t="s">
        <v>97</v>
      </c>
      <c r="F353" s="131" t="s">
        <v>2335</v>
      </c>
      <c r="I353" s="100" t="s">
        <v>342</v>
      </c>
      <c r="J353" s="16" t="s">
        <v>101</v>
      </c>
      <c r="K353" s="16"/>
      <c r="L353" s="3" t="s">
        <v>102</v>
      </c>
      <c r="M353" s="3" t="s">
        <v>103</v>
      </c>
      <c r="N353" s="3" t="s">
        <v>104</v>
      </c>
      <c r="O353" s="16" t="s">
        <v>105</v>
      </c>
      <c r="P353" s="3" t="s">
        <v>2336</v>
      </c>
      <c r="Q353" s="3" t="s">
        <v>2336</v>
      </c>
      <c r="R353" s="3" t="s">
        <v>2336</v>
      </c>
      <c r="S353" t="s">
        <v>2332</v>
      </c>
      <c r="T353" s="130" t="s">
        <v>465</v>
      </c>
      <c r="U353" s="35">
        <v>18</v>
      </c>
      <c r="V353" s="40"/>
      <c r="W353" s="40"/>
      <c r="X353" s="59" t="s">
        <v>108</v>
      </c>
      <c r="Y353" s="93">
        <f>IF(AD353=0, 0, IF(OR(H353="", H353&lt;&gt;0), 1, 0))</f>
        <v>1</v>
      </c>
      <c r="Z353" s="3">
        <v>0</v>
      </c>
      <c r="AA353" s="3" t="s">
        <v>2337</v>
      </c>
      <c r="AD353" s="6">
        <f>ROUND((AG353*(1+AJ353)),2)</f>
        <v>553.34</v>
      </c>
      <c r="AE353" s="69">
        <v>630.58202165</v>
      </c>
      <c r="AF353" s="17">
        <f>(AE353*1)</f>
        <v>630.58202165</v>
      </c>
      <c r="AG353" s="6">
        <f>ROUND((AE353*AI353),2)</f>
        <v>409.88</v>
      </c>
      <c r="AH353" s="30" t="s">
        <v>110</v>
      </c>
      <c r="AI353" s="3">
        <v>0.65</v>
      </c>
      <c r="AJ353" s="18">
        <v>0.35</v>
      </c>
      <c r="AK353" s="6">
        <f>ROUND((AD353-(AD353*BG353)),2)</f>
        <v>547.80999999999995</v>
      </c>
      <c r="AL353" s="6">
        <f>ROUND((AD353-(AD353*BH353)),2)</f>
        <v>542.27</v>
      </c>
      <c r="AM353" s="6">
        <f>ROUND((AD353-(AD353*BI353)),2)</f>
        <v>536.74</v>
      </c>
      <c r="AN353" s="6">
        <f>ROUND((AD353-(AD353*BJ353)),2)</f>
        <v>536.74</v>
      </c>
      <c r="AO353" s="6">
        <f>ROUND((AD353-(AD353*BK353)),2)</f>
        <v>553.34</v>
      </c>
      <c r="BG353" s="12">
        <v>0.01</v>
      </c>
      <c r="BH353" s="12">
        <v>0.02</v>
      </c>
      <c r="BI353" s="12">
        <v>0.03</v>
      </c>
      <c r="BJ353" s="12">
        <v>0.03</v>
      </c>
      <c r="CC353" s="3" t="str">
        <f>IF(B353&lt;&gt;"",CONCATENATE(SUBSTITUTE(B353," ","-"),".jpg"),"")</f>
        <v>Allied-Moulded-AMU2060HW.jpg</v>
      </c>
      <c r="CD353" s="16" t="s">
        <v>111</v>
      </c>
      <c r="CE353" s="3"/>
      <c r="CF353" s="3"/>
      <c r="CG353" s="3" t="s">
        <v>112</v>
      </c>
      <c r="CI353" s="3" t="s">
        <v>97</v>
      </c>
      <c r="CJ353" s="3" t="s">
        <v>467</v>
      </c>
      <c r="CK353" s="3" t="s">
        <v>114</v>
      </c>
      <c r="CL353" s="3" t="s">
        <v>115</v>
      </c>
      <c r="CM353" s="3" t="s">
        <v>116</v>
      </c>
      <c r="CN353" s="16" t="s">
        <v>349</v>
      </c>
      <c r="CO353" s="3" t="s">
        <v>118</v>
      </c>
      <c r="CP353" s="3" t="s">
        <v>139</v>
      </c>
      <c r="CQ353" s="3" t="s">
        <v>120</v>
      </c>
      <c r="CR353" s="3" t="s">
        <v>140</v>
      </c>
      <c r="CS353" s="3" t="s">
        <v>384</v>
      </c>
      <c r="CT353" s="16" t="s">
        <v>2145</v>
      </c>
      <c r="CU353" s="16" t="s">
        <v>242</v>
      </c>
      <c r="CV353" s="3" t="s">
        <v>167</v>
      </c>
    </row>
    <row r="354" spans="1:100" ht="15" customHeight="1">
      <c r="A354" t="s">
        <v>2338</v>
      </c>
      <c r="B354" s="3" t="s">
        <v>2339</v>
      </c>
      <c r="C354" s="16" t="s">
        <v>97</v>
      </c>
      <c r="D354" s="44" t="s">
        <v>2340</v>
      </c>
      <c r="E354" s="16" t="s">
        <v>97</v>
      </c>
      <c r="F354" s="131" t="s">
        <v>2341</v>
      </c>
      <c r="I354" s="100" t="s">
        <v>342</v>
      </c>
      <c r="J354" s="16" t="s">
        <v>101</v>
      </c>
      <c r="K354" s="16"/>
      <c r="L354" s="3" t="s">
        <v>102</v>
      </c>
      <c r="M354" s="3" t="s">
        <v>103</v>
      </c>
      <c r="N354" s="3" t="s">
        <v>104</v>
      </c>
      <c r="O354" s="16" t="s">
        <v>105</v>
      </c>
      <c r="P354" s="3" t="s">
        <v>2342</v>
      </c>
      <c r="Q354" s="3" t="s">
        <v>2342</v>
      </c>
      <c r="R354" s="3" t="s">
        <v>2342</v>
      </c>
      <c r="S354" t="s">
        <v>2338</v>
      </c>
      <c r="T354" s="130" t="s">
        <v>465</v>
      </c>
      <c r="U354" s="34">
        <v>18</v>
      </c>
      <c r="V354" s="39"/>
      <c r="W354" s="39"/>
      <c r="X354" s="59" t="s">
        <v>108</v>
      </c>
      <c r="Y354" s="93">
        <f>IF(AD354=0, 0, IF(OR(H354="", H354&lt;&gt;0), 1, 0))</f>
        <v>1</v>
      </c>
      <c r="Z354" s="3">
        <v>0</v>
      </c>
      <c r="AA354" s="3" t="s">
        <v>2343</v>
      </c>
      <c r="AD354" s="6">
        <f>ROUND((AG354*(1+AJ354)),2)</f>
        <v>568.61</v>
      </c>
      <c r="AE354" s="69">
        <v>647.98527657</v>
      </c>
      <c r="AF354" s="17">
        <f>(AE354*1)</f>
        <v>647.98527657</v>
      </c>
      <c r="AG354" s="6">
        <f>ROUND((AE354*AI354),2)</f>
        <v>421.19</v>
      </c>
      <c r="AH354" s="30" t="s">
        <v>110</v>
      </c>
      <c r="AI354" s="3">
        <v>0.65</v>
      </c>
      <c r="AJ354" s="18">
        <v>0.35</v>
      </c>
      <c r="AK354" s="6">
        <f>ROUND((AD354-(AD354*BG354)),2)</f>
        <v>562.91999999999996</v>
      </c>
      <c r="AL354" s="6">
        <f>ROUND((AD354-(AD354*BH354)),2)</f>
        <v>557.24</v>
      </c>
      <c r="AM354" s="6">
        <f>ROUND((AD354-(AD354*BI354)),2)</f>
        <v>551.54999999999995</v>
      </c>
      <c r="AN354" s="6">
        <f>ROUND((AD354-(AD354*BJ354)),2)</f>
        <v>551.54999999999995</v>
      </c>
      <c r="AO354" s="6">
        <f>ROUND((AD354-(AD354*BK354)),2)</f>
        <v>568.61</v>
      </c>
      <c r="BG354" s="12">
        <v>0.01</v>
      </c>
      <c r="BH354" s="12">
        <v>0.02</v>
      </c>
      <c r="BI354" s="12">
        <v>0.03</v>
      </c>
      <c r="BJ354" s="12">
        <v>0.03</v>
      </c>
      <c r="CC354" s="3" t="str">
        <f>IF(B354&lt;&gt;"",CONCATENATE(SUBSTITUTE(B354," ","-"),".jpg"),"")</f>
        <v>Allied-Moulded-AMU2060HWF.jpg</v>
      </c>
      <c r="CD354" s="16" t="s">
        <v>111</v>
      </c>
      <c r="CE354" s="3"/>
      <c r="CF354" s="3"/>
      <c r="CG354" s="3" t="s">
        <v>112</v>
      </c>
      <c r="CI354" s="3" t="s">
        <v>97</v>
      </c>
      <c r="CJ354" s="3" t="s">
        <v>467</v>
      </c>
      <c r="CK354" s="3" t="s">
        <v>114</v>
      </c>
      <c r="CL354" s="3" t="s">
        <v>115</v>
      </c>
      <c r="CM354" s="3" t="s">
        <v>116</v>
      </c>
      <c r="CN354" s="16" t="s">
        <v>349</v>
      </c>
      <c r="CO354" s="3" t="s">
        <v>118</v>
      </c>
      <c r="CP354" s="3" t="s">
        <v>139</v>
      </c>
      <c r="CQ354" s="3" t="s">
        <v>120</v>
      </c>
      <c r="CR354" s="3" t="s">
        <v>140</v>
      </c>
      <c r="CS354" s="3" t="s">
        <v>384</v>
      </c>
      <c r="CT354" s="16" t="s">
        <v>2145</v>
      </c>
      <c r="CU354" s="16" t="s">
        <v>242</v>
      </c>
      <c r="CV354" s="3" t="s">
        <v>167</v>
      </c>
    </row>
    <row r="355" spans="1:100" ht="15" customHeight="1">
      <c r="A355" t="s">
        <v>2344</v>
      </c>
      <c r="B355" s="3" t="s">
        <v>2345</v>
      </c>
      <c r="C355" s="16" t="s">
        <v>97</v>
      </c>
      <c r="D355" s="43" t="s">
        <v>2346</v>
      </c>
      <c r="E355" s="16" t="s">
        <v>97</v>
      </c>
      <c r="F355" s="131" t="s">
        <v>2347</v>
      </c>
      <c r="I355" s="100" t="s">
        <v>342</v>
      </c>
      <c r="J355" s="16" t="s">
        <v>101</v>
      </c>
      <c r="K355" s="16"/>
      <c r="L355" s="3" t="s">
        <v>102</v>
      </c>
      <c r="M355" s="3" t="s">
        <v>103</v>
      </c>
      <c r="N355" s="3" t="s">
        <v>104</v>
      </c>
      <c r="O355" s="16" t="s">
        <v>105</v>
      </c>
      <c r="P355" s="3" t="s">
        <v>2348</v>
      </c>
      <c r="Q355" s="3" t="s">
        <v>2348</v>
      </c>
      <c r="R355" s="3" t="s">
        <v>2348</v>
      </c>
      <c r="S355" t="s">
        <v>2344</v>
      </c>
      <c r="T355" s="130" t="s">
        <v>465</v>
      </c>
      <c r="U355" s="35">
        <v>18</v>
      </c>
      <c r="V355" s="40"/>
      <c r="W355" s="40"/>
      <c r="X355" s="59" t="s">
        <v>108</v>
      </c>
      <c r="Y355" s="93">
        <f>IF(AD355=0, 0, IF(OR(H355="", H355&lt;&gt;0), 1, 0))</f>
        <v>1</v>
      </c>
      <c r="Z355" s="3">
        <v>0</v>
      </c>
      <c r="AA355" s="3" t="s">
        <v>2349</v>
      </c>
      <c r="AD355" s="6">
        <f>ROUND((AG355*(1+AJ355)),2)</f>
        <v>579.02</v>
      </c>
      <c r="AE355" s="69">
        <v>659.84553292999999</v>
      </c>
      <c r="AF355" s="17">
        <f>(AE355*1)</f>
        <v>659.84553292999999</v>
      </c>
      <c r="AG355" s="6">
        <f>ROUND((AE355*AI355),2)</f>
        <v>428.9</v>
      </c>
      <c r="AH355" s="30" t="s">
        <v>110</v>
      </c>
      <c r="AI355" s="3">
        <v>0.65</v>
      </c>
      <c r="AJ355" s="18">
        <v>0.35</v>
      </c>
      <c r="AK355" s="6">
        <f>ROUND((AD355-(AD355*BG355)),2)</f>
        <v>573.23</v>
      </c>
      <c r="AL355" s="6">
        <f>ROUND((AD355-(AD355*BH355)),2)</f>
        <v>567.44000000000005</v>
      </c>
      <c r="AM355" s="6">
        <f>ROUND((AD355-(AD355*BI355)),2)</f>
        <v>561.65</v>
      </c>
      <c r="AN355" s="6">
        <f>ROUND((AD355-(AD355*BJ355)),2)</f>
        <v>561.65</v>
      </c>
      <c r="AO355" s="6">
        <f>ROUND((AD355-(AD355*BK355)),2)</f>
        <v>579.02</v>
      </c>
      <c r="BG355" s="12">
        <v>0.01</v>
      </c>
      <c r="BH355" s="12">
        <v>0.02</v>
      </c>
      <c r="BI355" s="12">
        <v>0.03</v>
      </c>
      <c r="BJ355" s="12">
        <v>0.03</v>
      </c>
      <c r="CC355" s="3" t="str">
        <f>IF(B355&lt;&gt;"",CONCATENATE(SUBSTITUTE(B355," ","-"),".jpg"),"")</f>
        <v>Allied-Moulded-AMU2060NLW.jpg</v>
      </c>
      <c r="CD355" s="16" t="s">
        <v>111</v>
      </c>
      <c r="CE355" s="3"/>
      <c r="CF355" s="3"/>
      <c r="CG355" s="3" t="s">
        <v>112</v>
      </c>
      <c r="CI355" s="3" t="s">
        <v>97</v>
      </c>
      <c r="CJ355" s="3" t="s">
        <v>467</v>
      </c>
      <c r="CK355" s="3" t="s">
        <v>114</v>
      </c>
      <c r="CL355" s="3" t="s">
        <v>115</v>
      </c>
      <c r="CM355" s="3" t="s">
        <v>116</v>
      </c>
      <c r="CN355" t="s">
        <v>117</v>
      </c>
      <c r="CO355" s="3" t="s">
        <v>118</v>
      </c>
      <c r="CP355" s="3" t="s">
        <v>139</v>
      </c>
      <c r="CQ355" s="3" t="s">
        <v>120</v>
      </c>
      <c r="CR355" s="16" t="s">
        <v>121</v>
      </c>
      <c r="CS355" s="16" t="s">
        <v>122</v>
      </c>
      <c r="CT355" s="16" t="s">
        <v>2145</v>
      </c>
      <c r="CU355" s="16" t="s">
        <v>242</v>
      </c>
      <c r="CV355" s="3" t="s">
        <v>167</v>
      </c>
    </row>
    <row r="356" spans="1:100" ht="15" customHeight="1">
      <c r="A356" t="s">
        <v>2350</v>
      </c>
      <c r="B356" s="3" t="s">
        <v>2351</v>
      </c>
      <c r="C356" s="16" t="s">
        <v>97</v>
      </c>
      <c r="D356" s="44" t="s">
        <v>2352</v>
      </c>
      <c r="E356" s="16" t="s">
        <v>97</v>
      </c>
      <c r="F356" s="131" t="s">
        <v>2353</v>
      </c>
      <c r="I356" s="100" t="s">
        <v>342</v>
      </c>
      <c r="J356" s="16" t="s">
        <v>101</v>
      </c>
      <c r="K356" s="16"/>
      <c r="L356" s="3" t="s">
        <v>102</v>
      </c>
      <c r="M356" s="3" t="s">
        <v>103</v>
      </c>
      <c r="N356" s="3" t="s">
        <v>104</v>
      </c>
      <c r="O356" s="16" t="s">
        <v>105</v>
      </c>
      <c r="P356" s="3" t="s">
        <v>2354</v>
      </c>
      <c r="Q356" s="3" t="s">
        <v>2354</v>
      </c>
      <c r="R356" s="3" t="s">
        <v>2354</v>
      </c>
      <c r="S356" t="s">
        <v>2350</v>
      </c>
      <c r="T356" s="130" t="s">
        <v>465</v>
      </c>
      <c r="U356" s="34">
        <v>18</v>
      </c>
      <c r="V356" s="39"/>
      <c r="W356" s="39"/>
      <c r="X356" s="59" t="s">
        <v>108</v>
      </c>
      <c r="Y356" s="93">
        <f>IF(AD356=0, 0, IF(OR(H356="", H356&lt;&gt;0), 1, 0))</f>
        <v>1</v>
      </c>
      <c r="Z356" s="3">
        <v>0</v>
      </c>
      <c r="AA356" s="3" t="s">
        <v>2355</v>
      </c>
      <c r="AD356" s="6">
        <f>ROUND((AG356*(1+AJ356)),2)</f>
        <v>594.92999999999995</v>
      </c>
      <c r="AE356" s="69">
        <v>677.98785508000003</v>
      </c>
      <c r="AF356" s="17">
        <f>(AE356*1)</f>
        <v>677.98785508000003</v>
      </c>
      <c r="AG356" s="6">
        <f>ROUND((AE356*AI356),2)</f>
        <v>440.69</v>
      </c>
      <c r="AH356" s="30" t="s">
        <v>110</v>
      </c>
      <c r="AI356" s="3">
        <v>0.65</v>
      </c>
      <c r="AJ356" s="18">
        <v>0.35</v>
      </c>
      <c r="AK356" s="6">
        <f>ROUND((AD356-(AD356*BG356)),2)</f>
        <v>588.98</v>
      </c>
      <c r="AL356" s="6">
        <f>ROUND((AD356-(AD356*BH356)),2)</f>
        <v>583.03</v>
      </c>
      <c r="AM356" s="6">
        <f>ROUND((AD356-(AD356*BI356)),2)</f>
        <v>577.08000000000004</v>
      </c>
      <c r="AN356" s="6">
        <f>ROUND((AD356-(AD356*BJ356)),2)</f>
        <v>577.08000000000004</v>
      </c>
      <c r="AO356" s="6">
        <f>ROUND((AD356-(AD356*BK356)),2)</f>
        <v>594.92999999999995</v>
      </c>
      <c r="BG356" s="12">
        <v>0.01</v>
      </c>
      <c r="BH356" s="12">
        <v>0.02</v>
      </c>
      <c r="BI356" s="12">
        <v>0.03</v>
      </c>
      <c r="BJ356" s="12">
        <v>0.03</v>
      </c>
      <c r="CC356" s="3" t="str">
        <f>IF(B356&lt;&gt;"",CONCATENATE(SUBSTITUTE(B356," ","-"),".jpg"),"")</f>
        <v>Allied-Moulded-AMU2060NLWF.jpg</v>
      </c>
      <c r="CD356" s="16" t="s">
        <v>111</v>
      </c>
      <c r="CE356" s="3"/>
      <c r="CF356" s="3"/>
      <c r="CG356" s="3" t="s">
        <v>112</v>
      </c>
      <c r="CI356" s="3" t="s">
        <v>97</v>
      </c>
      <c r="CJ356" s="3" t="s">
        <v>467</v>
      </c>
      <c r="CK356" s="3" t="s">
        <v>114</v>
      </c>
      <c r="CL356" s="3" t="s">
        <v>115</v>
      </c>
      <c r="CM356" s="3" t="s">
        <v>116</v>
      </c>
      <c r="CN356" t="s">
        <v>117</v>
      </c>
      <c r="CO356" s="3" t="s">
        <v>118</v>
      </c>
      <c r="CP356" s="3" t="s">
        <v>139</v>
      </c>
      <c r="CQ356" s="3" t="s">
        <v>120</v>
      </c>
      <c r="CR356" s="16" t="s">
        <v>121</v>
      </c>
      <c r="CS356" s="16" t="s">
        <v>122</v>
      </c>
      <c r="CT356" s="16" t="s">
        <v>2145</v>
      </c>
      <c r="CU356" s="16" t="s">
        <v>242</v>
      </c>
      <c r="CV356" s="3" t="s">
        <v>167</v>
      </c>
    </row>
    <row r="357" spans="1:100" ht="15" customHeight="1">
      <c r="A357" t="s">
        <v>2356</v>
      </c>
      <c r="B357" s="3" t="s">
        <v>2357</v>
      </c>
      <c r="C357" s="16" t="s">
        <v>97</v>
      </c>
      <c r="D357" s="43" t="s">
        <v>2358</v>
      </c>
      <c r="E357" s="16" t="s">
        <v>97</v>
      </c>
      <c r="F357" s="131" t="s">
        <v>2359</v>
      </c>
      <c r="I357" s="100" t="s">
        <v>342</v>
      </c>
      <c r="J357" s="16" t="s">
        <v>101</v>
      </c>
      <c r="K357" s="16"/>
      <c r="L357" s="3" t="s">
        <v>102</v>
      </c>
      <c r="M357" s="3" t="s">
        <v>103</v>
      </c>
      <c r="N357" s="3" t="s">
        <v>104</v>
      </c>
      <c r="O357" s="16" t="s">
        <v>105</v>
      </c>
      <c r="P357" s="3" t="s">
        <v>2360</v>
      </c>
      <c r="Q357" s="3" t="s">
        <v>2360</v>
      </c>
      <c r="R357" s="3" t="s">
        <v>2360</v>
      </c>
      <c r="S357" t="s">
        <v>2356</v>
      </c>
      <c r="T357" s="130" t="s">
        <v>465</v>
      </c>
      <c r="U357" s="35">
        <v>18</v>
      </c>
      <c r="V357" s="40"/>
      <c r="W357" s="40"/>
      <c r="X357" s="59" t="s">
        <v>108</v>
      </c>
      <c r="Y357" s="93">
        <f>IF(AD357=0, 0, IF(OR(H357="", H357&lt;&gt;0), 1, 0))</f>
        <v>1</v>
      </c>
      <c r="Z357" s="3">
        <v>0</v>
      </c>
      <c r="AA357" s="3" t="s">
        <v>2361</v>
      </c>
      <c r="AD357" s="6">
        <f>ROUND((AG357*(1+AJ357)),2)</f>
        <v>414.99</v>
      </c>
      <c r="AE357" s="69">
        <v>472.91970432000005</v>
      </c>
      <c r="AF357" s="17">
        <f>(AE357*1)</f>
        <v>472.91970432000005</v>
      </c>
      <c r="AG357" s="6">
        <f>ROUND((AE357*AI357),2)</f>
        <v>307.39999999999998</v>
      </c>
      <c r="AH357" s="30" t="s">
        <v>110</v>
      </c>
      <c r="AI357" s="3">
        <v>0.65</v>
      </c>
      <c r="AJ357" s="18">
        <v>0.35</v>
      </c>
      <c r="AK357" s="6">
        <f>ROUND((AD357-(AD357*BG357)),2)</f>
        <v>410.84</v>
      </c>
      <c r="AL357" s="6">
        <f>ROUND((AD357-(AD357*BH357)),2)</f>
        <v>406.69</v>
      </c>
      <c r="AM357" s="6">
        <f>ROUND((AD357-(AD357*BI357)),2)</f>
        <v>402.54</v>
      </c>
      <c r="AN357" s="6">
        <f>ROUND((AD357-(AD357*BJ357)),2)</f>
        <v>402.54</v>
      </c>
      <c r="AO357" s="6">
        <f>ROUND((AD357-(AD357*BK357)),2)</f>
        <v>414.99</v>
      </c>
      <c r="BG357" s="12">
        <v>0.01</v>
      </c>
      <c r="BH357" s="12">
        <v>0.02</v>
      </c>
      <c r="BI357" s="12">
        <v>0.03</v>
      </c>
      <c r="BJ357" s="12">
        <v>0.03</v>
      </c>
      <c r="CC357" s="3" t="str">
        <f>IF(B357&lt;&gt;"",CONCATENATE(SUBSTITUTE(B357," ","-"),".jpg"),"")</f>
        <v>Allied-Moulded-AMU2060CC.jpg</v>
      </c>
      <c r="CD357" s="16" t="s">
        <v>111</v>
      </c>
      <c r="CE357" s="3"/>
      <c r="CF357" s="3"/>
      <c r="CG357" s="3" t="s">
        <v>112</v>
      </c>
      <c r="CI357" s="3" t="s">
        <v>97</v>
      </c>
      <c r="CJ357" s="3" t="s">
        <v>467</v>
      </c>
      <c r="CK357" s="3" t="s">
        <v>114</v>
      </c>
      <c r="CL357" s="3" t="s">
        <v>115</v>
      </c>
      <c r="CM357" s="16"/>
      <c r="CN357" s="16" t="s">
        <v>349</v>
      </c>
      <c r="CO357" s="3" t="s">
        <v>118</v>
      </c>
      <c r="CP357" s="3" t="s">
        <v>139</v>
      </c>
      <c r="CQ357" s="3" t="s">
        <v>120</v>
      </c>
      <c r="CR357" s="16" t="s">
        <v>121</v>
      </c>
      <c r="CS357" s="3" t="s">
        <v>384</v>
      </c>
      <c r="CT357" s="16" t="s">
        <v>2145</v>
      </c>
      <c r="CU357" s="16" t="s">
        <v>242</v>
      </c>
      <c r="CV357" s="3" t="s">
        <v>167</v>
      </c>
    </row>
    <row r="358" spans="1:100" ht="15" customHeight="1">
      <c r="A358" t="s">
        <v>2362</v>
      </c>
      <c r="B358" s="3" t="s">
        <v>2363</v>
      </c>
      <c r="C358" s="16" t="s">
        <v>97</v>
      </c>
      <c r="D358" s="44" t="s">
        <v>2364</v>
      </c>
      <c r="E358" s="16" t="s">
        <v>97</v>
      </c>
      <c r="F358" s="131" t="s">
        <v>2365</v>
      </c>
      <c r="I358" s="100" t="s">
        <v>342</v>
      </c>
      <c r="J358" s="16" t="s">
        <v>101</v>
      </c>
      <c r="K358" s="16"/>
      <c r="L358" s="3" t="s">
        <v>102</v>
      </c>
      <c r="M358" s="3" t="s">
        <v>103</v>
      </c>
      <c r="N358" s="3" t="s">
        <v>104</v>
      </c>
      <c r="O358" s="16" t="s">
        <v>105</v>
      </c>
      <c r="P358" s="3" t="s">
        <v>2366</v>
      </c>
      <c r="Q358" s="3" t="s">
        <v>2366</v>
      </c>
      <c r="R358" s="3" t="s">
        <v>2366</v>
      </c>
      <c r="S358" t="s">
        <v>2362</v>
      </c>
      <c r="T358" s="130" t="s">
        <v>465</v>
      </c>
      <c r="U358" s="34">
        <v>18</v>
      </c>
      <c r="V358" s="39"/>
      <c r="W358" s="39"/>
      <c r="X358" s="59" t="s">
        <v>108</v>
      </c>
      <c r="Y358" s="93">
        <f>IF(AD358=0, 0, IF(OR(H358="", H358&lt;&gt;0), 1, 0))</f>
        <v>1</v>
      </c>
      <c r="Z358" s="3">
        <v>0</v>
      </c>
      <c r="AA358" s="3" t="s">
        <v>2367</v>
      </c>
      <c r="AD358" s="6">
        <f>ROUND((AG358*(1+AJ358)),2)</f>
        <v>426.38</v>
      </c>
      <c r="AE358" s="69">
        <v>485.90708350000006</v>
      </c>
      <c r="AF358" s="17">
        <f>(AE358*1)</f>
        <v>485.90708350000006</v>
      </c>
      <c r="AG358" s="6">
        <f>ROUND((AE358*AI358),2)</f>
        <v>315.83999999999997</v>
      </c>
      <c r="AH358" s="30" t="s">
        <v>110</v>
      </c>
      <c r="AI358" s="3">
        <v>0.65</v>
      </c>
      <c r="AJ358" s="18">
        <v>0.35</v>
      </c>
      <c r="AK358" s="6">
        <f>ROUND((AD358-(AD358*BG358)),2)</f>
        <v>422.12</v>
      </c>
      <c r="AL358" s="6">
        <f>ROUND((AD358-(AD358*BH358)),2)</f>
        <v>417.85</v>
      </c>
      <c r="AM358" s="6">
        <f>ROUND((AD358-(AD358*BI358)),2)</f>
        <v>413.59</v>
      </c>
      <c r="AN358" s="6">
        <f>ROUND((AD358-(AD358*BJ358)),2)</f>
        <v>413.59</v>
      </c>
      <c r="AO358" s="6">
        <f>ROUND((AD358-(AD358*BK358)),2)</f>
        <v>426.38</v>
      </c>
      <c r="BG358" s="12">
        <v>0.01</v>
      </c>
      <c r="BH358" s="12">
        <v>0.02</v>
      </c>
      <c r="BI358" s="12">
        <v>0.03</v>
      </c>
      <c r="BJ358" s="12">
        <v>0.03</v>
      </c>
      <c r="CC358" s="3" t="str">
        <f>IF(B358&lt;&gt;"",CONCATENATE(SUBSTITUTE(B358," ","-"),".jpg"),"")</f>
        <v>Allied-Moulded-AMU2060CCF.jpg</v>
      </c>
      <c r="CD358" s="16" t="s">
        <v>111</v>
      </c>
      <c r="CE358" s="3"/>
      <c r="CF358" s="3"/>
      <c r="CG358" s="3" t="s">
        <v>112</v>
      </c>
      <c r="CI358" s="3" t="s">
        <v>97</v>
      </c>
      <c r="CJ358" s="3" t="s">
        <v>467</v>
      </c>
      <c r="CK358" s="3" t="s">
        <v>114</v>
      </c>
      <c r="CL358" s="3" t="s">
        <v>115</v>
      </c>
      <c r="CM358" s="16"/>
      <c r="CN358" s="16" t="s">
        <v>349</v>
      </c>
      <c r="CO358" s="3" t="s">
        <v>118</v>
      </c>
      <c r="CP358" s="3" t="s">
        <v>139</v>
      </c>
      <c r="CQ358" s="3" t="s">
        <v>120</v>
      </c>
      <c r="CR358" s="16" t="s">
        <v>121</v>
      </c>
      <c r="CS358" s="3" t="s">
        <v>384</v>
      </c>
      <c r="CT358" s="16" t="s">
        <v>2145</v>
      </c>
      <c r="CU358" s="16" t="s">
        <v>242</v>
      </c>
      <c r="CV358" s="3" t="s">
        <v>167</v>
      </c>
    </row>
    <row r="359" spans="1:100" ht="15" customHeight="1">
      <c r="A359" t="s">
        <v>2368</v>
      </c>
      <c r="B359" s="3" t="s">
        <v>2369</v>
      </c>
      <c r="C359" s="16" t="s">
        <v>97</v>
      </c>
      <c r="D359" s="152" t="s">
        <v>2370</v>
      </c>
      <c r="E359" s="16" t="s">
        <v>97</v>
      </c>
      <c r="F359" s="131" t="s">
        <v>2371</v>
      </c>
      <c r="I359" s="100" t="s">
        <v>342</v>
      </c>
      <c r="J359" s="16" t="s">
        <v>101</v>
      </c>
      <c r="K359" s="16"/>
      <c r="L359" s="3" t="s">
        <v>102</v>
      </c>
      <c r="M359" s="3" t="s">
        <v>103</v>
      </c>
      <c r="N359" s="3" t="s">
        <v>104</v>
      </c>
      <c r="O359" s="16" t="s">
        <v>105</v>
      </c>
      <c r="P359" s="3" t="s">
        <v>2372</v>
      </c>
      <c r="Q359" s="3" t="s">
        <v>2372</v>
      </c>
      <c r="R359" s="3" t="s">
        <v>2372</v>
      </c>
      <c r="S359" t="s">
        <v>2368</v>
      </c>
      <c r="T359" s="130" t="s">
        <v>465</v>
      </c>
      <c r="U359" s="34">
        <v>18</v>
      </c>
      <c r="V359" s="39"/>
      <c r="W359" s="39"/>
      <c r="X359" s="59" t="s">
        <v>108</v>
      </c>
      <c r="Y359" s="93">
        <f>IF(AD359=0, 0, IF(OR(H359="", H359&lt;&gt;0), 1, 0))</f>
        <v>1</v>
      </c>
      <c r="Z359" s="3">
        <v>0</v>
      </c>
      <c r="AA359" s="3" t="s">
        <v>2373</v>
      </c>
      <c r="AD359" s="6">
        <f>ROUND((AG359*(1+AJ359)),2)</f>
        <v>420.8</v>
      </c>
      <c r="AE359" s="69">
        <v>479.53779422000002</v>
      </c>
      <c r="AF359" s="17">
        <f>(AE359*1)</f>
        <v>479.53779422000002</v>
      </c>
      <c r="AG359" s="6">
        <f>ROUND((AE359*AI359),2)</f>
        <v>311.7</v>
      </c>
      <c r="AH359" s="30" t="s">
        <v>110</v>
      </c>
      <c r="AI359" s="3">
        <v>0.65</v>
      </c>
      <c r="AJ359" s="18">
        <v>0.35</v>
      </c>
      <c r="AK359" s="6">
        <f>ROUND((AD359-(AD359*BG359)),2)</f>
        <v>416.59</v>
      </c>
      <c r="AL359" s="6">
        <f>ROUND((AD359-(AD359*BH359)),2)</f>
        <v>412.38</v>
      </c>
      <c r="AM359" s="6">
        <f>ROUND((AD359-(AD359*BI359)),2)</f>
        <v>408.18</v>
      </c>
      <c r="AN359" s="6">
        <f>ROUND((AD359-(AD359*BJ359)),2)</f>
        <v>408.18</v>
      </c>
      <c r="AO359" s="6">
        <f>ROUND((AD359-(AD359*BK359)),2)</f>
        <v>420.8</v>
      </c>
      <c r="BG359" s="12">
        <v>0.01</v>
      </c>
      <c r="BH359" s="12">
        <v>0.02</v>
      </c>
      <c r="BI359" s="12">
        <v>0.03</v>
      </c>
      <c r="BJ359" s="12">
        <v>0.03</v>
      </c>
      <c r="CC359" s="3" t="str">
        <f>IF(B359&lt;&gt;"",CONCATENATE(SUBSTITUTE(B359," ","-"),".jpg"),"")</f>
        <v>Allied-Moulded-AMU2060CCH.jpg</v>
      </c>
      <c r="CD359" s="16" t="s">
        <v>111</v>
      </c>
      <c r="CE359" s="3"/>
      <c r="CF359" s="3"/>
      <c r="CG359" s="3" t="s">
        <v>112</v>
      </c>
      <c r="CI359" s="3" t="s">
        <v>97</v>
      </c>
      <c r="CJ359" s="3" t="s">
        <v>467</v>
      </c>
      <c r="CK359" s="3" t="s">
        <v>114</v>
      </c>
      <c r="CL359" s="3" t="s">
        <v>115</v>
      </c>
      <c r="CM359" s="3" t="s">
        <v>116</v>
      </c>
      <c r="CN359" s="16" t="s">
        <v>349</v>
      </c>
      <c r="CO359" s="3" t="s">
        <v>118</v>
      </c>
      <c r="CP359" s="3" t="s">
        <v>139</v>
      </c>
      <c r="CQ359" s="3" t="s">
        <v>120</v>
      </c>
      <c r="CR359" s="16" t="s">
        <v>121</v>
      </c>
      <c r="CS359" s="3" t="s">
        <v>384</v>
      </c>
      <c r="CT359" s="16" t="s">
        <v>2145</v>
      </c>
      <c r="CU359" s="16" t="s">
        <v>242</v>
      </c>
      <c r="CV359" s="3" t="s">
        <v>167</v>
      </c>
    </row>
    <row r="360" spans="1:100" ht="15" customHeight="1">
      <c r="A360" t="s">
        <v>2374</v>
      </c>
      <c r="B360" s="3" t="s">
        <v>2375</v>
      </c>
      <c r="C360" s="16" t="s">
        <v>97</v>
      </c>
      <c r="D360" s="38" t="s">
        <v>2376</v>
      </c>
      <c r="E360" s="16" t="s">
        <v>97</v>
      </c>
      <c r="F360" s="131" t="s">
        <v>2377</v>
      </c>
      <c r="I360" s="100" t="s">
        <v>342</v>
      </c>
      <c r="J360" s="16" t="s">
        <v>101</v>
      </c>
      <c r="K360" s="16"/>
      <c r="L360" s="3" t="s">
        <v>102</v>
      </c>
      <c r="M360" s="3" t="s">
        <v>103</v>
      </c>
      <c r="N360" s="3" t="s">
        <v>104</v>
      </c>
      <c r="O360" s="16" t="s">
        <v>105</v>
      </c>
      <c r="P360" s="3" t="s">
        <v>2378</v>
      </c>
      <c r="Q360" s="3" t="s">
        <v>2378</v>
      </c>
      <c r="R360" s="3" t="s">
        <v>2378</v>
      </c>
      <c r="S360" t="s">
        <v>2374</v>
      </c>
      <c r="T360" s="130" t="s">
        <v>465</v>
      </c>
      <c r="U360" s="33">
        <v>18</v>
      </c>
      <c r="V360" s="40"/>
      <c r="W360" s="40"/>
      <c r="X360" s="59" t="s">
        <v>108</v>
      </c>
      <c r="Y360" s="93">
        <f>IF(AD360=0, 0, IF(OR(H360="", H360&lt;&gt;0), 1, 0))</f>
        <v>1</v>
      </c>
      <c r="Z360" s="3">
        <v>0</v>
      </c>
      <c r="AA360" s="3" t="s">
        <v>2379</v>
      </c>
      <c r="AD360" s="6">
        <f>ROUND((AG360*(1+AJ360)),2)</f>
        <v>432.41</v>
      </c>
      <c r="AE360" s="68">
        <v>492.77397299</v>
      </c>
      <c r="AF360" s="17">
        <f>(AE360*1)</f>
        <v>492.77397299</v>
      </c>
      <c r="AG360" s="6">
        <f>ROUND((AE360*AI360),2)</f>
        <v>320.3</v>
      </c>
      <c r="AH360" s="30" t="s">
        <v>110</v>
      </c>
      <c r="AI360" s="3">
        <v>0.65</v>
      </c>
      <c r="AJ360" s="18">
        <v>0.35</v>
      </c>
      <c r="AK360" s="6">
        <f>ROUND((AD360-(AD360*BG360)),2)</f>
        <v>428.09</v>
      </c>
      <c r="AL360" s="6">
        <f>ROUND((AD360-(AD360*BH360)),2)</f>
        <v>423.76</v>
      </c>
      <c r="AM360" s="6">
        <f>ROUND((AD360-(AD360*BI360)),2)</f>
        <v>419.44</v>
      </c>
      <c r="AN360" s="6">
        <f>ROUND((AD360-(AD360*BJ360)),2)</f>
        <v>419.44</v>
      </c>
      <c r="AO360" s="6">
        <f>ROUND((AD360-(AD360*BK360)),2)</f>
        <v>432.41</v>
      </c>
      <c r="BG360" s="12">
        <v>0.01</v>
      </c>
      <c r="BH360" s="12">
        <v>0.02</v>
      </c>
      <c r="BI360" s="12">
        <v>0.03</v>
      </c>
      <c r="BJ360" s="12">
        <v>0.03</v>
      </c>
      <c r="CC360" s="3" t="str">
        <f>IF(B360&lt;&gt;"",CONCATENATE(SUBSTITUTE(B360," ","-"),".jpg"),"")</f>
        <v>Allied-Moulded-AMU2060CCHF.jpg</v>
      </c>
      <c r="CD360" s="16" t="s">
        <v>111</v>
      </c>
      <c r="CE360" s="3"/>
      <c r="CF360" s="3"/>
      <c r="CG360" s="3" t="s">
        <v>112</v>
      </c>
      <c r="CI360" s="3" t="s">
        <v>97</v>
      </c>
      <c r="CJ360" s="3" t="s">
        <v>467</v>
      </c>
      <c r="CK360" s="3" t="s">
        <v>114</v>
      </c>
      <c r="CL360" s="3" t="s">
        <v>115</v>
      </c>
      <c r="CM360" s="3" t="s">
        <v>116</v>
      </c>
      <c r="CN360" s="16" t="s">
        <v>349</v>
      </c>
      <c r="CO360" s="3" t="s">
        <v>118</v>
      </c>
      <c r="CP360" s="3" t="s">
        <v>139</v>
      </c>
      <c r="CQ360" s="3" t="s">
        <v>120</v>
      </c>
      <c r="CR360" s="16" t="s">
        <v>121</v>
      </c>
      <c r="CS360" s="3" t="s">
        <v>384</v>
      </c>
      <c r="CT360" s="16" t="s">
        <v>2145</v>
      </c>
      <c r="CU360" s="16" t="s">
        <v>242</v>
      </c>
      <c r="CV360" s="3" t="s">
        <v>167</v>
      </c>
    </row>
    <row r="361" spans="1:100" ht="15" customHeight="1">
      <c r="A361" t="s">
        <v>2380</v>
      </c>
      <c r="B361" s="3" t="s">
        <v>2381</v>
      </c>
      <c r="C361" s="16" t="s">
        <v>97</v>
      </c>
      <c r="D361" s="40" t="s">
        <v>2382</v>
      </c>
      <c r="E361" s="16" t="s">
        <v>97</v>
      </c>
      <c r="F361" s="131" t="s">
        <v>2383</v>
      </c>
      <c r="I361" s="100" t="s">
        <v>342</v>
      </c>
      <c r="J361" s="16" t="s">
        <v>101</v>
      </c>
      <c r="K361" s="16"/>
      <c r="L361" s="3" t="s">
        <v>102</v>
      </c>
      <c r="M361" s="3" t="s">
        <v>103</v>
      </c>
      <c r="N361" s="3" t="s">
        <v>104</v>
      </c>
      <c r="O361" s="16" t="s">
        <v>105</v>
      </c>
      <c r="P361" s="3" t="s">
        <v>2384</v>
      </c>
      <c r="Q361" s="3" t="s">
        <v>2384</v>
      </c>
      <c r="R361" s="3" t="s">
        <v>2384</v>
      </c>
      <c r="S361" t="s">
        <v>2380</v>
      </c>
      <c r="T361" s="130" t="s">
        <v>465</v>
      </c>
      <c r="U361" s="35">
        <v>18</v>
      </c>
      <c r="V361" s="40"/>
      <c r="W361" s="40"/>
      <c r="X361" s="59" t="s">
        <v>108</v>
      </c>
      <c r="Y361" s="93">
        <f>IF(AD361=0, 0, IF(OR(H361="", H361&lt;&gt;0), 1, 0))</f>
        <v>1</v>
      </c>
      <c r="Z361" s="3">
        <v>0</v>
      </c>
      <c r="AA361" s="3" t="s">
        <v>2385</v>
      </c>
      <c r="AD361" s="6">
        <f>ROUND((AG361*(1+AJ361)),2)</f>
        <v>437.12</v>
      </c>
      <c r="AE361" s="69">
        <v>498.13147267000011</v>
      </c>
      <c r="AF361" s="17">
        <f>(AE361*1)</f>
        <v>498.13147267000011</v>
      </c>
      <c r="AG361" s="6">
        <f>ROUND((AE361*AI361),2)</f>
        <v>323.79000000000002</v>
      </c>
      <c r="AH361" s="30" t="s">
        <v>110</v>
      </c>
      <c r="AI361" s="3">
        <v>0.65</v>
      </c>
      <c r="AJ361" s="18">
        <v>0.35</v>
      </c>
      <c r="AK361" s="6">
        <f>ROUND((AD361-(AD361*BG361)),2)</f>
        <v>432.75</v>
      </c>
      <c r="AL361" s="6">
        <f>ROUND((AD361-(AD361*BH361)),2)</f>
        <v>428.38</v>
      </c>
      <c r="AM361" s="6">
        <f>ROUND((AD361-(AD361*BI361)),2)</f>
        <v>424.01</v>
      </c>
      <c r="AN361" s="6">
        <f>ROUND((AD361-(AD361*BJ361)),2)</f>
        <v>424.01</v>
      </c>
      <c r="AO361" s="6">
        <f>ROUND((AD361-(AD361*BK361)),2)</f>
        <v>437.12</v>
      </c>
      <c r="BG361" s="12">
        <v>0.01</v>
      </c>
      <c r="BH361" s="12">
        <v>0.02</v>
      </c>
      <c r="BI361" s="12">
        <v>0.03</v>
      </c>
      <c r="BJ361" s="12">
        <v>0.03</v>
      </c>
      <c r="CC361" s="3" t="str">
        <f>IF(B361&lt;&gt;"",CONCATENATE(SUBSTITUTE(B361," ","-"),".jpg"),"")</f>
        <v>Allied-Moulded-AMU2060CCL.jpg</v>
      </c>
      <c r="CD361" s="16" t="s">
        <v>111</v>
      </c>
      <c r="CE361" s="3"/>
      <c r="CF361" s="3"/>
      <c r="CG361" s="3" t="s">
        <v>112</v>
      </c>
      <c r="CI361" s="3" t="s">
        <v>97</v>
      </c>
      <c r="CJ361" s="3" t="s">
        <v>467</v>
      </c>
      <c r="CK361" s="3" t="s">
        <v>114</v>
      </c>
      <c r="CL361" s="3" t="s">
        <v>115</v>
      </c>
      <c r="CM361" s="3" t="s">
        <v>116</v>
      </c>
      <c r="CN361" t="s">
        <v>117</v>
      </c>
      <c r="CO361" s="3" t="s">
        <v>118</v>
      </c>
      <c r="CP361" s="3" t="s">
        <v>139</v>
      </c>
      <c r="CQ361" s="3" t="s">
        <v>120</v>
      </c>
      <c r="CR361" s="16" t="s">
        <v>121</v>
      </c>
      <c r="CS361" s="16" t="s">
        <v>122</v>
      </c>
      <c r="CT361" s="16" t="s">
        <v>2145</v>
      </c>
      <c r="CU361" s="16" t="s">
        <v>242</v>
      </c>
      <c r="CV361" s="3" t="s">
        <v>167</v>
      </c>
    </row>
    <row r="362" spans="1:100" ht="15" customHeight="1">
      <c r="A362" t="s">
        <v>2386</v>
      </c>
      <c r="B362" s="3" t="s">
        <v>2387</v>
      </c>
      <c r="C362" s="16" t="s">
        <v>97</v>
      </c>
      <c r="D362" s="39" t="s">
        <v>2388</v>
      </c>
      <c r="E362" s="16" t="s">
        <v>97</v>
      </c>
      <c r="F362" s="131" t="s">
        <v>2389</v>
      </c>
      <c r="I362" s="100" t="s">
        <v>342</v>
      </c>
      <c r="J362" s="16" t="s">
        <v>101</v>
      </c>
      <c r="K362" s="16"/>
      <c r="L362" s="3" t="s">
        <v>102</v>
      </c>
      <c r="M362" s="3" t="s">
        <v>103</v>
      </c>
      <c r="N362" s="3" t="s">
        <v>104</v>
      </c>
      <c r="O362" s="16" t="s">
        <v>105</v>
      </c>
      <c r="P362" s="3" t="s">
        <v>2390</v>
      </c>
      <c r="Q362" s="3" t="s">
        <v>2390</v>
      </c>
      <c r="R362" s="3" t="s">
        <v>2390</v>
      </c>
      <c r="S362" t="s">
        <v>2386</v>
      </c>
      <c r="T362" s="130" t="s">
        <v>465</v>
      </c>
      <c r="U362" s="34">
        <v>18</v>
      </c>
      <c r="V362" s="39"/>
      <c r="W362" s="39"/>
      <c r="X362" s="59" t="s">
        <v>108</v>
      </c>
      <c r="Y362" s="93">
        <f>IF(AD362=0, 0, IF(OR(H362="", H362&lt;&gt;0), 1, 0))</f>
        <v>1</v>
      </c>
      <c r="Z362" s="3">
        <v>0</v>
      </c>
      <c r="AA362" s="3" t="s">
        <v>2391</v>
      </c>
      <c r="AD362" s="6">
        <f>ROUND((AG362*(1+AJ362)),2)</f>
        <v>449.23</v>
      </c>
      <c r="AE362" s="69">
        <v>511.93160012999999</v>
      </c>
      <c r="AF362" s="17">
        <f>(AE362*1)</f>
        <v>511.93160012999999</v>
      </c>
      <c r="AG362" s="6">
        <f>ROUND((AE362*AI362),2)</f>
        <v>332.76</v>
      </c>
      <c r="AH362" s="30" t="s">
        <v>110</v>
      </c>
      <c r="AI362" s="3">
        <v>0.65</v>
      </c>
      <c r="AJ362" s="18">
        <v>0.35</v>
      </c>
      <c r="AK362" s="6">
        <f>ROUND((AD362-(AD362*BG362)),2)</f>
        <v>444.74</v>
      </c>
      <c r="AL362" s="6">
        <f>ROUND((AD362-(AD362*BH362)),2)</f>
        <v>440.25</v>
      </c>
      <c r="AM362" s="6">
        <f>ROUND((AD362-(AD362*BI362)),2)</f>
        <v>435.75</v>
      </c>
      <c r="AN362" s="6">
        <f>ROUND((AD362-(AD362*BJ362)),2)</f>
        <v>435.75</v>
      </c>
      <c r="AO362" s="6">
        <f>ROUND((AD362-(AD362*BK362)),2)</f>
        <v>449.23</v>
      </c>
      <c r="BG362" s="12">
        <v>0.01</v>
      </c>
      <c r="BH362" s="12">
        <v>0.02</v>
      </c>
      <c r="BI362" s="12">
        <v>0.03</v>
      </c>
      <c r="BJ362" s="12">
        <v>0.03</v>
      </c>
      <c r="CC362" s="3" t="str">
        <f>IF(B362&lt;&gt;"",CONCATENATE(SUBSTITUTE(B362," ","-"),".jpg"),"")</f>
        <v>Allied-Moulded-AMU2060CCLF.jpg</v>
      </c>
      <c r="CD362" s="16" t="s">
        <v>111</v>
      </c>
      <c r="CE362" s="3"/>
      <c r="CF362" s="3"/>
      <c r="CG362" s="3" t="s">
        <v>112</v>
      </c>
      <c r="CI362" s="3" t="s">
        <v>97</v>
      </c>
      <c r="CJ362" s="3" t="s">
        <v>467</v>
      </c>
      <c r="CK362" s="3" t="s">
        <v>114</v>
      </c>
      <c r="CL362" s="3" t="s">
        <v>115</v>
      </c>
      <c r="CM362" s="3" t="s">
        <v>116</v>
      </c>
      <c r="CN362" t="s">
        <v>117</v>
      </c>
      <c r="CO362" s="3" t="s">
        <v>118</v>
      </c>
      <c r="CP362" s="3" t="s">
        <v>139</v>
      </c>
      <c r="CQ362" s="3" t="s">
        <v>120</v>
      </c>
      <c r="CR362" s="16" t="s">
        <v>121</v>
      </c>
      <c r="CS362" s="16" t="s">
        <v>122</v>
      </c>
      <c r="CT362" s="16" t="s">
        <v>2145</v>
      </c>
      <c r="CU362" s="16" t="s">
        <v>242</v>
      </c>
      <c r="CV362" s="3" t="s">
        <v>167</v>
      </c>
    </row>
    <row r="363" spans="1:100" ht="15" customHeight="1">
      <c r="A363" t="s">
        <v>2392</v>
      </c>
      <c r="B363" s="3" t="s">
        <v>2393</v>
      </c>
      <c r="C363" s="16" t="s">
        <v>97</v>
      </c>
      <c r="D363" s="39" t="s">
        <v>2394</v>
      </c>
      <c r="E363" s="16" t="s">
        <v>97</v>
      </c>
      <c r="F363" s="131" t="s">
        <v>2395</v>
      </c>
      <c r="I363" s="100" t="s">
        <v>342</v>
      </c>
      <c r="J363" s="16" t="s">
        <v>101</v>
      </c>
      <c r="K363" s="16"/>
      <c r="L363" s="3" t="s">
        <v>102</v>
      </c>
      <c r="M363" s="3" t="s">
        <v>103</v>
      </c>
      <c r="N363" s="3" t="s">
        <v>104</v>
      </c>
      <c r="O363" s="16" t="s">
        <v>105</v>
      </c>
      <c r="P363" s="3" t="s">
        <v>2396</v>
      </c>
      <c r="Q363" s="3" t="s">
        <v>2396</v>
      </c>
      <c r="R363" s="3" t="s">
        <v>2396</v>
      </c>
      <c r="S363" t="s">
        <v>2392</v>
      </c>
      <c r="T363" s="130" t="s">
        <v>465</v>
      </c>
      <c r="U363" s="34">
        <v>18</v>
      </c>
      <c r="V363" s="39"/>
      <c r="W363" s="39"/>
      <c r="X363" s="59" t="s">
        <v>108</v>
      </c>
      <c r="Y363" s="93">
        <f>IF(AD363=0, 0, IF(OR(H363="", H363&lt;&gt;0), 1, 0))</f>
        <v>1</v>
      </c>
      <c r="Z363" s="3">
        <v>0</v>
      </c>
      <c r="AA363" s="3" t="s">
        <v>2397</v>
      </c>
      <c r="AD363" s="6">
        <f>ROUND((AG363*(1+AJ363)),2)</f>
        <v>415.25</v>
      </c>
      <c r="AE363" s="69">
        <v>473.21826629999998</v>
      </c>
      <c r="AF363" s="17">
        <f>(AE363*1)</f>
        <v>473.21826629999998</v>
      </c>
      <c r="AG363" s="6">
        <f>ROUND((AE363*AI363),2)</f>
        <v>307.58999999999997</v>
      </c>
      <c r="AH363" s="30" t="s">
        <v>110</v>
      </c>
      <c r="AI363" s="3">
        <v>0.65</v>
      </c>
      <c r="AJ363" s="18">
        <v>0.35</v>
      </c>
      <c r="AK363" s="6">
        <f>ROUND((AD363-(AD363*BG363)),2)</f>
        <v>411.1</v>
      </c>
      <c r="AL363" s="6">
        <f>ROUND((AD363-(AD363*BH363)),2)</f>
        <v>406.95</v>
      </c>
      <c r="AM363" s="6">
        <f>ROUND((AD363-(AD363*BI363)),2)</f>
        <v>402.79</v>
      </c>
      <c r="AN363" s="6">
        <f>ROUND((AD363-(AD363*BJ363)),2)</f>
        <v>402.79</v>
      </c>
      <c r="AO363" s="6">
        <f>ROUND((AD363-(AD363*BK363)),2)</f>
        <v>415.25</v>
      </c>
      <c r="BG363" s="12">
        <v>0.01</v>
      </c>
      <c r="BH363" s="12">
        <v>0.02</v>
      </c>
      <c r="BI363" s="12">
        <v>0.03</v>
      </c>
      <c r="BJ363" s="12">
        <v>0.03</v>
      </c>
      <c r="CC363" s="3" t="str">
        <f>IF(B363&lt;&gt;"",CONCATENATE(SUBSTITUTE(B363," ","-"),".jpg"),"")</f>
        <v>Allied-Moulded-AMU2060CCNL.jpg</v>
      </c>
      <c r="CD363" s="16" t="s">
        <v>111</v>
      </c>
      <c r="CE363" s="3"/>
      <c r="CF363" s="3"/>
      <c r="CG363" s="3" t="s">
        <v>112</v>
      </c>
      <c r="CI363" s="3" t="s">
        <v>97</v>
      </c>
      <c r="CJ363" s="3" t="s">
        <v>467</v>
      </c>
      <c r="CK363" s="3" t="s">
        <v>114</v>
      </c>
      <c r="CL363" s="3" t="s">
        <v>115</v>
      </c>
      <c r="CM363" s="3" t="s">
        <v>116</v>
      </c>
      <c r="CN363" t="s">
        <v>117</v>
      </c>
      <c r="CO363" s="3" t="s">
        <v>118</v>
      </c>
      <c r="CP363" s="3" t="s">
        <v>139</v>
      </c>
      <c r="CQ363" s="3" t="s">
        <v>120</v>
      </c>
      <c r="CR363" s="16" t="s">
        <v>121</v>
      </c>
      <c r="CS363" s="16" t="s">
        <v>122</v>
      </c>
      <c r="CT363" s="16" t="s">
        <v>2145</v>
      </c>
      <c r="CU363" s="16" t="s">
        <v>242</v>
      </c>
      <c r="CV363" s="3" t="s">
        <v>167</v>
      </c>
    </row>
    <row r="364" spans="1:100" ht="15" customHeight="1">
      <c r="A364" t="s">
        <v>2398</v>
      </c>
      <c r="B364" s="3" t="s">
        <v>2399</v>
      </c>
      <c r="C364" s="16" t="s">
        <v>97</v>
      </c>
      <c r="D364" s="40" t="s">
        <v>2400</v>
      </c>
      <c r="E364" s="16" t="s">
        <v>97</v>
      </c>
      <c r="F364" s="131" t="s">
        <v>2401</v>
      </c>
      <c r="I364" s="100" t="s">
        <v>342</v>
      </c>
      <c r="J364" s="16" t="s">
        <v>101</v>
      </c>
      <c r="K364" s="16"/>
      <c r="L364" s="3" t="s">
        <v>102</v>
      </c>
      <c r="M364" s="3" t="s">
        <v>103</v>
      </c>
      <c r="N364" s="3" t="s">
        <v>104</v>
      </c>
      <c r="O364" s="16" t="s">
        <v>105</v>
      </c>
      <c r="P364" s="3" t="s">
        <v>2402</v>
      </c>
      <c r="Q364" s="3" t="s">
        <v>2402</v>
      </c>
      <c r="R364" s="3" t="s">
        <v>2402</v>
      </c>
      <c r="S364" t="s">
        <v>2398</v>
      </c>
      <c r="T364" s="130" t="s">
        <v>465</v>
      </c>
      <c r="U364" s="35">
        <v>18</v>
      </c>
      <c r="V364" s="40"/>
      <c r="W364" s="40"/>
      <c r="X364" s="59" t="s">
        <v>108</v>
      </c>
      <c r="Y364" s="93">
        <f>IF(AD364=0, 0, IF(OR(H364="", H364&lt;&gt;0), 1, 0))</f>
        <v>1</v>
      </c>
      <c r="Z364" s="3">
        <v>0</v>
      </c>
      <c r="AA364" s="3" t="s">
        <v>2403</v>
      </c>
      <c r="AD364" s="6">
        <f>ROUND((AG364*(1+AJ364)),2)</f>
        <v>426.75</v>
      </c>
      <c r="AE364" s="69">
        <v>486.32175017000003</v>
      </c>
      <c r="AF364" s="17">
        <f>(AE364*1)</f>
        <v>486.32175017000003</v>
      </c>
      <c r="AG364" s="6">
        <f>ROUND((AE364*AI364),2)</f>
        <v>316.11</v>
      </c>
      <c r="AH364" s="30" t="s">
        <v>110</v>
      </c>
      <c r="AI364" s="3">
        <v>0.65</v>
      </c>
      <c r="AJ364" s="18">
        <v>0.35</v>
      </c>
      <c r="AK364" s="6">
        <f>ROUND((AD364-(AD364*BG364)),2)</f>
        <v>422.48</v>
      </c>
      <c r="AL364" s="6">
        <f>ROUND((AD364-(AD364*BH364)),2)</f>
        <v>418.22</v>
      </c>
      <c r="AM364" s="6">
        <f>ROUND((AD364-(AD364*BI364)),2)</f>
        <v>413.95</v>
      </c>
      <c r="AN364" s="6">
        <f>ROUND((AD364-(AD364*BJ364)),2)</f>
        <v>413.95</v>
      </c>
      <c r="AO364" s="6">
        <f>ROUND((AD364-(AD364*BK364)),2)</f>
        <v>426.75</v>
      </c>
      <c r="BG364" s="12">
        <v>0.01</v>
      </c>
      <c r="BH364" s="12">
        <v>0.02</v>
      </c>
      <c r="BI364" s="12">
        <v>0.03</v>
      </c>
      <c r="BJ364" s="12">
        <v>0.03</v>
      </c>
      <c r="CC364" s="3" t="str">
        <f>IF(B364&lt;&gt;"",CONCATENATE(SUBSTITUTE(B364," ","-"),".jpg"),"")</f>
        <v>Allied-Moulded-AMU2060CCNLF.jpg</v>
      </c>
      <c r="CD364" s="16" t="s">
        <v>111</v>
      </c>
      <c r="CE364" s="3"/>
      <c r="CF364" s="3"/>
      <c r="CG364" s="3" t="s">
        <v>112</v>
      </c>
      <c r="CI364" s="3" t="s">
        <v>97</v>
      </c>
      <c r="CJ364" s="3" t="s">
        <v>467</v>
      </c>
      <c r="CK364" s="3" t="s">
        <v>114</v>
      </c>
      <c r="CL364" s="3" t="s">
        <v>115</v>
      </c>
      <c r="CM364" s="3" t="s">
        <v>116</v>
      </c>
      <c r="CN364" t="s">
        <v>117</v>
      </c>
      <c r="CO364" s="3" t="s">
        <v>118</v>
      </c>
      <c r="CP364" s="3" t="s">
        <v>139</v>
      </c>
      <c r="CQ364" s="3" t="s">
        <v>120</v>
      </c>
      <c r="CR364" s="16" t="s">
        <v>121</v>
      </c>
      <c r="CS364" s="16" t="s">
        <v>122</v>
      </c>
      <c r="CT364" s="16" t="s">
        <v>2145</v>
      </c>
      <c r="CU364" s="16" t="s">
        <v>242</v>
      </c>
      <c r="CV364" s="3" t="s">
        <v>167</v>
      </c>
    </row>
    <row r="365" spans="1:100" ht="15" customHeight="1">
      <c r="A365" t="s">
        <v>2404</v>
      </c>
      <c r="B365" s="3" t="s">
        <v>2405</v>
      </c>
      <c r="C365" s="16" t="s">
        <v>97</v>
      </c>
      <c r="D365" s="126" t="s">
        <v>2406</v>
      </c>
      <c r="E365" s="16" t="s">
        <v>97</v>
      </c>
      <c r="F365" s="131" t="s">
        <v>2407</v>
      </c>
      <c r="I365" s="100" t="s">
        <v>342</v>
      </c>
      <c r="J365" s="16" t="s">
        <v>101</v>
      </c>
      <c r="K365" s="16"/>
      <c r="L365" s="3" t="s">
        <v>102</v>
      </c>
      <c r="M365" s="3" t="s">
        <v>103</v>
      </c>
      <c r="N365" s="3" t="s">
        <v>104</v>
      </c>
      <c r="O365" s="16" t="s">
        <v>105</v>
      </c>
      <c r="P365" s="3" t="s">
        <v>2408</v>
      </c>
      <c r="Q365" s="3" t="s">
        <v>2408</v>
      </c>
      <c r="R365" s="3" t="s">
        <v>2408</v>
      </c>
      <c r="S365" t="s">
        <v>2404</v>
      </c>
      <c r="T365" s="130" t="s">
        <v>465</v>
      </c>
      <c r="U365" s="35">
        <v>18</v>
      </c>
      <c r="V365" s="40"/>
      <c r="W365" s="40"/>
      <c r="X365" s="59" t="s">
        <v>108</v>
      </c>
      <c r="Y365" s="93">
        <f>IF(AD365=0, 0, IF(OR(H365="", H365&lt;&gt;0), 1, 0))</f>
        <v>1</v>
      </c>
      <c r="Z365" s="3">
        <v>0</v>
      </c>
      <c r="AA365" s="3" t="s">
        <v>2409</v>
      </c>
      <c r="AD365" s="6">
        <f>ROUND((AG365*(1+AJ365)),2)</f>
        <v>437.12</v>
      </c>
      <c r="AE365" s="69">
        <v>498.13147267000011</v>
      </c>
      <c r="AF365" s="17">
        <f>(AE365*1)</f>
        <v>498.13147267000011</v>
      </c>
      <c r="AG365" s="6">
        <f>ROUND((AE365*AI365),2)</f>
        <v>323.79000000000002</v>
      </c>
      <c r="AH365" s="30" t="s">
        <v>110</v>
      </c>
      <c r="AI365" s="3">
        <v>0.65</v>
      </c>
      <c r="AJ365" s="18">
        <v>0.35</v>
      </c>
      <c r="AK365" s="6">
        <f>ROUND((AD365-(AD365*BG365)),2)</f>
        <v>432.75</v>
      </c>
      <c r="AL365" s="6">
        <f>ROUND((AD365-(AD365*BH365)),2)</f>
        <v>428.38</v>
      </c>
      <c r="AM365" s="6">
        <f>ROUND((AD365-(AD365*BI365)),2)</f>
        <v>424.01</v>
      </c>
      <c r="AN365" s="6">
        <f>ROUND((AD365-(AD365*BJ365)),2)</f>
        <v>424.01</v>
      </c>
      <c r="AO365" s="6">
        <f>ROUND((AD365-(AD365*BK365)),2)</f>
        <v>437.12</v>
      </c>
      <c r="BG365" s="12">
        <v>0.01</v>
      </c>
      <c r="BH365" s="12">
        <v>0.02</v>
      </c>
      <c r="BI365" s="12">
        <v>0.03</v>
      </c>
      <c r="BJ365" s="12">
        <v>0.03</v>
      </c>
      <c r="CC365" s="3" t="str">
        <f>IF(B365&lt;&gt;"",CONCATENATE(SUBSTITUTE(B365," ","-"),".jpg"),"")</f>
        <v>Allied-Moulded-AMU2060CCT.jpg</v>
      </c>
      <c r="CD365" s="16" t="s">
        <v>111</v>
      </c>
      <c r="CE365" s="3"/>
      <c r="CF365" s="3"/>
      <c r="CG365" s="3" t="s">
        <v>112</v>
      </c>
      <c r="CI365" s="3" t="s">
        <v>97</v>
      </c>
      <c r="CJ365" s="3" t="s">
        <v>467</v>
      </c>
      <c r="CK365" s="3" t="s">
        <v>114</v>
      </c>
      <c r="CL365" s="3" t="s">
        <v>115</v>
      </c>
      <c r="CM365" s="3" t="s">
        <v>116</v>
      </c>
      <c r="CN365" s="16" t="s">
        <v>132</v>
      </c>
      <c r="CO365" s="3" t="s">
        <v>118</v>
      </c>
      <c r="CP365" s="3" t="s">
        <v>139</v>
      </c>
      <c r="CQ365" s="3" t="s">
        <v>120</v>
      </c>
      <c r="CR365" s="16" t="s">
        <v>121</v>
      </c>
      <c r="CS365" s="16" t="s">
        <v>122</v>
      </c>
      <c r="CT365" s="16" t="s">
        <v>2145</v>
      </c>
      <c r="CU365" s="16" t="s">
        <v>242</v>
      </c>
      <c r="CV365" s="3" t="s">
        <v>167</v>
      </c>
    </row>
    <row r="366" spans="1:100" ht="15" customHeight="1">
      <c r="A366" t="s">
        <v>2410</v>
      </c>
      <c r="B366" s="3" t="s">
        <v>2411</v>
      </c>
      <c r="C366" s="16" t="s">
        <v>97</v>
      </c>
      <c r="D366" s="47" t="s">
        <v>2412</v>
      </c>
      <c r="E366" s="16" t="s">
        <v>97</v>
      </c>
      <c r="F366" s="131" t="s">
        <v>2413</v>
      </c>
      <c r="I366" s="100" t="s">
        <v>342</v>
      </c>
      <c r="J366" s="16" t="s">
        <v>101</v>
      </c>
      <c r="K366" s="16"/>
      <c r="L366" s="3" t="s">
        <v>102</v>
      </c>
      <c r="M366" s="3" t="s">
        <v>103</v>
      </c>
      <c r="N366" s="3" t="s">
        <v>104</v>
      </c>
      <c r="O366" s="16" t="s">
        <v>105</v>
      </c>
      <c r="P366" s="3" t="s">
        <v>2414</v>
      </c>
      <c r="Q366" s="3" t="s">
        <v>2414</v>
      </c>
      <c r="R366" s="3" t="s">
        <v>2414</v>
      </c>
      <c r="S366" t="s">
        <v>2410</v>
      </c>
      <c r="T366" s="130" t="s">
        <v>465</v>
      </c>
      <c r="U366" s="34">
        <v>18</v>
      </c>
      <c r="V366" s="39"/>
      <c r="W366" s="39"/>
      <c r="X366" s="59" t="s">
        <v>108</v>
      </c>
      <c r="Y366" s="93">
        <f>IF(AD366=0, 0, IF(OR(H366="", H366&lt;&gt;0), 1, 0))</f>
        <v>1</v>
      </c>
      <c r="Z366" s="3">
        <v>0</v>
      </c>
      <c r="AA366" s="3" t="s">
        <v>2415</v>
      </c>
      <c r="AD366" s="6">
        <f>ROUND((AG366*(1+AJ366)),2)</f>
        <v>449.23</v>
      </c>
      <c r="AE366" s="69">
        <v>511.93160012999999</v>
      </c>
      <c r="AF366" s="17">
        <f>(AE366*1)</f>
        <v>511.93160012999999</v>
      </c>
      <c r="AG366" s="6">
        <f>ROUND((AE366*AI366),2)</f>
        <v>332.76</v>
      </c>
      <c r="AH366" s="30" t="s">
        <v>110</v>
      </c>
      <c r="AI366" s="3">
        <v>0.65</v>
      </c>
      <c r="AJ366" s="18">
        <v>0.35</v>
      </c>
      <c r="AK366" s="6">
        <f>ROUND((AD366-(AD366*BG366)),2)</f>
        <v>444.74</v>
      </c>
      <c r="AL366" s="6">
        <f>ROUND((AD366-(AD366*BH366)),2)</f>
        <v>440.25</v>
      </c>
      <c r="AM366" s="6">
        <f>ROUND((AD366-(AD366*BI366)),2)</f>
        <v>435.75</v>
      </c>
      <c r="AN366" s="6">
        <f>ROUND((AD366-(AD366*BJ366)),2)</f>
        <v>435.75</v>
      </c>
      <c r="AO366" s="6">
        <f>ROUND((AD366-(AD366*BK366)),2)</f>
        <v>449.23</v>
      </c>
      <c r="BG366" s="12">
        <v>0.01</v>
      </c>
      <c r="BH366" s="12">
        <v>0.02</v>
      </c>
      <c r="BI366" s="12">
        <v>0.03</v>
      </c>
      <c r="BJ366" s="12">
        <v>0.03</v>
      </c>
      <c r="CC366" s="3" t="str">
        <f>IF(B366&lt;&gt;"",CONCATENATE(SUBSTITUTE(B366," ","-"),".jpg"),"")</f>
        <v>Allied-Moulded-AMU2060CCTF.jpg</v>
      </c>
      <c r="CD366" s="16" t="s">
        <v>111</v>
      </c>
      <c r="CE366" s="3"/>
      <c r="CF366" s="3"/>
      <c r="CG366" s="3" t="s">
        <v>112</v>
      </c>
      <c r="CI366" s="3" t="s">
        <v>97</v>
      </c>
      <c r="CJ366" s="3" t="s">
        <v>467</v>
      </c>
      <c r="CK366" s="3" t="s">
        <v>114</v>
      </c>
      <c r="CL366" s="3" t="s">
        <v>115</v>
      </c>
      <c r="CM366" s="3" t="s">
        <v>116</v>
      </c>
      <c r="CN366" s="16" t="s">
        <v>132</v>
      </c>
      <c r="CO366" s="3" t="s">
        <v>118</v>
      </c>
      <c r="CP366" s="3" t="s">
        <v>139</v>
      </c>
      <c r="CQ366" s="3" t="s">
        <v>120</v>
      </c>
      <c r="CR366" s="16" t="s">
        <v>121</v>
      </c>
      <c r="CS366" s="16" t="s">
        <v>122</v>
      </c>
      <c r="CT366" s="16" t="s">
        <v>2145</v>
      </c>
      <c r="CU366" s="16" t="s">
        <v>242</v>
      </c>
      <c r="CV366" s="3" t="s">
        <v>167</v>
      </c>
    </row>
    <row r="367" spans="1:100" ht="15" customHeight="1">
      <c r="A367" s="86" t="s">
        <v>2416</v>
      </c>
      <c r="B367" s="80" t="s">
        <v>2417</v>
      </c>
      <c r="C367" s="16" t="s">
        <v>97</v>
      </c>
      <c r="D367" s="80" t="s">
        <v>2418</v>
      </c>
      <c r="E367" s="16" t="s">
        <v>97</v>
      </c>
      <c r="F367" s="150" t="s">
        <v>2419</v>
      </c>
      <c r="I367" s="100" t="s">
        <v>342</v>
      </c>
      <c r="J367" s="16" t="s">
        <v>101</v>
      </c>
      <c r="K367" s="16"/>
      <c r="L367" s="3" t="s">
        <v>102</v>
      </c>
      <c r="M367" s="3" t="s">
        <v>103</v>
      </c>
      <c r="N367" s="3" t="s">
        <v>104</v>
      </c>
      <c r="O367" s="16" t="s">
        <v>343</v>
      </c>
      <c r="P367" s="80" t="s">
        <v>2420</v>
      </c>
      <c r="Q367" s="80" t="s">
        <v>2420</v>
      </c>
      <c r="R367" s="80" t="s">
        <v>2421</v>
      </c>
      <c r="S367" s="80" t="s">
        <v>2422</v>
      </c>
      <c r="T367" s="132" t="s">
        <v>107</v>
      </c>
      <c r="U367" s="97">
        <v>17</v>
      </c>
      <c r="X367" s="31" t="s">
        <v>108</v>
      </c>
      <c r="Y367" s="93">
        <f>IF(AD367=0, 0, IF(OR(H367="", H367&lt;&gt;0), 1, 0))</f>
        <v>1</v>
      </c>
      <c r="Z367" s="3">
        <v>0</v>
      </c>
      <c r="AA367" s="3" t="s">
        <v>2423</v>
      </c>
      <c r="AD367" s="6">
        <f>ROUND((AG367*(1+AJ367)),2)</f>
        <v>336.03</v>
      </c>
      <c r="AE367" s="99">
        <v>382.94198298999999</v>
      </c>
      <c r="AF367" s="17">
        <f>(AE367*1)</f>
        <v>382.94198298999999</v>
      </c>
      <c r="AG367" s="6">
        <f>ROUND((AE367*AI367),2)</f>
        <v>248.91</v>
      </c>
      <c r="AH367" s="30" t="s">
        <v>110</v>
      </c>
      <c r="AI367" s="3">
        <v>0.65</v>
      </c>
      <c r="AJ367" s="18">
        <v>0.35</v>
      </c>
      <c r="AK367" s="6">
        <f>ROUND((AD367-(AD367*BG367)),2)</f>
        <v>332.67</v>
      </c>
      <c r="AL367" s="6">
        <f>ROUND((AD367-(AD367*BH367)),2)</f>
        <v>329.31</v>
      </c>
      <c r="AM367" s="6">
        <f>ROUND((AD367-(AD367*BI367)),2)</f>
        <v>325.95</v>
      </c>
      <c r="AN367" s="6">
        <f>ROUND((AD367-(AD367*BJ367)),2)</f>
        <v>325.95</v>
      </c>
      <c r="AO367" s="6">
        <f>ROUND((AD367-(AD367*BK367)),2)</f>
        <v>336.03</v>
      </c>
      <c r="BG367" s="12">
        <v>0.01</v>
      </c>
      <c r="BH367" s="12">
        <v>0.02</v>
      </c>
      <c r="BI367" s="12">
        <v>0.03</v>
      </c>
      <c r="BJ367" s="12">
        <v>0.03</v>
      </c>
      <c r="BK367" s="12"/>
      <c r="CC367" s="3" t="str">
        <f>IF(B367&lt;&gt;"",CONCATENATE(SUBSTITUTE(B367," ","-"),".jpg"),"")</f>
        <v>Allied-Moulded-AM2068.jpg</v>
      </c>
      <c r="CD367" s="16" t="s">
        <v>111</v>
      </c>
      <c r="CE367" s="3"/>
      <c r="CF367" s="3"/>
      <c r="CG367" s="3" t="s">
        <v>112</v>
      </c>
      <c r="CI367" s="3" t="s">
        <v>97</v>
      </c>
      <c r="CJ367" s="16" t="s">
        <v>348</v>
      </c>
      <c r="CK367" s="3" t="s">
        <v>114</v>
      </c>
      <c r="CL367" s="3" t="s">
        <v>115</v>
      </c>
      <c r="CN367" s="16" t="s">
        <v>349</v>
      </c>
      <c r="CO367" s="16" t="s">
        <v>350</v>
      </c>
      <c r="CP367" s="3" t="s">
        <v>139</v>
      </c>
      <c r="CQ367" s="3" t="s">
        <v>120</v>
      </c>
      <c r="CR367" s="3" t="s">
        <v>140</v>
      </c>
      <c r="CS367" s="3" t="s">
        <v>384</v>
      </c>
      <c r="CT367" s="16" t="s">
        <v>2145</v>
      </c>
      <c r="CU367" s="16" t="s">
        <v>242</v>
      </c>
      <c r="CV367" s="16" t="s">
        <v>385</v>
      </c>
    </row>
    <row r="368" spans="1:100" ht="15" customHeight="1">
      <c r="A368" s="86" t="s">
        <v>2424</v>
      </c>
      <c r="B368" s="80" t="s">
        <v>2425</v>
      </c>
      <c r="C368" s="16" t="s">
        <v>97</v>
      </c>
      <c r="D368" s="80" t="s">
        <v>2426</v>
      </c>
      <c r="E368" s="16" t="s">
        <v>97</v>
      </c>
      <c r="F368" s="150" t="s">
        <v>2427</v>
      </c>
      <c r="I368" s="100" t="s">
        <v>342</v>
      </c>
      <c r="J368" s="16" t="s">
        <v>101</v>
      </c>
      <c r="K368" s="16"/>
      <c r="L368" s="3" t="s">
        <v>102</v>
      </c>
      <c r="M368" s="3" t="s">
        <v>103</v>
      </c>
      <c r="N368" s="3" t="s">
        <v>104</v>
      </c>
      <c r="O368" s="16" t="s">
        <v>343</v>
      </c>
      <c r="P368" s="80" t="s">
        <v>2428</v>
      </c>
      <c r="Q368" s="80" t="s">
        <v>2428</v>
      </c>
      <c r="R368" s="80" t="s">
        <v>2429</v>
      </c>
      <c r="S368" s="80" t="s">
        <v>2430</v>
      </c>
      <c r="T368" s="132" t="s">
        <v>107</v>
      </c>
      <c r="U368" s="97">
        <v>17</v>
      </c>
      <c r="X368" s="31" t="s">
        <v>108</v>
      </c>
      <c r="Y368" s="93">
        <f>IF(AD368=0, 0, IF(OR(H368="", H368&lt;&gt;0), 1, 0))</f>
        <v>1</v>
      </c>
      <c r="Z368" s="3">
        <v>0</v>
      </c>
      <c r="AA368" s="3" t="s">
        <v>2431</v>
      </c>
      <c r="AD368" s="6">
        <f>ROUND((AG368*(1+AJ368)),2)</f>
        <v>340.79</v>
      </c>
      <c r="AE368" s="99">
        <v>388.36180488000002</v>
      </c>
      <c r="AF368" s="17">
        <f>(AE368*1)</f>
        <v>388.36180488000002</v>
      </c>
      <c r="AG368" s="6">
        <f>ROUND((AE368*AI368),2)</f>
        <v>252.44</v>
      </c>
      <c r="AH368" s="30" t="s">
        <v>110</v>
      </c>
      <c r="AI368" s="3">
        <v>0.65</v>
      </c>
      <c r="AJ368" s="18">
        <v>0.35</v>
      </c>
      <c r="AK368" s="6">
        <f>ROUND((AD368-(AD368*BG368)),2)</f>
        <v>337.38</v>
      </c>
      <c r="AL368" s="6">
        <f>ROUND((AD368-(AD368*BH368)),2)</f>
        <v>333.97</v>
      </c>
      <c r="AM368" s="6">
        <f>ROUND((AD368-(AD368*BI368)),2)</f>
        <v>330.57</v>
      </c>
      <c r="AN368" s="6">
        <f>ROUND((AD368-(AD368*BJ368)),2)</f>
        <v>330.57</v>
      </c>
      <c r="AO368" s="6">
        <f>ROUND((AD368-(AD368*BK368)),2)</f>
        <v>340.79</v>
      </c>
      <c r="BG368" s="12">
        <v>0.01</v>
      </c>
      <c r="BH368" s="12">
        <v>0.02</v>
      </c>
      <c r="BI368" s="12">
        <v>0.03</v>
      </c>
      <c r="BJ368" s="12">
        <v>0.03</v>
      </c>
      <c r="BK368" s="12"/>
      <c r="CC368" s="3" t="str">
        <f>IF(B368&lt;&gt;"",CONCATENATE(SUBSTITUTE(B368," ","-"),".jpg"),"")</f>
        <v>Allied-Moulded-AM2068H.jpg</v>
      </c>
      <c r="CD368" s="16" t="s">
        <v>111</v>
      </c>
      <c r="CE368" s="3"/>
      <c r="CF368" s="3"/>
      <c r="CG368" s="3" t="s">
        <v>112</v>
      </c>
      <c r="CI368" s="3" t="s">
        <v>97</v>
      </c>
      <c r="CJ368" s="16" t="s">
        <v>348</v>
      </c>
      <c r="CK368" s="3" t="s">
        <v>114</v>
      </c>
      <c r="CL368" s="3" t="s">
        <v>115</v>
      </c>
      <c r="CM368" s="3" t="s">
        <v>116</v>
      </c>
      <c r="CN368" s="16" t="s">
        <v>349</v>
      </c>
      <c r="CO368" s="16" t="s">
        <v>350</v>
      </c>
      <c r="CP368" s="3" t="s">
        <v>139</v>
      </c>
      <c r="CQ368" s="3" t="s">
        <v>120</v>
      </c>
      <c r="CR368" s="3" t="s">
        <v>140</v>
      </c>
      <c r="CS368" s="3" t="s">
        <v>384</v>
      </c>
      <c r="CT368" s="16" t="s">
        <v>2145</v>
      </c>
      <c r="CU368" s="16" t="s">
        <v>242</v>
      </c>
      <c r="CV368" s="16" t="s">
        <v>385</v>
      </c>
    </row>
    <row r="369" spans="1:100" ht="15" customHeight="1">
      <c r="A369" s="8" t="s">
        <v>2432</v>
      </c>
      <c r="B369" s="3" t="s">
        <v>2433</v>
      </c>
      <c r="C369" s="16" t="s">
        <v>97</v>
      </c>
      <c r="D369" s="125" t="s">
        <v>2434</v>
      </c>
      <c r="E369" s="16" t="s">
        <v>97</v>
      </c>
      <c r="F369" s="131" t="s">
        <v>2435</v>
      </c>
      <c r="I369" s="100" t="s">
        <v>342</v>
      </c>
      <c r="J369" s="16" t="s">
        <v>101</v>
      </c>
      <c r="K369" s="16"/>
      <c r="L369" s="3" t="s">
        <v>102</v>
      </c>
      <c r="M369" s="3" t="s">
        <v>103</v>
      </c>
      <c r="N369" s="3" t="s">
        <v>104</v>
      </c>
      <c r="O369" s="16" t="s">
        <v>105</v>
      </c>
      <c r="P369" t="s">
        <v>2436</v>
      </c>
      <c r="Q369" t="s">
        <v>2436</v>
      </c>
      <c r="R369" t="s">
        <v>2436</v>
      </c>
      <c r="S369" s="3" t="s">
        <v>2432</v>
      </c>
      <c r="T369" s="131" t="s">
        <v>107</v>
      </c>
      <c r="U369" s="34">
        <v>25</v>
      </c>
      <c r="V369" s="39"/>
      <c r="W369" s="39"/>
      <c r="X369" s="59" t="s">
        <v>2437</v>
      </c>
      <c r="Y369" s="93">
        <f>IF(AD369=0, 0, IF(OR(H369="", H369&lt;&gt;0), 1, 0))</f>
        <v>1</v>
      </c>
      <c r="Z369" s="3">
        <v>0</v>
      </c>
      <c r="AA369" s="3" t="s">
        <v>2438</v>
      </c>
      <c r="AD369" s="6">
        <f>ROUND((AG369*(1+AJ369)),2)</f>
        <v>810.43</v>
      </c>
      <c r="AE369" s="69">
        <v>923.57266400000003</v>
      </c>
      <c r="AF369" s="17">
        <f>(AE369*1)</f>
        <v>923.57266400000003</v>
      </c>
      <c r="AG369" s="6">
        <f>ROUND((AE369*AI369),2)</f>
        <v>600.32000000000005</v>
      </c>
      <c r="AH369" s="30" t="s">
        <v>110</v>
      </c>
      <c r="AI369" s="3">
        <v>0.65</v>
      </c>
      <c r="AJ369" s="18">
        <v>0.35</v>
      </c>
      <c r="AK369" s="6">
        <f>ROUND((AD369-(AD369*BG369)),2)</f>
        <v>802.33</v>
      </c>
      <c r="AL369" s="6">
        <f>ROUND((AD369-(AD369*BH369)),2)</f>
        <v>794.22</v>
      </c>
      <c r="AM369" s="6">
        <f>ROUND((AD369-(AD369*BI369)),2)</f>
        <v>786.12</v>
      </c>
      <c r="AN369" s="6">
        <f>ROUND((AD369-(AD369*BJ369)),2)</f>
        <v>786.12</v>
      </c>
      <c r="AO369" s="6">
        <f>ROUND((AD369-(AD369*BK369)),2)</f>
        <v>810.43</v>
      </c>
      <c r="BG369" s="12">
        <v>0.01</v>
      </c>
      <c r="BH369" s="12">
        <v>0.02</v>
      </c>
      <c r="BI369" s="12">
        <v>0.03</v>
      </c>
      <c r="BJ369" s="12">
        <v>0.03</v>
      </c>
      <c r="CC369" s="3" t="str">
        <f>IF(B369&lt;&gt;"",CONCATENATE(SUBSTITUTE(B369," ","-"),".jpg"),"")</f>
        <v>Allied-Moulded-AM24200R3PT.jpg</v>
      </c>
      <c r="CD369" s="16" t="s">
        <v>111</v>
      </c>
      <c r="CE369" s="3"/>
      <c r="CF369" s="3"/>
      <c r="CG369" s="3" t="s">
        <v>112</v>
      </c>
      <c r="CI369" s="3" t="s">
        <v>97</v>
      </c>
      <c r="CJ369" s="3" t="s">
        <v>113</v>
      </c>
      <c r="CK369" s="3" t="s">
        <v>114</v>
      </c>
      <c r="CL369" s="3" t="s">
        <v>115</v>
      </c>
      <c r="CM369" s="3" t="s">
        <v>116</v>
      </c>
      <c r="CN369" t="s">
        <v>153</v>
      </c>
      <c r="CO369" s="3" t="s">
        <v>118</v>
      </c>
      <c r="CP369" s="3" t="s">
        <v>139</v>
      </c>
      <c r="CQ369" s="3" t="s">
        <v>120</v>
      </c>
      <c r="CR369" s="3" t="s">
        <v>140</v>
      </c>
      <c r="CS369" s="16" t="s">
        <v>122</v>
      </c>
      <c r="CT369" s="3" t="s">
        <v>124</v>
      </c>
      <c r="CU369" s="16" t="s">
        <v>2145</v>
      </c>
      <c r="CV369" s="3" t="s">
        <v>125</v>
      </c>
    </row>
    <row r="370" spans="1:100" ht="15" customHeight="1">
      <c r="A370" s="3" t="s">
        <v>2439</v>
      </c>
      <c r="B370" s="3" t="s">
        <v>2440</v>
      </c>
      <c r="C370" s="16" t="s">
        <v>97</v>
      </c>
      <c r="D370" s="125" t="s">
        <v>2441</v>
      </c>
      <c r="E370" s="16" t="s">
        <v>97</v>
      </c>
      <c r="F370" s="131" t="s">
        <v>2442</v>
      </c>
      <c r="I370" s="100" t="s">
        <v>342</v>
      </c>
      <c r="J370" s="16" t="s">
        <v>101</v>
      </c>
      <c r="K370" s="16"/>
      <c r="L370" s="3" t="s">
        <v>102</v>
      </c>
      <c r="M370" s="3" t="s">
        <v>103</v>
      </c>
      <c r="N370" s="3" t="s">
        <v>104</v>
      </c>
      <c r="O370" s="16" t="s">
        <v>105</v>
      </c>
      <c r="P370" t="s">
        <v>2443</v>
      </c>
      <c r="Q370" t="s">
        <v>2443</v>
      </c>
      <c r="R370" t="s">
        <v>2443</v>
      </c>
      <c r="S370" s="3" t="s">
        <v>2439</v>
      </c>
      <c r="T370" s="131" t="s">
        <v>107</v>
      </c>
      <c r="U370" s="34">
        <v>25</v>
      </c>
      <c r="V370" s="39"/>
      <c r="W370" s="39"/>
      <c r="X370" s="59" t="s">
        <v>108</v>
      </c>
      <c r="Y370" s="93">
        <f>IF(AD370=0, 0, IF(OR(H370="", H370&lt;&gt;0), 1, 0))</f>
        <v>1</v>
      </c>
      <c r="Z370" s="3">
        <v>0</v>
      </c>
      <c r="AA370" s="3" t="s">
        <v>2444</v>
      </c>
      <c r="AD370" s="6">
        <f>ROUND((AG370*(1+AJ370)),2)</f>
        <v>640.44000000000005</v>
      </c>
      <c r="AE370" s="69">
        <v>729.847533</v>
      </c>
      <c r="AF370" s="17">
        <f>(AE370*1)</f>
        <v>729.847533</v>
      </c>
      <c r="AG370" s="6">
        <f>ROUND((AE370*AI370),2)</f>
        <v>474.4</v>
      </c>
      <c r="AH370" s="30" t="s">
        <v>110</v>
      </c>
      <c r="AI370" s="3">
        <v>0.65</v>
      </c>
      <c r="AJ370" s="18">
        <v>0.35</v>
      </c>
      <c r="AK370" s="6">
        <f>ROUND((AD370-(AD370*BG370)),2)</f>
        <v>634.04</v>
      </c>
      <c r="AL370" s="6">
        <f>ROUND((AD370-(AD370*BH370)),2)</f>
        <v>627.63</v>
      </c>
      <c r="AM370" s="6">
        <f>ROUND((AD370-(AD370*BI370)),2)</f>
        <v>621.23</v>
      </c>
      <c r="AN370" s="6">
        <f>ROUND((AD370-(AD370*BJ370)),2)</f>
        <v>621.23</v>
      </c>
      <c r="AO370" s="6">
        <f>ROUND((AD370-(AD370*BK370)),2)</f>
        <v>640.44000000000005</v>
      </c>
      <c r="BG370" s="12">
        <v>0.01</v>
      </c>
      <c r="BH370" s="12">
        <v>0.02</v>
      </c>
      <c r="BI370" s="12">
        <v>0.03</v>
      </c>
      <c r="BJ370" s="12">
        <v>0.03</v>
      </c>
      <c r="CC370" s="3" t="str">
        <f>IF(B370&lt;&gt;"",CONCATENATE(SUBSTITUTE(B370," ","-"),".jpg"),"")</f>
        <v>Allied-Moulded-AM24200RL.jpg</v>
      </c>
      <c r="CD370" s="16" t="s">
        <v>111</v>
      </c>
      <c r="CE370" s="3"/>
      <c r="CF370" s="3"/>
      <c r="CG370" s="3" t="s">
        <v>112</v>
      </c>
      <c r="CI370" s="3" t="s">
        <v>97</v>
      </c>
      <c r="CJ370" s="3" t="s">
        <v>113</v>
      </c>
      <c r="CK370" s="3" t="s">
        <v>114</v>
      </c>
      <c r="CL370" s="3" t="s">
        <v>115</v>
      </c>
      <c r="CM370" s="3" t="s">
        <v>116</v>
      </c>
      <c r="CN370" t="s">
        <v>117</v>
      </c>
      <c r="CO370" s="3" t="s">
        <v>118</v>
      </c>
      <c r="CP370" s="3" t="s">
        <v>139</v>
      </c>
      <c r="CQ370" s="3" t="s">
        <v>120</v>
      </c>
      <c r="CR370" s="3" t="s">
        <v>140</v>
      </c>
      <c r="CS370" s="16" t="s">
        <v>122</v>
      </c>
      <c r="CT370" s="3" t="s">
        <v>124</v>
      </c>
      <c r="CU370" s="16" t="s">
        <v>2145</v>
      </c>
      <c r="CV370" s="3" t="s">
        <v>125</v>
      </c>
    </row>
    <row r="371" spans="1:100" ht="15" customHeight="1">
      <c r="A371" s="3" t="s">
        <v>2445</v>
      </c>
      <c r="B371" s="3" t="s">
        <v>2446</v>
      </c>
      <c r="C371" s="16" t="s">
        <v>97</v>
      </c>
      <c r="D371" s="125" t="s">
        <v>2447</v>
      </c>
      <c r="E371" s="16" t="s">
        <v>97</v>
      </c>
      <c r="F371" s="131" t="s">
        <v>2448</v>
      </c>
      <c r="I371" s="100" t="s">
        <v>342</v>
      </c>
      <c r="J371" s="16" t="s">
        <v>101</v>
      </c>
      <c r="K371" s="16"/>
      <c r="L371" s="3" t="s">
        <v>102</v>
      </c>
      <c r="M371" s="3" t="s">
        <v>103</v>
      </c>
      <c r="N371" s="3" t="s">
        <v>104</v>
      </c>
      <c r="O371" s="16" t="s">
        <v>105</v>
      </c>
      <c r="P371" t="s">
        <v>2449</v>
      </c>
      <c r="Q371" t="s">
        <v>2449</v>
      </c>
      <c r="R371" t="s">
        <v>2449</v>
      </c>
      <c r="S371" s="3" t="s">
        <v>2445</v>
      </c>
      <c r="T371" s="131" t="s">
        <v>107</v>
      </c>
      <c r="U371" s="35">
        <v>25</v>
      </c>
      <c r="V371" s="40"/>
      <c r="W371" s="40"/>
      <c r="X371" s="59" t="s">
        <v>108</v>
      </c>
      <c r="Y371" s="93">
        <f>IF(AD371=0, 0, IF(OR(H371="", H371&lt;&gt;0), 1, 0))</f>
        <v>1</v>
      </c>
      <c r="Z371" s="3">
        <v>0</v>
      </c>
      <c r="AA371" s="3" t="s">
        <v>2450</v>
      </c>
      <c r="AD371" s="6">
        <f>ROUND((AG371*(1+AJ371)),2)</f>
        <v>640.44000000000005</v>
      </c>
      <c r="AE371" s="69">
        <v>729.847533</v>
      </c>
      <c r="AF371" s="17">
        <f>(AE371*1)</f>
        <v>729.847533</v>
      </c>
      <c r="AG371" s="6">
        <f>ROUND((AE371*AI371),2)</f>
        <v>474.4</v>
      </c>
      <c r="AH371" s="30" t="s">
        <v>110</v>
      </c>
      <c r="AI371" s="3">
        <v>0.65</v>
      </c>
      <c r="AJ371" s="18">
        <v>0.35</v>
      </c>
      <c r="AK371" s="6">
        <f>ROUND((AD371-(AD371*BG371)),2)</f>
        <v>634.04</v>
      </c>
      <c r="AL371" s="6">
        <f>ROUND((AD371-(AD371*BH371)),2)</f>
        <v>627.63</v>
      </c>
      <c r="AM371" s="6">
        <f>ROUND((AD371-(AD371*BI371)),2)</f>
        <v>621.23</v>
      </c>
      <c r="AN371" s="6">
        <f>ROUND((AD371-(AD371*BJ371)),2)</f>
        <v>621.23</v>
      </c>
      <c r="AO371" s="6">
        <f>ROUND((AD371-(AD371*BK371)),2)</f>
        <v>640.44000000000005</v>
      </c>
      <c r="BG371" s="12">
        <v>0.01</v>
      </c>
      <c r="BH371" s="12">
        <v>0.02</v>
      </c>
      <c r="BI371" s="12">
        <v>0.03</v>
      </c>
      <c r="BJ371" s="12">
        <v>0.03</v>
      </c>
      <c r="CC371" s="3" t="str">
        <f>IF(B371&lt;&gt;"",CONCATENATE(SUBSTITUTE(B371," ","-"),".jpg"),"")</f>
        <v>Allied-Moulded-AM24200RT.jpg</v>
      </c>
      <c r="CD371" s="16" t="s">
        <v>111</v>
      </c>
      <c r="CE371" s="3"/>
      <c r="CF371" s="3"/>
      <c r="CG371" s="3" t="s">
        <v>112</v>
      </c>
      <c r="CI371" s="3" t="s">
        <v>97</v>
      </c>
      <c r="CJ371" s="3" t="s">
        <v>113</v>
      </c>
      <c r="CK371" s="3" t="s">
        <v>114</v>
      </c>
      <c r="CL371" s="3" t="s">
        <v>115</v>
      </c>
      <c r="CM371" s="3" t="s">
        <v>116</v>
      </c>
      <c r="CN371" t="s">
        <v>132</v>
      </c>
      <c r="CO371" s="3" t="s">
        <v>118</v>
      </c>
      <c r="CP371" s="3" t="s">
        <v>139</v>
      </c>
      <c r="CQ371" s="3" t="s">
        <v>120</v>
      </c>
      <c r="CR371" s="3" t="s">
        <v>140</v>
      </c>
      <c r="CS371" s="16" t="s">
        <v>122</v>
      </c>
      <c r="CT371" s="3" t="s">
        <v>124</v>
      </c>
      <c r="CU371" s="16" t="s">
        <v>2145</v>
      </c>
      <c r="CV371" s="3" t="s">
        <v>125</v>
      </c>
    </row>
    <row r="372" spans="1:100" ht="15" customHeight="1">
      <c r="A372" s="3" t="s">
        <v>2451</v>
      </c>
      <c r="B372" s="3" t="s">
        <v>2452</v>
      </c>
      <c r="C372" s="16" t="s">
        <v>97</v>
      </c>
      <c r="D372" s="125" t="s">
        <v>2453</v>
      </c>
      <c r="E372" s="16" t="s">
        <v>97</v>
      </c>
      <c r="F372" s="131" t="s">
        <v>2454</v>
      </c>
      <c r="I372" s="100" t="s">
        <v>342</v>
      </c>
      <c r="J372" s="16" t="s">
        <v>101</v>
      </c>
      <c r="K372" s="16"/>
      <c r="L372" s="3" t="s">
        <v>102</v>
      </c>
      <c r="M372" s="3" t="s">
        <v>103</v>
      </c>
      <c r="N372" s="3" t="s">
        <v>104</v>
      </c>
      <c r="O372" s="16" t="s">
        <v>105</v>
      </c>
      <c r="P372" t="s">
        <v>2455</v>
      </c>
      <c r="Q372" t="s">
        <v>2455</v>
      </c>
      <c r="R372" t="s">
        <v>2455</v>
      </c>
      <c r="S372" s="3" t="s">
        <v>2451</v>
      </c>
      <c r="T372" s="131" t="s">
        <v>107</v>
      </c>
      <c r="U372" s="34">
        <v>25</v>
      </c>
      <c r="V372" s="39"/>
      <c r="W372" s="39"/>
      <c r="X372" s="59" t="s">
        <v>108</v>
      </c>
      <c r="Y372" s="93">
        <f>IF(AD372=0, 0, IF(OR(H372="", H372&lt;&gt;0), 1, 0))</f>
        <v>1</v>
      </c>
      <c r="Z372" s="3">
        <v>0</v>
      </c>
      <c r="AA372" s="3" t="s">
        <v>2456</v>
      </c>
      <c r="AD372" s="6">
        <f>ROUND((AG372*(1+AJ372)),2)</f>
        <v>726.75</v>
      </c>
      <c r="AE372" s="69">
        <v>828.20725000000004</v>
      </c>
      <c r="AF372" s="17">
        <f>(AE372*1)</f>
        <v>828.20725000000004</v>
      </c>
      <c r="AG372" s="6">
        <f>ROUND((AE372*AI372),2)</f>
        <v>538.33000000000004</v>
      </c>
      <c r="AH372" s="30" t="s">
        <v>110</v>
      </c>
      <c r="AI372" s="3">
        <v>0.65</v>
      </c>
      <c r="AJ372" s="18">
        <v>0.35</v>
      </c>
      <c r="AK372" s="6">
        <f>ROUND((AD372-(AD372*BG372)),2)</f>
        <v>719.48</v>
      </c>
      <c r="AL372" s="6">
        <f>ROUND((AD372-(AD372*BH372)),2)</f>
        <v>712.22</v>
      </c>
      <c r="AM372" s="6">
        <f>ROUND((AD372-(AD372*BI372)),2)</f>
        <v>704.95</v>
      </c>
      <c r="AN372" s="6">
        <f>ROUND((AD372-(AD372*BJ372)),2)</f>
        <v>704.95</v>
      </c>
      <c r="AO372" s="6">
        <f>ROUND((AD372-(AD372*BK372)),2)</f>
        <v>726.75</v>
      </c>
      <c r="BG372" s="12">
        <v>0.01</v>
      </c>
      <c r="BH372" s="12">
        <v>0.02</v>
      </c>
      <c r="BI372" s="12">
        <v>0.03</v>
      </c>
      <c r="BJ372" s="12">
        <v>0.03</v>
      </c>
      <c r="CC372" s="3" t="str">
        <f>IF(B372&lt;&gt;"",CONCATENATE(SUBSTITUTE(B372," ","-"),".jpg"),"")</f>
        <v>Allied-Moulded-AM24200RQT.jpg</v>
      </c>
      <c r="CD372" s="16" t="s">
        <v>111</v>
      </c>
      <c r="CE372" s="3"/>
      <c r="CF372" s="3"/>
      <c r="CG372" s="3" t="s">
        <v>112</v>
      </c>
      <c r="CI372" s="3" t="s">
        <v>97</v>
      </c>
      <c r="CJ372" s="3" t="s">
        <v>113</v>
      </c>
      <c r="CK372" s="3" t="s">
        <v>114</v>
      </c>
      <c r="CL372" s="3" t="s">
        <v>115</v>
      </c>
      <c r="CM372" s="3" t="s">
        <v>116</v>
      </c>
      <c r="CN372" t="s">
        <v>160</v>
      </c>
      <c r="CO372" s="3" t="s">
        <v>118</v>
      </c>
      <c r="CP372" s="3" t="s">
        <v>139</v>
      </c>
      <c r="CQ372" s="3" t="s">
        <v>120</v>
      </c>
      <c r="CR372" s="3" t="s">
        <v>140</v>
      </c>
      <c r="CS372" s="16" t="s">
        <v>122</v>
      </c>
      <c r="CT372" s="3" t="s">
        <v>124</v>
      </c>
      <c r="CU372" s="16" t="s">
        <v>2145</v>
      </c>
      <c r="CV372" s="3" t="s">
        <v>125</v>
      </c>
    </row>
    <row r="373" spans="1:100" ht="15" customHeight="1">
      <c r="A373" t="s">
        <v>2457</v>
      </c>
      <c r="B373" s="3" t="s">
        <v>2458</v>
      </c>
      <c r="C373" s="16" t="s">
        <v>97</v>
      </c>
      <c r="D373" s="40" t="s">
        <v>2459</v>
      </c>
      <c r="E373" s="16" t="s">
        <v>97</v>
      </c>
      <c r="F373" s="131" t="s">
        <v>2460</v>
      </c>
      <c r="I373" s="100" t="s">
        <v>342</v>
      </c>
      <c r="J373" s="16" t="s">
        <v>101</v>
      </c>
      <c r="K373" s="16"/>
      <c r="L373" s="3" t="s">
        <v>102</v>
      </c>
      <c r="M373" s="3" t="s">
        <v>103</v>
      </c>
      <c r="N373" s="3" t="s">
        <v>104</v>
      </c>
      <c r="O373" s="16" t="s">
        <v>105</v>
      </c>
      <c r="P373" s="3" t="s">
        <v>2461</v>
      </c>
      <c r="Q373" s="3" t="s">
        <v>2461</v>
      </c>
      <c r="R373" s="3" t="s">
        <v>2461</v>
      </c>
      <c r="S373" t="s">
        <v>2457</v>
      </c>
      <c r="T373" s="130" t="s">
        <v>107</v>
      </c>
      <c r="U373" s="35">
        <v>25</v>
      </c>
      <c r="V373" s="40"/>
      <c r="W373" s="40"/>
      <c r="X373" s="59" t="s">
        <v>108</v>
      </c>
      <c r="Y373" s="93">
        <f>IF(AD373=0, 0, IF(OR(H373="", H373&lt;&gt;0), 1, 0))</f>
        <v>1</v>
      </c>
      <c r="Z373" s="3">
        <v>0</v>
      </c>
      <c r="AA373" s="3" t="s">
        <v>2462</v>
      </c>
      <c r="AD373" s="6">
        <f>ROUND((AG373*(1+AJ373)),2)</f>
        <v>805.05</v>
      </c>
      <c r="AE373" s="69">
        <v>917.42641000000003</v>
      </c>
      <c r="AF373" s="17">
        <f>(AE373*1)</f>
        <v>917.42641000000003</v>
      </c>
      <c r="AG373" s="6">
        <f>ROUND((AE373*AI373),2)</f>
        <v>596.33000000000004</v>
      </c>
      <c r="AH373" s="30" t="s">
        <v>110</v>
      </c>
      <c r="AI373" s="3">
        <v>0.65</v>
      </c>
      <c r="AJ373" s="18">
        <v>0.35</v>
      </c>
      <c r="AK373" s="6">
        <f>ROUND((AD373-(AD373*BG373)),2)</f>
        <v>797</v>
      </c>
      <c r="AL373" s="6">
        <f>ROUND((AD373-(AD373*BH373)),2)</f>
        <v>788.95</v>
      </c>
      <c r="AM373" s="6">
        <f>ROUND((AD373-(AD373*BI373)),2)</f>
        <v>780.9</v>
      </c>
      <c r="AN373" s="6">
        <f>ROUND((AD373-(AD373*BJ373)),2)</f>
        <v>780.9</v>
      </c>
      <c r="AO373" s="6">
        <f>ROUND((AD373-(AD373*BK373)),2)</f>
        <v>805.05</v>
      </c>
      <c r="BG373" s="12">
        <v>0.01</v>
      </c>
      <c r="BH373" s="12">
        <v>0.02</v>
      </c>
      <c r="BI373" s="12">
        <v>0.03</v>
      </c>
      <c r="BJ373" s="12">
        <v>0.03</v>
      </c>
      <c r="CC373" s="3" t="str">
        <f>IF(B373&lt;&gt;"",CONCATENATE(SUBSTITUTE(B373," ","-"),".jpg"),"")</f>
        <v>Allied-Moulded-AM24208RLW.jpg</v>
      </c>
      <c r="CD373" s="16" t="s">
        <v>111</v>
      </c>
      <c r="CE373" s="3"/>
      <c r="CF373" s="3"/>
      <c r="CG373" s="3" t="s">
        <v>112</v>
      </c>
      <c r="CI373" s="3" t="s">
        <v>97</v>
      </c>
      <c r="CJ373" s="3" t="s">
        <v>113</v>
      </c>
      <c r="CK373" s="3" t="s">
        <v>114</v>
      </c>
      <c r="CL373" s="3" t="s">
        <v>115</v>
      </c>
      <c r="CM373" s="3" t="s">
        <v>116</v>
      </c>
      <c r="CN373" t="s">
        <v>117</v>
      </c>
      <c r="CO373" s="3" t="s">
        <v>118</v>
      </c>
      <c r="CP373" s="3" t="s">
        <v>119</v>
      </c>
      <c r="CQ373" s="3" t="s">
        <v>120</v>
      </c>
      <c r="CR373" s="16" t="s">
        <v>121</v>
      </c>
      <c r="CS373" s="16" t="s">
        <v>122</v>
      </c>
      <c r="CT373" s="16" t="s">
        <v>124</v>
      </c>
      <c r="CU373" s="16" t="s">
        <v>2145</v>
      </c>
      <c r="CV373" s="3" t="s">
        <v>167</v>
      </c>
    </row>
    <row r="374" spans="1:100" ht="15" customHeight="1">
      <c r="A374" t="s">
        <v>2463</v>
      </c>
      <c r="B374" s="3" t="s">
        <v>2464</v>
      </c>
      <c r="C374" s="16" t="s">
        <v>97</v>
      </c>
      <c r="D374" s="39" t="s">
        <v>2465</v>
      </c>
      <c r="E374" s="16" t="s">
        <v>97</v>
      </c>
      <c r="F374" s="131" t="s">
        <v>2466</v>
      </c>
      <c r="I374" s="100" t="s">
        <v>342</v>
      </c>
      <c r="J374" s="16" t="s">
        <v>101</v>
      </c>
      <c r="K374" s="16"/>
      <c r="L374" s="3" t="s">
        <v>102</v>
      </c>
      <c r="M374" s="3" t="s">
        <v>103</v>
      </c>
      <c r="N374" s="3" t="s">
        <v>104</v>
      </c>
      <c r="O374" s="16" t="s">
        <v>105</v>
      </c>
      <c r="P374" s="3" t="s">
        <v>2467</v>
      </c>
      <c r="Q374" s="3" t="s">
        <v>2467</v>
      </c>
      <c r="R374" s="3" t="s">
        <v>2467</v>
      </c>
      <c r="S374" t="s">
        <v>2463</v>
      </c>
      <c r="T374" s="130" t="s">
        <v>107</v>
      </c>
      <c r="U374" s="34">
        <v>25</v>
      </c>
      <c r="V374" s="39"/>
      <c r="W374" s="39"/>
      <c r="X374" s="59" t="s">
        <v>108</v>
      </c>
      <c r="Y374" s="93">
        <f>IF(AD374=0, 0, IF(OR(H374="", H374&lt;&gt;0), 1, 0))</f>
        <v>1</v>
      </c>
      <c r="Z374" s="3">
        <v>0</v>
      </c>
      <c r="AA374" s="3" t="s">
        <v>2468</v>
      </c>
      <c r="AD374" s="6">
        <f>ROUND((AG374*(1+AJ374)),2)</f>
        <v>810.04</v>
      </c>
      <c r="AE374" s="69">
        <v>923.11564399999997</v>
      </c>
      <c r="AF374" s="17">
        <f>(AE374*1)</f>
        <v>923.11564399999997</v>
      </c>
      <c r="AG374" s="6">
        <f>ROUND((AE374*AI374),2)</f>
        <v>600.03</v>
      </c>
      <c r="AH374" s="30" t="s">
        <v>110</v>
      </c>
      <c r="AI374" s="3">
        <v>0.65</v>
      </c>
      <c r="AJ374" s="18">
        <v>0.35</v>
      </c>
      <c r="AK374" s="6">
        <f>ROUND((AD374-(AD374*BG374)),2)</f>
        <v>801.94</v>
      </c>
      <c r="AL374" s="6">
        <f>ROUND((AD374-(AD374*BH374)),2)</f>
        <v>793.84</v>
      </c>
      <c r="AM374" s="6">
        <f>ROUND((AD374-(AD374*BI374)),2)</f>
        <v>785.74</v>
      </c>
      <c r="AN374" s="6">
        <f>ROUND((AD374-(AD374*BJ374)),2)</f>
        <v>785.74</v>
      </c>
      <c r="AO374" s="6">
        <f>ROUND((AD374-(AD374*BK374)),2)</f>
        <v>810.04</v>
      </c>
      <c r="BG374" s="12">
        <v>0.01</v>
      </c>
      <c r="BH374" s="12">
        <v>0.02</v>
      </c>
      <c r="BI374" s="12">
        <v>0.03</v>
      </c>
      <c r="BJ374" s="12">
        <v>0.03</v>
      </c>
      <c r="CC374" s="3" t="str">
        <f>IF(B374&lt;&gt;"",CONCATENATE(SUBSTITUTE(B374," ","-"),".jpg"),"")</f>
        <v>Allied-Moulded-AM24200RLW.jpg</v>
      </c>
      <c r="CD374" s="16" t="s">
        <v>111</v>
      </c>
      <c r="CE374" s="3"/>
      <c r="CF374" s="3"/>
      <c r="CG374" s="3" t="s">
        <v>112</v>
      </c>
      <c r="CI374" s="3" t="s">
        <v>97</v>
      </c>
      <c r="CJ374" s="3" t="s">
        <v>113</v>
      </c>
      <c r="CK374" s="3" t="s">
        <v>114</v>
      </c>
      <c r="CL374" s="3" t="s">
        <v>115</v>
      </c>
      <c r="CM374" s="3" t="s">
        <v>116</v>
      </c>
      <c r="CN374" t="s">
        <v>117</v>
      </c>
      <c r="CO374" s="3" t="s">
        <v>118</v>
      </c>
      <c r="CP374" s="3" t="s">
        <v>119</v>
      </c>
      <c r="CQ374" s="3" t="s">
        <v>120</v>
      </c>
      <c r="CR374" s="16" t="s">
        <v>121</v>
      </c>
      <c r="CS374" s="16" t="s">
        <v>122</v>
      </c>
      <c r="CT374" s="16" t="s">
        <v>124</v>
      </c>
      <c r="CU374" s="16" t="s">
        <v>2145</v>
      </c>
      <c r="CV374" s="16" t="s">
        <v>125</v>
      </c>
    </row>
    <row r="375" spans="1:100" ht="15" customHeight="1">
      <c r="A375" t="s">
        <v>2469</v>
      </c>
      <c r="B375" s="3" t="s">
        <v>2470</v>
      </c>
      <c r="C375" s="16" t="s">
        <v>97</v>
      </c>
      <c r="D375" s="39" t="s">
        <v>2471</v>
      </c>
      <c r="E375" s="16" t="s">
        <v>97</v>
      </c>
      <c r="F375" s="131" t="s">
        <v>2472</v>
      </c>
      <c r="I375" s="100" t="s">
        <v>342</v>
      </c>
      <c r="J375" s="16" t="s">
        <v>101</v>
      </c>
      <c r="K375" s="16"/>
      <c r="L375" s="3" t="s">
        <v>102</v>
      </c>
      <c r="M375" s="3" t="s">
        <v>103</v>
      </c>
      <c r="N375" s="3" t="s">
        <v>104</v>
      </c>
      <c r="O375" s="16" t="s">
        <v>105</v>
      </c>
      <c r="P375" s="3" t="s">
        <v>2473</v>
      </c>
      <c r="Q375" s="3" t="s">
        <v>2473</v>
      </c>
      <c r="R375" s="3" t="s">
        <v>2473</v>
      </c>
      <c r="S375" t="s">
        <v>2469</v>
      </c>
      <c r="T375" s="130" t="s">
        <v>107</v>
      </c>
      <c r="U375" s="34">
        <v>25</v>
      </c>
      <c r="V375" s="39"/>
      <c r="W375" s="39"/>
      <c r="X375" s="59" t="s">
        <v>108</v>
      </c>
      <c r="Y375" s="93">
        <f>IF(AD375=0, 0, IF(OR(H375="", H375&lt;&gt;0), 1, 0))</f>
        <v>1</v>
      </c>
      <c r="Z375" s="3">
        <v>0</v>
      </c>
      <c r="AA375" s="3" t="s">
        <v>2474</v>
      </c>
      <c r="AD375" s="6">
        <f>ROUND((AG375*(1+AJ375)),2)</f>
        <v>805.05</v>
      </c>
      <c r="AE375" s="69">
        <v>917.42641000000003</v>
      </c>
      <c r="AF375" s="17">
        <f>(AE375*1)</f>
        <v>917.42641000000003</v>
      </c>
      <c r="AG375" s="6">
        <f>ROUND((AE375*AI375),2)</f>
        <v>596.33000000000004</v>
      </c>
      <c r="AH375" s="30" t="s">
        <v>110</v>
      </c>
      <c r="AI375" s="3">
        <v>0.65</v>
      </c>
      <c r="AJ375" s="18">
        <v>0.35</v>
      </c>
      <c r="AK375" s="6">
        <f>ROUND((AD375-(AD375*BG375)),2)</f>
        <v>797</v>
      </c>
      <c r="AL375" s="6">
        <f>ROUND((AD375-(AD375*BH375)),2)</f>
        <v>788.95</v>
      </c>
      <c r="AM375" s="6">
        <f>ROUND((AD375-(AD375*BI375)),2)</f>
        <v>780.9</v>
      </c>
      <c r="AN375" s="6">
        <f>ROUND((AD375-(AD375*BJ375)),2)</f>
        <v>780.9</v>
      </c>
      <c r="AO375" s="6">
        <f>ROUND((AD375-(AD375*BK375)),2)</f>
        <v>805.05</v>
      </c>
      <c r="BG375" s="12">
        <v>0.01</v>
      </c>
      <c r="BH375" s="12">
        <v>0.02</v>
      </c>
      <c r="BI375" s="12">
        <v>0.03</v>
      </c>
      <c r="BJ375" s="12">
        <v>0.03</v>
      </c>
      <c r="CC375" s="3" t="str">
        <f>IF(B375&lt;&gt;"",CONCATENATE(SUBSTITUTE(B375," ","-"),".jpg"),"")</f>
        <v>Allied-Moulded-AM24208RTW.jpg</v>
      </c>
      <c r="CD375" s="16" t="s">
        <v>111</v>
      </c>
      <c r="CE375" s="3"/>
      <c r="CF375" s="3"/>
      <c r="CG375" s="3" t="s">
        <v>112</v>
      </c>
      <c r="CI375" s="3" t="s">
        <v>97</v>
      </c>
      <c r="CJ375" s="3" t="s">
        <v>113</v>
      </c>
      <c r="CK375" s="3" t="s">
        <v>114</v>
      </c>
      <c r="CL375" s="3" t="s">
        <v>115</v>
      </c>
      <c r="CM375" s="3" t="s">
        <v>116</v>
      </c>
      <c r="CN375" s="16" t="s">
        <v>132</v>
      </c>
      <c r="CO375" s="3" t="s">
        <v>118</v>
      </c>
      <c r="CP375" s="3" t="s">
        <v>119</v>
      </c>
      <c r="CQ375" s="3" t="s">
        <v>120</v>
      </c>
      <c r="CR375" s="16" t="s">
        <v>121</v>
      </c>
      <c r="CS375" s="16" t="s">
        <v>122</v>
      </c>
      <c r="CT375" s="16" t="s">
        <v>124</v>
      </c>
      <c r="CU375" s="16" t="s">
        <v>2145</v>
      </c>
      <c r="CV375" s="3" t="s">
        <v>167</v>
      </c>
    </row>
    <row r="376" spans="1:100" ht="15" customHeight="1">
      <c r="A376" t="s">
        <v>2475</v>
      </c>
      <c r="B376" s="3" t="s">
        <v>2476</v>
      </c>
      <c r="C376" s="16" t="s">
        <v>97</v>
      </c>
      <c r="D376" s="40" t="s">
        <v>2477</v>
      </c>
      <c r="E376" s="16" t="s">
        <v>97</v>
      </c>
      <c r="F376" s="131" t="s">
        <v>2478</v>
      </c>
      <c r="I376" s="100" t="s">
        <v>342</v>
      </c>
      <c r="J376" s="16" t="s">
        <v>101</v>
      </c>
      <c r="K376" s="16"/>
      <c r="L376" s="3" t="s">
        <v>102</v>
      </c>
      <c r="M376" s="3" t="s">
        <v>103</v>
      </c>
      <c r="N376" s="3" t="s">
        <v>104</v>
      </c>
      <c r="O376" s="16" t="s">
        <v>105</v>
      </c>
      <c r="P376" s="3" t="s">
        <v>2479</v>
      </c>
      <c r="Q376" s="3" t="s">
        <v>2479</v>
      </c>
      <c r="R376" s="3" t="s">
        <v>2479</v>
      </c>
      <c r="S376" t="s">
        <v>2475</v>
      </c>
      <c r="T376" s="130" t="s">
        <v>107</v>
      </c>
      <c r="U376" s="35">
        <v>25</v>
      </c>
      <c r="V376" s="40"/>
      <c r="W376" s="40"/>
      <c r="X376" s="59" t="s">
        <v>108</v>
      </c>
      <c r="Y376" s="93">
        <f>IF(AD376=0, 0, IF(OR(H376="", H376&lt;&gt;0), 1, 0))</f>
        <v>1</v>
      </c>
      <c r="Z376" s="3">
        <v>0</v>
      </c>
      <c r="AA376" s="3" t="s">
        <v>2480</v>
      </c>
      <c r="AD376" s="6">
        <f>ROUND((AG376*(1+AJ376)),2)</f>
        <v>810.04</v>
      </c>
      <c r="AE376" s="69">
        <v>923.11564399999997</v>
      </c>
      <c r="AF376" s="17">
        <f>(AE376*1)</f>
        <v>923.11564399999997</v>
      </c>
      <c r="AG376" s="6">
        <f>ROUND((AE376*AI376),2)</f>
        <v>600.03</v>
      </c>
      <c r="AH376" s="30" t="s">
        <v>110</v>
      </c>
      <c r="AI376" s="3">
        <v>0.65</v>
      </c>
      <c r="AJ376" s="18">
        <v>0.35</v>
      </c>
      <c r="AK376" s="6">
        <f>ROUND((AD376-(AD376*BG376)),2)</f>
        <v>801.94</v>
      </c>
      <c r="AL376" s="6">
        <f>ROUND((AD376-(AD376*BH376)),2)</f>
        <v>793.84</v>
      </c>
      <c r="AM376" s="6">
        <f>ROUND((AD376-(AD376*BI376)),2)</f>
        <v>785.74</v>
      </c>
      <c r="AN376" s="6">
        <f>ROUND((AD376-(AD376*BJ376)),2)</f>
        <v>785.74</v>
      </c>
      <c r="AO376" s="6">
        <f>ROUND((AD376-(AD376*BK376)),2)</f>
        <v>810.04</v>
      </c>
      <c r="BG376" s="12">
        <v>0.01</v>
      </c>
      <c r="BH376" s="12">
        <v>0.02</v>
      </c>
      <c r="BI376" s="12">
        <v>0.03</v>
      </c>
      <c r="BJ376" s="12">
        <v>0.03</v>
      </c>
      <c r="CC376" s="3" t="str">
        <f>IF(B376&lt;&gt;"",CONCATENATE(SUBSTITUTE(B376," ","-"),".jpg"),"")</f>
        <v>Allied-Moulded-AM24200RTW.jpg</v>
      </c>
      <c r="CD376" s="16" t="s">
        <v>111</v>
      </c>
      <c r="CE376" s="3"/>
      <c r="CF376" s="3"/>
      <c r="CG376" s="3" t="s">
        <v>112</v>
      </c>
      <c r="CI376" s="3" t="s">
        <v>97</v>
      </c>
      <c r="CJ376" s="3" t="s">
        <v>113</v>
      </c>
      <c r="CK376" s="3" t="s">
        <v>114</v>
      </c>
      <c r="CL376" s="3" t="s">
        <v>115</v>
      </c>
      <c r="CM376" s="3" t="s">
        <v>116</v>
      </c>
      <c r="CN376" s="16" t="s">
        <v>132</v>
      </c>
      <c r="CO376" s="3" t="s">
        <v>118</v>
      </c>
      <c r="CP376" s="3" t="s">
        <v>119</v>
      </c>
      <c r="CQ376" s="3" t="s">
        <v>120</v>
      </c>
      <c r="CR376" s="16" t="s">
        <v>121</v>
      </c>
      <c r="CS376" s="16" t="s">
        <v>122</v>
      </c>
      <c r="CT376" s="16" t="s">
        <v>124</v>
      </c>
      <c r="CU376" s="16" t="s">
        <v>2145</v>
      </c>
      <c r="CV376" s="16" t="s">
        <v>125</v>
      </c>
    </row>
    <row r="377" spans="1:100" ht="15" customHeight="1">
      <c r="A377" s="3" t="s">
        <v>2481</v>
      </c>
      <c r="B377" s="3" t="s">
        <v>2482</v>
      </c>
      <c r="C377" s="16" t="s">
        <v>97</v>
      </c>
      <c r="D377" s="125" t="s">
        <v>2483</v>
      </c>
      <c r="E377" s="16" t="s">
        <v>97</v>
      </c>
      <c r="F377" s="131" t="s">
        <v>2484</v>
      </c>
      <c r="I377" s="100" t="s">
        <v>342</v>
      </c>
      <c r="J377" s="16" t="s">
        <v>101</v>
      </c>
      <c r="K377" s="16"/>
      <c r="L377" s="3" t="s">
        <v>102</v>
      </c>
      <c r="M377" s="3" t="s">
        <v>103</v>
      </c>
      <c r="N377" s="3" t="s">
        <v>104</v>
      </c>
      <c r="O377" s="16" t="s">
        <v>105</v>
      </c>
      <c r="P377" t="s">
        <v>2485</v>
      </c>
      <c r="Q377" t="s">
        <v>2485</v>
      </c>
      <c r="R377" t="s">
        <v>2485</v>
      </c>
      <c r="S377" s="3" t="s">
        <v>2481</v>
      </c>
      <c r="T377" s="131" t="s">
        <v>107</v>
      </c>
      <c r="U377" s="40">
        <v>24</v>
      </c>
      <c r="V377" s="40"/>
      <c r="W377" s="40"/>
      <c r="X377" s="59" t="s">
        <v>108</v>
      </c>
      <c r="Y377" s="93">
        <f>IF(AD377=0, 0, IF(OR(H377="", H377&lt;&gt;0), 1, 0))</f>
        <v>1</v>
      </c>
      <c r="Z377" s="3">
        <v>0</v>
      </c>
      <c r="AA377" s="3" t="s">
        <v>2486</v>
      </c>
      <c r="AD377" s="6">
        <f>ROUND((AG377*(1+AJ377)),2)</f>
        <v>628.48</v>
      </c>
      <c r="AE377" s="74">
        <v>716.21327299999984</v>
      </c>
      <c r="AF377" s="17">
        <f>(AE377*1)</f>
        <v>716.21327299999984</v>
      </c>
      <c r="AG377" s="6">
        <f>ROUND((AE377*AI377),2)</f>
        <v>465.54</v>
      </c>
      <c r="AH377" s="30" t="s">
        <v>110</v>
      </c>
      <c r="AI377" s="3">
        <v>0.65</v>
      </c>
      <c r="AJ377" s="18">
        <v>0.35</v>
      </c>
      <c r="AK377" s="6">
        <f>ROUND((AD377-(AD377*BG377)),2)</f>
        <v>622.20000000000005</v>
      </c>
      <c r="AL377" s="6">
        <f>ROUND((AD377-(AD377*BH377)),2)</f>
        <v>615.91</v>
      </c>
      <c r="AM377" s="6">
        <f>ROUND((AD377-(AD377*BI377)),2)</f>
        <v>609.63</v>
      </c>
      <c r="AN377" s="6">
        <f>ROUND((AD377-(AD377*BJ377)),2)</f>
        <v>609.63</v>
      </c>
      <c r="AO377" s="6">
        <f>ROUND((AD377-(AD377*BK377)),2)</f>
        <v>628.48</v>
      </c>
      <c r="BG377" s="12">
        <v>0.01</v>
      </c>
      <c r="BH377" s="12">
        <v>0.02</v>
      </c>
      <c r="BI377" s="12">
        <v>0.03</v>
      </c>
      <c r="BJ377" s="12">
        <v>0.03</v>
      </c>
      <c r="CC377" s="3" t="str">
        <f>IF(B377&lt;&gt;"",CONCATENATE(SUBSTITUTE(B377," ","-"),".jpg"),"")</f>
        <v>Allied-Moulded-AM24208RL.jpg</v>
      </c>
      <c r="CD377" s="16" t="s">
        <v>111</v>
      </c>
      <c r="CE377" s="3"/>
      <c r="CF377" s="3"/>
      <c r="CG377" s="3" t="s">
        <v>112</v>
      </c>
      <c r="CI377" s="3" t="s">
        <v>97</v>
      </c>
      <c r="CJ377" s="3" t="s">
        <v>113</v>
      </c>
      <c r="CK377" s="3" t="s">
        <v>114</v>
      </c>
      <c r="CL377" s="3" t="s">
        <v>115</v>
      </c>
      <c r="CM377" s="3" t="s">
        <v>116</v>
      </c>
      <c r="CN377" t="s">
        <v>117</v>
      </c>
      <c r="CO377" s="3" t="s">
        <v>118</v>
      </c>
      <c r="CP377" s="3" t="s">
        <v>139</v>
      </c>
      <c r="CQ377" s="3" t="s">
        <v>120</v>
      </c>
      <c r="CR377" s="3" t="s">
        <v>140</v>
      </c>
      <c r="CS377" s="16" t="s">
        <v>122</v>
      </c>
      <c r="CT377" s="3" t="s">
        <v>124</v>
      </c>
      <c r="CU377" s="16" t="s">
        <v>2145</v>
      </c>
      <c r="CV377" s="3" t="s">
        <v>167</v>
      </c>
    </row>
    <row r="378" spans="1:100" ht="15" customHeight="1">
      <c r="A378" s="3" t="s">
        <v>2487</v>
      </c>
      <c r="B378" s="3" t="s">
        <v>2488</v>
      </c>
      <c r="C378" s="16" t="s">
        <v>97</v>
      </c>
      <c r="D378" s="110" t="s">
        <v>2489</v>
      </c>
      <c r="E378" s="16" t="s">
        <v>97</v>
      </c>
      <c r="F378" s="131" t="s">
        <v>2490</v>
      </c>
      <c r="I378" s="100" t="s">
        <v>342</v>
      </c>
      <c r="J378" s="16" t="s">
        <v>101</v>
      </c>
      <c r="K378" s="16"/>
      <c r="L378" s="3" t="s">
        <v>102</v>
      </c>
      <c r="M378" s="3" t="s">
        <v>103</v>
      </c>
      <c r="N378" s="3" t="s">
        <v>104</v>
      </c>
      <c r="O378" s="16" t="s">
        <v>105</v>
      </c>
      <c r="P378" t="s">
        <v>2491</v>
      </c>
      <c r="Q378" t="s">
        <v>2491</v>
      </c>
      <c r="R378" t="s">
        <v>2491</v>
      </c>
      <c r="S378" s="3" t="s">
        <v>2487</v>
      </c>
      <c r="T378" s="131" t="s">
        <v>107</v>
      </c>
      <c r="U378" s="36">
        <v>24</v>
      </c>
      <c r="V378" s="39"/>
      <c r="W378" s="39"/>
      <c r="X378" s="59" t="s">
        <v>108</v>
      </c>
      <c r="Y378" s="93">
        <f>IF(AD378=0, 0, IF(OR(H378="", H378&lt;&gt;0), 1, 0))</f>
        <v>1</v>
      </c>
      <c r="Z378" s="3">
        <v>0</v>
      </c>
      <c r="AA378" s="3" t="s">
        <v>2492</v>
      </c>
      <c r="AD378" s="6">
        <f>ROUND((AG378*(1+AJ378)),2)</f>
        <v>628.48</v>
      </c>
      <c r="AE378" s="68">
        <v>716.21327299999984</v>
      </c>
      <c r="AF378" s="17">
        <f>(AE378*1)</f>
        <v>716.21327299999984</v>
      </c>
      <c r="AG378" s="6">
        <f>ROUND((AE378*AI378),2)</f>
        <v>465.54</v>
      </c>
      <c r="AH378" s="30" t="s">
        <v>110</v>
      </c>
      <c r="AI378" s="3">
        <v>0.65</v>
      </c>
      <c r="AJ378" s="18">
        <v>0.35</v>
      </c>
      <c r="AK378" s="6">
        <f>ROUND((AD378-(AD378*BG378)),2)</f>
        <v>622.20000000000005</v>
      </c>
      <c r="AL378" s="6">
        <f>ROUND((AD378-(AD378*BH378)),2)</f>
        <v>615.91</v>
      </c>
      <c r="AM378" s="6">
        <f>ROUND((AD378-(AD378*BI378)),2)</f>
        <v>609.63</v>
      </c>
      <c r="AN378" s="6">
        <f>ROUND((AD378-(AD378*BJ378)),2)</f>
        <v>609.63</v>
      </c>
      <c r="AO378" s="6">
        <f>ROUND((AD378-(AD378*BK378)),2)</f>
        <v>628.48</v>
      </c>
      <c r="BG378" s="12">
        <v>0.01</v>
      </c>
      <c r="BH378" s="12">
        <v>0.02</v>
      </c>
      <c r="BI378" s="12">
        <v>0.03</v>
      </c>
      <c r="BJ378" s="12">
        <v>0.03</v>
      </c>
      <c r="CC378" s="3" t="str">
        <f>IF(B378&lt;&gt;"",CONCATENATE(SUBSTITUTE(B378," ","-"),".jpg"),"")</f>
        <v>Allied-Moulded-AM24208RT.jpg</v>
      </c>
      <c r="CD378" s="16" t="s">
        <v>111</v>
      </c>
      <c r="CE378" s="3"/>
      <c r="CF378" s="3"/>
      <c r="CG378" s="3" t="s">
        <v>112</v>
      </c>
      <c r="CI378" s="3" t="s">
        <v>97</v>
      </c>
      <c r="CJ378" s="3" t="s">
        <v>113</v>
      </c>
      <c r="CK378" s="3" t="s">
        <v>114</v>
      </c>
      <c r="CL378" s="3" t="s">
        <v>115</v>
      </c>
      <c r="CM378" s="3" t="s">
        <v>116</v>
      </c>
      <c r="CN378" t="s">
        <v>132</v>
      </c>
      <c r="CO378" s="3" t="s">
        <v>118</v>
      </c>
      <c r="CP378" s="3" t="s">
        <v>139</v>
      </c>
      <c r="CQ378" s="3" t="s">
        <v>120</v>
      </c>
      <c r="CR378" s="3" t="s">
        <v>140</v>
      </c>
      <c r="CS378" s="16" t="s">
        <v>122</v>
      </c>
      <c r="CT378" s="3" t="s">
        <v>124</v>
      </c>
      <c r="CU378" s="16" t="s">
        <v>2145</v>
      </c>
      <c r="CV378" s="3" t="s">
        <v>167</v>
      </c>
    </row>
    <row r="379" spans="1:100" ht="15" customHeight="1">
      <c r="A379" s="3" t="s">
        <v>2493</v>
      </c>
      <c r="B379" s="3" t="s">
        <v>2494</v>
      </c>
      <c r="C379" s="16" t="s">
        <v>97</v>
      </c>
      <c r="D379" s="125" t="s">
        <v>2495</v>
      </c>
      <c r="E379" s="16" t="s">
        <v>97</v>
      </c>
      <c r="F379" s="131" t="s">
        <v>2496</v>
      </c>
      <c r="I379" s="100" t="s">
        <v>342</v>
      </c>
      <c r="J379" s="16" t="s">
        <v>101</v>
      </c>
      <c r="K379" s="16"/>
      <c r="L379" s="3" t="s">
        <v>102</v>
      </c>
      <c r="M379" s="3" t="s">
        <v>103</v>
      </c>
      <c r="N379" s="3" t="s">
        <v>104</v>
      </c>
      <c r="O379" s="16" t="s">
        <v>105</v>
      </c>
      <c r="P379" t="s">
        <v>2497</v>
      </c>
      <c r="Q379" t="s">
        <v>2497</v>
      </c>
      <c r="R379" t="s">
        <v>2497</v>
      </c>
      <c r="S379" s="3" t="s">
        <v>2493</v>
      </c>
      <c r="T379" s="131" t="s">
        <v>107</v>
      </c>
      <c r="U379" s="35">
        <v>24</v>
      </c>
      <c r="V379" s="40"/>
      <c r="W379" s="40"/>
      <c r="X379" s="59" t="s">
        <v>108</v>
      </c>
      <c r="Y379" s="93">
        <f>IF(AD379=0, 0, IF(OR(H379="", H379&lt;&gt;0), 1, 0))</f>
        <v>1</v>
      </c>
      <c r="Z379" s="3">
        <v>0</v>
      </c>
      <c r="AA379" s="3" t="s">
        <v>2498</v>
      </c>
      <c r="AD379" s="6">
        <f>ROUND((AG379*(1+AJ379)),2)</f>
        <v>798.47</v>
      </c>
      <c r="AE379" s="69">
        <v>909.93292900000006</v>
      </c>
      <c r="AF379" s="17">
        <f>(AE379*1)</f>
        <v>909.93292900000006</v>
      </c>
      <c r="AG379" s="6">
        <f>ROUND((AE379*AI379),2)</f>
        <v>591.46</v>
      </c>
      <c r="AH379" s="30" t="s">
        <v>110</v>
      </c>
      <c r="AI379" s="3">
        <v>0.65</v>
      </c>
      <c r="AJ379" s="18">
        <v>0.35</v>
      </c>
      <c r="AK379" s="6">
        <f>ROUND((AD379-(AD379*BG379)),2)</f>
        <v>790.49</v>
      </c>
      <c r="AL379" s="6">
        <f>ROUND((AD379-(AD379*BH379)),2)</f>
        <v>782.5</v>
      </c>
      <c r="AM379" s="6">
        <f>ROUND((AD379-(AD379*BI379)),2)</f>
        <v>774.52</v>
      </c>
      <c r="AN379" s="6">
        <f>ROUND((AD379-(AD379*BJ379)),2)</f>
        <v>774.52</v>
      </c>
      <c r="AO379" s="6">
        <f>ROUND((AD379-(AD379*BK379)),2)</f>
        <v>798.47</v>
      </c>
      <c r="BG379" s="12">
        <v>0.01</v>
      </c>
      <c r="BH379" s="12">
        <v>0.02</v>
      </c>
      <c r="BI379" s="12">
        <v>0.03</v>
      </c>
      <c r="BJ379" s="12">
        <v>0.03</v>
      </c>
      <c r="CC379" s="3" t="str">
        <f>IF(B379&lt;&gt;"",CONCATENATE(SUBSTITUTE(B379," ","-"),".jpg"),"")</f>
        <v>Allied-Moulded-AM24208R3PT.jpg</v>
      </c>
      <c r="CD379" s="16" t="s">
        <v>111</v>
      </c>
      <c r="CE379" s="3"/>
      <c r="CF379" s="3"/>
      <c r="CG379" s="3" t="s">
        <v>112</v>
      </c>
      <c r="CI379" s="3" t="s">
        <v>97</v>
      </c>
      <c r="CJ379" s="3" t="s">
        <v>113</v>
      </c>
      <c r="CK379" s="3" t="s">
        <v>114</v>
      </c>
      <c r="CL379" s="3" t="s">
        <v>115</v>
      </c>
      <c r="CM379" s="3" t="s">
        <v>116</v>
      </c>
      <c r="CN379" t="s">
        <v>153</v>
      </c>
      <c r="CO379" s="3" t="s">
        <v>118</v>
      </c>
      <c r="CP379" s="3" t="s">
        <v>139</v>
      </c>
      <c r="CQ379" s="3" t="s">
        <v>120</v>
      </c>
      <c r="CR379" s="3" t="s">
        <v>140</v>
      </c>
      <c r="CS379" s="16" t="s">
        <v>122</v>
      </c>
      <c r="CT379" s="3" t="s">
        <v>124</v>
      </c>
      <c r="CU379" s="16" t="s">
        <v>2145</v>
      </c>
      <c r="CV379" s="3" t="s">
        <v>167</v>
      </c>
    </row>
    <row r="380" spans="1:100" ht="15" customHeight="1">
      <c r="A380" s="3" t="s">
        <v>2499</v>
      </c>
      <c r="B380" s="3" t="s">
        <v>2500</v>
      </c>
      <c r="C380" s="16" t="s">
        <v>97</v>
      </c>
      <c r="D380" s="125" t="s">
        <v>2501</v>
      </c>
      <c r="E380" s="16" t="s">
        <v>97</v>
      </c>
      <c r="F380" s="131" t="s">
        <v>2502</v>
      </c>
      <c r="I380" s="100" t="s">
        <v>342</v>
      </c>
      <c r="J380" s="16" t="s">
        <v>101</v>
      </c>
      <c r="K380" s="16"/>
      <c r="L380" s="3" t="s">
        <v>102</v>
      </c>
      <c r="M380" s="3" t="s">
        <v>103</v>
      </c>
      <c r="N380" s="3" t="s">
        <v>104</v>
      </c>
      <c r="O380" s="16" t="s">
        <v>105</v>
      </c>
      <c r="P380" t="s">
        <v>2503</v>
      </c>
      <c r="Q380" t="s">
        <v>2503</v>
      </c>
      <c r="R380" t="s">
        <v>2503</v>
      </c>
      <c r="S380" s="3" t="s">
        <v>2499</v>
      </c>
      <c r="T380" s="131" t="s">
        <v>107</v>
      </c>
      <c r="U380" s="35">
        <v>24</v>
      </c>
      <c r="V380" s="40"/>
      <c r="W380" s="40"/>
      <c r="X380" s="59" t="s">
        <v>108</v>
      </c>
      <c r="Y380" s="93">
        <f>IF(AD380=0, 0, IF(OR(H380="", H380&lt;&gt;0), 1, 0))</f>
        <v>1</v>
      </c>
      <c r="Z380" s="3">
        <v>0</v>
      </c>
      <c r="AA380" s="3" t="s">
        <v>2504</v>
      </c>
      <c r="AD380" s="6">
        <f>ROUND((AG380*(1+AJ380)),2)</f>
        <v>704.16</v>
      </c>
      <c r="AE380" s="69">
        <v>802.45762000000002</v>
      </c>
      <c r="AF380" s="17">
        <f>(AE380*1)</f>
        <v>802.45762000000002</v>
      </c>
      <c r="AG380" s="6">
        <f>ROUND((AE380*AI380),2)</f>
        <v>521.6</v>
      </c>
      <c r="AH380" s="30" t="s">
        <v>110</v>
      </c>
      <c r="AI380" s="3">
        <v>0.65</v>
      </c>
      <c r="AJ380" s="18">
        <v>0.35</v>
      </c>
      <c r="AK380" s="6">
        <f>ROUND((AD380-(AD380*BG380)),2)</f>
        <v>697.12</v>
      </c>
      <c r="AL380" s="6">
        <f>ROUND((AD380-(AD380*BH380)),2)</f>
        <v>690.08</v>
      </c>
      <c r="AM380" s="6">
        <f>ROUND((AD380-(AD380*BI380)),2)</f>
        <v>683.04</v>
      </c>
      <c r="AN380" s="6">
        <f>ROUND((AD380-(AD380*BJ380)),2)</f>
        <v>683.04</v>
      </c>
      <c r="AO380" s="6">
        <f>ROUND((AD380-(AD380*BK380)),2)</f>
        <v>704.16</v>
      </c>
      <c r="BG380" s="12">
        <v>0.01</v>
      </c>
      <c r="BH380" s="12">
        <v>0.02</v>
      </c>
      <c r="BI380" s="12">
        <v>0.03</v>
      </c>
      <c r="BJ380" s="12">
        <v>0.03</v>
      </c>
      <c r="CC380" s="3" t="str">
        <f>IF(B380&lt;&gt;"",CONCATENATE(SUBSTITUTE(B380," ","-"),".jpg"),"")</f>
        <v>Allied-Moulded-AM24208RQT.jpg</v>
      </c>
      <c r="CD380" s="16" t="s">
        <v>111</v>
      </c>
      <c r="CE380" s="3"/>
      <c r="CF380" s="3"/>
      <c r="CG380" s="3" t="s">
        <v>112</v>
      </c>
      <c r="CI380" s="3" t="s">
        <v>97</v>
      </c>
      <c r="CJ380" s="3" t="s">
        <v>113</v>
      </c>
      <c r="CK380" s="3" t="s">
        <v>114</v>
      </c>
      <c r="CL380" s="3" t="s">
        <v>115</v>
      </c>
      <c r="CM380" s="3" t="s">
        <v>116</v>
      </c>
      <c r="CN380" t="s">
        <v>160</v>
      </c>
      <c r="CO380" s="3" t="s">
        <v>118</v>
      </c>
      <c r="CP380" s="3" t="s">
        <v>139</v>
      </c>
      <c r="CQ380" s="3" t="s">
        <v>120</v>
      </c>
      <c r="CR380" s="3" t="s">
        <v>140</v>
      </c>
      <c r="CS380" s="16" t="s">
        <v>122</v>
      </c>
      <c r="CT380" s="3" t="s">
        <v>124</v>
      </c>
      <c r="CU380" s="16" t="s">
        <v>2145</v>
      </c>
      <c r="CV380" s="3" t="s">
        <v>167</v>
      </c>
    </row>
    <row r="381" spans="1:100" ht="15" customHeight="1">
      <c r="A381" t="s">
        <v>2505</v>
      </c>
      <c r="B381" s="3" t="s">
        <v>2506</v>
      </c>
      <c r="C381" s="16" t="s">
        <v>97</v>
      </c>
      <c r="D381" s="39" t="s">
        <v>2507</v>
      </c>
      <c r="E381" s="16" t="s">
        <v>97</v>
      </c>
      <c r="F381" s="131" t="s">
        <v>2508</v>
      </c>
      <c r="I381" s="100" t="s">
        <v>342</v>
      </c>
      <c r="J381" s="16" t="s">
        <v>101</v>
      </c>
      <c r="K381" s="16"/>
      <c r="L381" s="3" t="s">
        <v>102</v>
      </c>
      <c r="M381" s="3" t="s">
        <v>103</v>
      </c>
      <c r="N381" s="3" t="s">
        <v>104</v>
      </c>
      <c r="O381" s="16" t="s">
        <v>105</v>
      </c>
      <c r="P381" s="3" t="s">
        <v>2509</v>
      </c>
      <c r="Q381" s="3" t="s">
        <v>2509</v>
      </c>
      <c r="R381" s="3" t="s">
        <v>2509</v>
      </c>
      <c r="S381" t="s">
        <v>2505</v>
      </c>
      <c r="T381" s="130" t="s">
        <v>107</v>
      </c>
      <c r="U381" s="34">
        <v>29</v>
      </c>
      <c r="V381" s="39"/>
      <c r="W381" s="39"/>
      <c r="X381" s="59" t="s">
        <v>108</v>
      </c>
      <c r="Y381" s="93">
        <f>IF(AD381=0, 0, IF(OR(H381="", H381&lt;&gt;0), 1, 0))</f>
        <v>1</v>
      </c>
      <c r="Z381" s="3">
        <v>0</v>
      </c>
      <c r="AA381" s="3" t="s">
        <v>2510</v>
      </c>
      <c r="AD381" s="6">
        <f>ROUND((AG381*(1+AJ381)),2)</f>
        <v>889.34</v>
      </c>
      <c r="AE381" s="69">
        <v>1013.4965189999999</v>
      </c>
      <c r="AF381" s="17">
        <f>(AE381*1)</f>
        <v>1013.4965189999999</v>
      </c>
      <c r="AG381" s="6">
        <f>ROUND((AE381*AI381),2)</f>
        <v>658.77</v>
      </c>
      <c r="AH381" s="30" t="s">
        <v>110</v>
      </c>
      <c r="AI381" s="3">
        <v>0.65</v>
      </c>
      <c r="AJ381" s="18">
        <v>0.35</v>
      </c>
      <c r="AK381" s="6">
        <f>ROUND((AD381-(AD381*BG381)),2)</f>
        <v>880.45</v>
      </c>
      <c r="AL381" s="6">
        <f>ROUND((AD381-(AD381*BH381)),2)</f>
        <v>871.55</v>
      </c>
      <c r="AM381" s="6">
        <f>ROUND((AD381-(AD381*BI381)),2)</f>
        <v>862.66</v>
      </c>
      <c r="AN381" s="6">
        <f>ROUND((AD381-(AD381*BJ381)),2)</f>
        <v>862.66</v>
      </c>
      <c r="AO381" s="6">
        <f>ROUND((AD381-(AD381*BK381)),2)</f>
        <v>889.34</v>
      </c>
      <c r="BG381" s="12">
        <v>0.01</v>
      </c>
      <c r="BH381" s="12">
        <v>0.02</v>
      </c>
      <c r="BI381" s="12">
        <v>0.03</v>
      </c>
      <c r="BJ381" s="12">
        <v>0.03</v>
      </c>
      <c r="CC381" s="3" t="str">
        <f>IF(B381&lt;&gt;"",CONCATENATE(SUBSTITUTE(B381," ","-"),".jpg"),"")</f>
        <v>Allied-Moulded-AM24240RLW.jpg</v>
      </c>
      <c r="CD381" s="16" t="s">
        <v>111</v>
      </c>
      <c r="CE381" s="3"/>
      <c r="CF381" s="3"/>
      <c r="CG381" s="3" t="s">
        <v>112</v>
      </c>
      <c r="CI381" s="3" t="s">
        <v>97</v>
      </c>
      <c r="CJ381" s="3" t="s">
        <v>113</v>
      </c>
      <c r="CK381" s="3" t="s">
        <v>114</v>
      </c>
      <c r="CL381" s="3" t="s">
        <v>115</v>
      </c>
      <c r="CM381" s="3" t="s">
        <v>116</v>
      </c>
      <c r="CN381" t="s">
        <v>117</v>
      </c>
      <c r="CO381" s="3" t="s">
        <v>118</v>
      </c>
      <c r="CP381" s="3" t="s">
        <v>119</v>
      </c>
      <c r="CQ381" s="3" t="s">
        <v>120</v>
      </c>
      <c r="CR381" s="16" t="s">
        <v>121</v>
      </c>
      <c r="CS381" s="16" t="s">
        <v>122</v>
      </c>
      <c r="CT381" s="16" t="s">
        <v>124</v>
      </c>
      <c r="CU381" s="16" t="s">
        <v>124</v>
      </c>
      <c r="CV381" s="16" t="s">
        <v>125</v>
      </c>
    </row>
    <row r="382" spans="1:100" ht="15" customHeight="1">
      <c r="A382" t="s">
        <v>2511</v>
      </c>
      <c r="B382" s="3" t="s">
        <v>2512</v>
      </c>
      <c r="C382" s="16" t="s">
        <v>97</v>
      </c>
      <c r="D382" s="40" t="s">
        <v>2513</v>
      </c>
      <c r="E382" s="16" t="s">
        <v>97</v>
      </c>
      <c r="F382" s="131" t="s">
        <v>2514</v>
      </c>
      <c r="I382" s="100" t="s">
        <v>342</v>
      </c>
      <c r="J382" s="16" t="s">
        <v>101</v>
      </c>
      <c r="K382" s="16"/>
      <c r="L382" s="3" t="s">
        <v>102</v>
      </c>
      <c r="M382" s="3" t="s">
        <v>103</v>
      </c>
      <c r="N382" s="3" t="s">
        <v>104</v>
      </c>
      <c r="O382" s="16" t="s">
        <v>105</v>
      </c>
      <c r="P382" s="3" t="s">
        <v>2515</v>
      </c>
      <c r="Q382" s="3" t="s">
        <v>2515</v>
      </c>
      <c r="R382" s="3" t="s">
        <v>2515</v>
      </c>
      <c r="S382" t="s">
        <v>2511</v>
      </c>
      <c r="T382" s="130" t="s">
        <v>107</v>
      </c>
      <c r="U382" s="35">
        <v>29</v>
      </c>
      <c r="V382" s="40"/>
      <c r="W382" s="40"/>
      <c r="X382" s="59" t="s">
        <v>108</v>
      </c>
      <c r="Y382" s="93">
        <f>IF(AD382=0, 0, IF(OR(H382="", H382&lt;&gt;0), 1, 0))</f>
        <v>1</v>
      </c>
      <c r="Z382" s="3">
        <v>0</v>
      </c>
      <c r="AA382" s="3" t="s">
        <v>2516</v>
      </c>
      <c r="AD382" s="6">
        <f>ROUND((AG382*(1+AJ382)),2)</f>
        <v>889.34</v>
      </c>
      <c r="AE382" s="69">
        <v>1013.4965189999999</v>
      </c>
      <c r="AF382" s="17">
        <f>(AE382*1)</f>
        <v>1013.4965189999999</v>
      </c>
      <c r="AG382" s="6">
        <f>ROUND((AE382*AI382),2)</f>
        <v>658.77</v>
      </c>
      <c r="AH382" s="30" t="s">
        <v>110</v>
      </c>
      <c r="AI382" s="3">
        <v>0.65</v>
      </c>
      <c r="AJ382" s="18">
        <v>0.35</v>
      </c>
      <c r="AK382" s="6">
        <f>ROUND((AD382-(AD382*BG382)),2)</f>
        <v>880.45</v>
      </c>
      <c r="AL382" s="6">
        <f>ROUND((AD382-(AD382*BH382)),2)</f>
        <v>871.55</v>
      </c>
      <c r="AM382" s="6">
        <f>ROUND((AD382-(AD382*BI382)),2)</f>
        <v>862.66</v>
      </c>
      <c r="AN382" s="6">
        <f>ROUND((AD382-(AD382*BJ382)),2)</f>
        <v>862.66</v>
      </c>
      <c r="AO382" s="6">
        <f>ROUND((AD382-(AD382*BK382)),2)</f>
        <v>889.34</v>
      </c>
      <c r="BG382" s="12">
        <v>0.01</v>
      </c>
      <c r="BH382" s="12">
        <v>0.02</v>
      </c>
      <c r="BI382" s="12">
        <v>0.03</v>
      </c>
      <c r="BJ382" s="12">
        <v>0.03</v>
      </c>
      <c r="CC382" s="3" t="str">
        <f>IF(B382&lt;&gt;"",CONCATENATE(SUBSTITUTE(B382," ","-"),".jpg"),"")</f>
        <v>Allied-Moulded-AM24240RTW.jpg</v>
      </c>
      <c r="CD382" s="16" t="s">
        <v>111</v>
      </c>
      <c r="CE382" s="3"/>
      <c r="CF382" s="3"/>
      <c r="CG382" s="3" t="s">
        <v>112</v>
      </c>
      <c r="CI382" s="3" t="s">
        <v>97</v>
      </c>
      <c r="CJ382" s="3" t="s">
        <v>113</v>
      </c>
      <c r="CK382" s="3" t="s">
        <v>114</v>
      </c>
      <c r="CL382" s="3" t="s">
        <v>115</v>
      </c>
      <c r="CM382" s="3" t="s">
        <v>116</v>
      </c>
      <c r="CN382" s="16" t="s">
        <v>132</v>
      </c>
      <c r="CO382" s="3" t="s">
        <v>118</v>
      </c>
      <c r="CP382" s="3" t="s">
        <v>119</v>
      </c>
      <c r="CQ382" s="3" t="s">
        <v>120</v>
      </c>
      <c r="CR382" s="16" t="s">
        <v>121</v>
      </c>
      <c r="CS382" s="16" t="s">
        <v>122</v>
      </c>
      <c r="CT382" s="16" t="s">
        <v>124</v>
      </c>
      <c r="CU382" s="16" t="s">
        <v>124</v>
      </c>
      <c r="CV382" s="16" t="s">
        <v>125</v>
      </c>
    </row>
    <row r="383" spans="1:100" ht="15" customHeight="1">
      <c r="A383" s="3" t="s">
        <v>2517</v>
      </c>
      <c r="B383" s="3" t="s">
        <v>2518</v>
      </c>
      <c r="C383" s="16" t="s">
        <v>97</v>
      </c>
      <c r="D383" s="125" t="s">
        <v>2519</v>
      </c>
      <c r="E383" s="16" t="s">
        <v>97</v>
      </c>
      <c r="F383" s="131" t="s">
        <v>2520</v>
      </c>
      <c r="I383" s="100" t="s">
        <v>342</v>
      </c>
      <c r="J383" s="16" t="s">
        <v>101</v>
      </c>
      <c r="K383" s="16"/>
      <c r="L383" s="3" t="s">
        <v>102</v>
      </c>
      <c r="M383" s="3" t="s">
        <v>103</v>
      </c>
      <c r="N383" s="3" t="s">
        <v>104</v>
      </c>
      <c r="O383" s="16" t="s">
        <v>105</v>
      </c>
      <c r="P383" t="s">
        <v>2521</v>
      </c>
      <c r="Q383" t="s">
        <v>2521</v>
      </c>
      <c r="R383" t="s">
        <v>2521</v>
      </c>
      <c r="S383" s="3" t="s">
        <v>2517</v>
      </c>
      <c r="T383" s="131" t="s">
        <v>107</v>
      </c>
      <c r="U383" s="34">
        <v>28</v>
      </c>
      <c r="V383" s="39"/>
      <c r="W383" s="39"/>
      <c r="X383" s="59" t="s">
        <v>108</v>
      </c>
      <c r="Y383" s="93">
        <f>IF(AD383=0, 0, IF(OR(H383="", H383&lt;&gt;0), 1, 0))</f>
        <v>1</v>
      </c>
      <c r="Z383" s="3">
        <v>0</v>
      </c>
      <c r="AA383" s="3" t="s">
        <v>2522</v>
      </c>
      <c r="AD383" s="6">
        <f>ROUND((AG383*(1+AJ383)),2)</f>
        <v>686.35</v>
      </c>
      <c r="AE383" s="69">
        <v>782.16195200000004</v>
      </c>
      <c r="AF383" s="17">
        <f>(AE383*1)</f>
        <v>782.16195200000004</v>
      </c>
      <c r="AG383" s="6">
        <f>ROUND((AE383*AI383),2)</f>
        <v>508.41</v>
      </c>
      <c r="AH383" s="30" t="s">
        <v>110</v>
      </c>
      <c r="AI383" s="3">
        <v>0.65</v>
      </c>
      <c r="AJ383" s="18">
        <v>0.35</v>
      </c>
      <c r="AK383" s="6">
        <f>ROUND((AD383-(AD383*BG383)),2)</f>
        <v>679.49</v>
      </c>
      <c r="AL383" s="6">
        <f>ROUND((AD383-(AD383*BH383)),2)</f>
        <v>672.62</v>
      </c>
      <c r="AM383" s="6">
        <f>ROUND((AD383-(AD383*BI383)),2)</f>
        <v>665.76</v>
      </c>
      <c r="AN383" s="6">
        <f>ROUND((AD383-(AD383*BJ383)),2)</f>
        <v>665.76</v>
      </c>
      <c r="AO383" s="6">
        <f>ROUND((AD383-(AD383*BK383)),2)</f>
        <v>686.35</v>
      </c>
      <c r="BG383" s="12">
        <v>0.01</v>
      </c>
      <c r="BH383" s="12">
        <v>0.02</v>
      </c>
      <c r="BI383" s="12">
        <v>0.03</v>
      </c>
      <c r="BJ383" s="12">
        <v>0.03</v>
      </c>
      <c r="CC383" s="3" t="str">
        <f>IF(B383&lt;&gt;"",CONCATENATE(SUBSTITUTE(B383," ","-"),".jpg"),"")</f>
        <v>Allied-Moulded-AM24240RL.jpg</v>
      </c>
      <c r="CD383" s="16" t="s">
        <v>111</v>
      </c>
      <c r="CE383" s="3"/>
      <c r="CF383" s="3"/>
      <c r="CG383" s="3" t="s">
        <v>112</v>
      </c>
      <c r="CI383" s="3" t="s">
        <v>97</v>
      </c>
      <c r="CJ383" s="3" t="s">
        <v>113</v>
      </c>
      <c r="CK383" s="3" t="s">
        <v>114</v>
      </c>
      <c r="CL383" s="3" t="s">
        <v>115</v>
      </c>
      <c r="CM383" s="3" t="s">
        <v>116</v>
      </c>
      <c r="CN383" t="s">
        <v>117</v>
      </c>
      <c r="CO383" s="3" t="s">
        <v>118</v>
      </c>
      <c r="CP383" s="3" t="s">
        <v>139</v>
      </c>
      <c r="CQ383" s="3" t="s">
        <v>120</v>
      </c>
      <c r="CR383" s="3" t="s">
        <v>140</v>
      </c>
      <c r="CS383" s="16" t="s">
        <v>122</v>
      </c>
      <c r="CT383" s="3" t="s">
        <v>124</v>
      </c>
      <c r="CU383" s="3" t="s">
        <v>124</v>
      </c>
      <c r="CV383" s="3" t="s">
        <v>125</v>
      </c>
    </row>
    <row r="384" spans="1:100" ht="15" customHeight="1">
      <c r="A384" s="3" t="s">
        <v>2523</v>
      </c>
      <c r="B384" s="3" t="s">
        <v>2524</v>
      </c>
      <c r="C384" s="16" t="s">
        <v>97</v>
      </c>
      <c r="D384" s="125" t="s">
        <v>2525</v>
      </c>
      <c r="E384" s="16" t="s">
        <v>97</v>
      </c>
      <c r="F384" s="131" t="s">
        <v>2526</v>
      </c>
      <c r="I384" s="100" t="s">
        <v>342</v>
      </c>
      <c r="J384" s="16" t="s">
        <v>101</v>
      </c>
      <c r="K384" s="16"/>
      <c r="L384" s="3" t="s">
        <v>102</v>
      </c>
      <c r="M384" s="3" t="s">
        <v>103</v>
      </c>
      <c r="N384" s="3" t="s">
        <v>104</v>
      </c>
      <c r="O384" s="16" t="s">
        <v>105</v>
      </c>
      <c r="P384" t="s">
        <v>2527</v>
      </c>
      <c r="Q384" t="s">
        <v>2527</v>
      </c>
      <c r="R384" t="s">
        <v>2527</v>
      </c>
      <c r="S384" s="3" t="s">
        <v>2523</v>
      </c>
      <c r="T384" s="131" t="s">
        <v>107</v>
      </c>
      <c r="U384" s="35">
        <v>28</v>
      </c>
      <c r="V384" s="40"/>
      <c r="W384" s="40"/>
      <c r="X384" s="59" t="s">
        <v>108</v>
      </c>
      <c r="Y384" s="93">
        <f>IF(AD384=0, 0, IF(OR(H384="", H384&lt;&gt;0), 1, 0))</f>
        <v>1</v>
      </c>
      <c r="Z384" s="3">
        <v>0</v>
      </c>
      <c r="AA384" s="3" t="s">
        <v>2528</v>
      </c>
      <c r="AD384" s="6">
        <f>ROUND((AG384*(1+AJ384)),2)</f>
        <v>686.35</v>
      </c>
      <c r="AE384" s="69">
        <v>782.16195200000004</v>
      </c>
      <c r="AF384" s="17">
        <f>(AE384*1)</f>
        <v>782.16195200000004</v>
      </c>
      <c r="AG384" s="6">
        <f>ROUND((AE384*AI384),2)</f>
        <v>508.41</v>
      </c>
      <c r="AH384" s="30" t="s">
        <v>110</v>
      </c>
      <c r="AI384" s="3">
        <v>0.65</v>
      </c>
      <c r="AJ384" s="18">
        <v>0.35</v>
      </c>
      <c r="AK384" s="6">
        <f>ROUND((AD384-(AD384*BG384)),2)</f>
        <v>679.49</v>
      </c>
      <c r="AL384" s="6">
        <f>ROUND((AD384-(AD384*BH384)),2)</f>
        <v>672.62</v>
      </c>
      <c r="AM384" s="6">
        <f>ROUND((AD384-(AD384*BI384)),2)</f>
        <v>665.76</v>
      </c>
      <c r="AN384" s="6">
        <f>ROUND((AD384-(AD384*BJ384)),2)</f>
        <v>665.76</v>
      </c>
      <c r="AO384" s="6">
        <f>ROUND((AD384-(AD384*BK384)),2)</f>
        <v>686.35</v>
      </c>
      <c r="BG384" s="12">
        <v>0.01</v>
      </c>
      <c r="BH384" s="12">
        <v>0.02</v>
      </c>
      <c r="BI384" s="12">
        <v>0.03</v>
      </c>
      <c r="BJ384" s="12">
        <v>0.03</v>
      </c>
      <c r="CC384" s="3" t="str">
        <f>IF(B384&lt;&gt;"",CONCATENATE(SUBSTITUTE(B384," ","-"),".jpg"),"")</f>
        <v>Allied-Moulded-AM24240RT.jpg</v>
      </c>
      <c r="CD384" s="16" t="s">
        <v>111</v>
      </c>
      <c r="CE384" s="3"/>
      <c r="CF384" s="3"/>
      <c r="CG384" s="3" t="s">
        <v>112</v>
      </c>
      <c r="CI384" s="3" t="s">
        <v>97</v>
      </c>
      <c r="CJ384" s="3" t="s">
        <v>113</v>
      </c>
      <c r="CK384" s="3" t="s">
        <v>114</v>
      </c>
      <c r="CL384" s="3" t="s">
        <v>115</v>
      </c>
      <c r="CM384" s="3" t="s">
        <v>116</v>
      </c>
      <c r="CN384" t="s">
        <v>132</v>
      </c>
      <c r="CO384" s="3" t="s">
        <v>118</v>
      </c>
      <c r="CP384" s="3" t="s">
        <v>139</v>
      </c>
      <c r="CQ384" s="3" t="s">
        <v>120</v>
      </c>
      <c r="CR384" s="3" t="s">
        <v>140</v>
      </c>
      <c r="CS384" s="16" t="s">
        <v>122</v>
      </c>
      <c r="CT384" s="3" t="s">
        <v>124</v>
      </c>
      <c r="CU384" s="3" t="s">
        <v>124</v>
      </c>
      <c r="CV384" s="3" t="s">
        <v>125</v>
      </c>
    </row>
    <row r="385" spans="1:100" ht="15" customHeight="1">
      <c r="A385" s="3" t="s">
        <v>2529</v>
      </c>
      <c r="B385" s="3" t="s">
        <v>2530</v>
      </c>
      <c r="C385" s="16" t="s">
        <v>97</v>
      </c>
      <c r="D385" s="125" t="s">
        <v>2531</v>
      </c>
      <c r="E385" s="16" t="s">
        <v>97</v>
      </c>
      <c r="F385" s="131" t="s">
        <v>2532</v>
      </c>
      <c r="I385" s="100" t="s">
        <v>342</v>
      </c>
      <c r="J385" s="16" t="s">
        <v>101</v>
      </c>
      <c r="K385" s="16"/>
      <c r="L385" s="3" t="s">
        <v>102</v>
      </c>
      <c r="M385" s="3" t="s">
        <v>103</v>
      </c>
      <c r="N385" s="3" t="s">
        <v>104</v>
      </c>
      <c r="O385" s="16" t="s">
        <v>105</v>
      </c>
      <c r="P385" t="s">
        <v>2533</v>
      </c>
      <c r="Q385" t="s">
        <v>2533</v>
      </c>
      <c r="R385" t="s">
        <v>2533</v>
      </c>
      <c r="S385" s="3" t="s">
        <v>2529</v>
      </c>
      <c r="T385" s="131" t="s">
        <v>107</v>
      </c>
      <c r="U385" s="34">
        <v>28</v>
      </c>
      <c r="V385" s="39"/>
      <c r="W385" s="39"/>
      <c r="X385" s="59" t="s">
        <v>108</v>
      </c>
      <c r="Y385" s="93">
        <f>IF(AD385=0, 0, IF(OR(H385="", H385&lt;&gt;0), 1, 0))</f>
        <v>1</v>
      </c>
      <c r="Z385" s="3">
        <v>0</v>
      </c>
      <c r="AA385" s="3" t="s">
        <v>2534</v>
      </c>
      <c r="AD385" s="6">
        <f>ROUND((AG385*(1+AJ385)),2)</f>
        <v>856.32</v>
      </c>
      <c r="AE385" s="69">
        <v>975.86099700000011</v>
      </c>
      <c r="AF385" s="17">
        <f>(AE385*1)</f>
        <v>975.86099700000011</v>
      </c>
      <c r="AG385" s="6">
        <f>ROUND((AE385*AI385),2)</f>
        <v>634.30999999999995</v>
      </c>
      <c r="AH385" s="30" t="s">
        <v>110</v>
      </c>
      <c r="AI385" s="3">
        <v>0.65</v>
      </c>
      <c r="AJ385" s="18">
        <v>0.35</v>
      </c>
      <c r="AK385" s="6">
        <f>ROUND((AD385-(AD385*BG385)),2)</f>
        <v>847.76</v>
      </c>
      <c r="AL385" s="6">
        <f>ROUND((AD385-(AD385*BH385)),2)</f>
        <v>839.19</v>
      </c>
      <c r="AM385" s="6">
        <f>ROUND((AD385-(AD385*BI385)),2)</f>
        <v>830.63</v>
      </c>
      <c r="AN385" s="6">
        <f>ROUND((AD385-(AD385*BJ385)),2)</f>
        <v>830.63</v>
      </c>
      <c r="AO385" s="6">
        <f>ROUND((AD385-(AD385*BK385)),2)</f>
        <v>856.32</v>
      </c>
      <c r="BG385" s="12">
        <v>0.01</v>
      </c>
      <c r="BH385" s="12">
        <v>0.02</v>
      </c>
      <c r="BI385" s="12">
        <v>0.03</v>
      </c>
      <c r="BJ385" s="12">
        <v>0.03</v>
      </c>
      <c r="CC385" s="3" t="str">
        <f>IF(B385&lt;&gt;"",CONCATENATE(SUBSTITUTE(B385," ","-"),".jpg"),"")</f>
        <v>Allied-Moulded-AM24240R3PT.jpg</v>
      </c>
      <c r="CD385" s="16" t="s">
        <v>111</v>
      </c>
      <c r="CE385" s="3"/>
      <c r="CF385" s="3"/>
      <c r="CG385" s="3" t="s">
        <v>112</v>
      </c>
      <c r="CI385" s="3" t="s">
        <v>97</v>
      </c>
      <c r="CJ385" s="3" t="s">
        <v>113</v>
      </c>
      <c r="CK385" s="3" t="s">
        <v>114</v>
      </c>
      <c r="CL385" s="3" t="s">
        <v>115</v>
      </c>
      <c r="CM385" s="3" t="s">
        <v>116</v>
      </c>
      <c r="CN385" t="s">
        <v>153</v>
      </c>
      <c r="CO385" s="3" t="s">
        <v>118</v>
      </c>
      <c r="CP385" s="3" t="s">
        <v>139</v>
      </c>
      <c r="CQ385" s="3" t="s">
        <v>120</v>
      </c>
      <c r="CR385" s="3" t="s">
        <v>140</v>
      </c>
      <c r="CS385" s="16" t="s">
        <v>122</v>
      </c>
      <c r="CT385" s="3" t="s">
        <v>124</v>
      </c>
      <c r="CU385" s="3" t="s">
        <v>124</v>
      </c>
      <c r="CV385" s="3" t="s">
        <v>125</v>
      </c>
    </row>
    <row r="386" spans="1:100" ht="15" customHeight="1">
      <c r="A386" s="3" t="s">
        <v>2535</v>
      </c>
      <c r="B386" s="3" t="s">
        <v>2536</v>
      </c>
      <c r="C386" s="16" t="s">
        <v>97</v>
      </c>
      <c r="D386" s="125" t="s">
        <v>2537</v>
      </c>
      <c r="E386" s="16" t="s">
        <v>97</v>
      </c>
      <c r="F386" s="131" t="s">
        <v>2538</v>
      </c>
      <c r="I386" s="100" t="s">
        <v>342</v>
      </c>
      <c r="J386" s="16" t="s">
        <v>101</v>
      </c>
      <c r="K386" s="16"/>
      <c r="L386" s="3" t="s">
        <v>102</v>
      </c>
      <c r="M386" s="3" t="s">
        <v>103</v>
      </c>
      <c r="N386" s="3" t="s">
        <v>104</v>
      </c>
      <c r="O386" s="16" t="s">
        <v>105</v>
      </c>
      <c r="P386" t="s">
        <v>2539</v>
      </c>
      <c r="Q386" t="s">
        <v>2539</v>
      </c>
      <c r="R386" t="s">
        <v>2539</v>
      </c>
      <c r="S386" s="3" t="s">
        <v>2535</v>
      </c>
      <c r="T386" s="131" t="s">
        <v>107</v>
      </c>
      <c r="U386" s="34">
        <v>28</v>
      </c>
      <c r="V386" s="39"/>
      <c r="W386" s="39"/>
      <c r="X386" s="59" t="s">
        <v>108</v>
      </c>
      <c r="Y386" s="93">
        <f>IF(AD386=0, 0, IF(OR(H386="", H386&lt;&gt;0), 1, 0))</f>
        <v>1</v>
      </c>
      <c r="Z386" s="3">
        <v>0</v>
      </c>
      <c r="AA386" s="3" t="s">
        <v>2540</v>
      </c>
      <c r="AD386" s="6">
        <f>ROUND((AG386*(1+AJ386)),2)</f>
        <v>746.73</v>
      </c>
      <c r="AE386" s="69">
        <v>850.96160999999995</v>
      </c>
      <c r="AF386" s="17">
        <f>(AE386*1)</f>
        <v>850.96160999999995</v>
      </c>
      <c r="AG386" s="6">
        <f>ROUND((AE386*AI386),2)</f>
        <v>553.13</v>
      </c>
      <c r="AH386" s="30" t="s">
        <v>110</v>
      </c>
      <c r="AI386" s="3">
        <v>0.65</v>
      </c>
      <c r="AJ386" s="18">
        <v>0.35</v>
      </c>
      <c r="AK386" s="6">
        <f>ROUND((AD386-(AD386*BG386)),2)</f>
        <v>739.26</v>
      </c>
      <c r="AL386" s="6">
        <f>ROUND((AD386-(AD386*BH386)),2)</f>
        <v>731.8</v>
      </c>
      <c r="AM386" s="6">
        <f>ROUND((AD386-(AD386*BI386)),2)</f>
        <v>724.33</v>
      </c>
      <c r="AN386" s="6">
        <f>ROUND((AD386-(AD386*BJ386)),2)</f>
        <v>724.33</v>
      </c>
      <c r="AO386" s="6">
        <f>ROUND((AD386-(AD386*BK386)),2)</f>
        <v>746.73</v>
      </c>
      <c r="BG386" s="12">
        <v>0.01</v>
      </c>
      <c r="BH386" s="12">
        <v>0.02</v>
      </c>
      <c r="BI386" s="12">
        <v>0.03</v>
      </c>
      <c r="BJ386" s="12">
        <v>0.03</v>
      </c>
      <c r="CC386" s="3" t="str">
        <f>IF(B386&lt;&gt;"",CONCATENATE(SUBSTITUTE(B386," ","-"),".jpg"),"")</f>
        <v>Allied-Moulded-AM24240RQT.jpg</v>
      </c>
      <c r="CD386" s="16" t="s">
        <v>111</v>
      </c>
      <c r="CE386" s="3"/>
      <c r="CF386" s="3"/>
      <c r="CG386" s="3" t="s">
        <v>112</v>
      </c>
      <c r="CI386" s="3" t="s">
        <v>97</v>
      </c>
      <c r="CJ386" s="3" t="s">
        <v>113</v>
      </c>
      <c r="CK386" s="3" t="s">
        <v>114</v>
      </c>
      <c r="CL386" s="3" t="s">
        <v>115</v>
      </c>
      <c r="CM386" s="3" t="s">
        <v>116</v>
      </c>
      <c r="CN386" t="s">
        <v>160</v>
      </c>
      <c r="CO386" s="3" t="s">
        <v>118</v>
      </c>
      <c r="CP386" s="3" t="s">
        <v>139</v>
      </c>
      <c r="CQ386" s="3" t="s">
        <v>120</v>
      </c>
      <c r="CR386" s="3" t="s">
        <v>140</v>
      </c>
      <c r="CS386" s="16" t="s">
        <v>122</v>
      </c>
      <c r="CT386" s="3" t="s">
        <v>124</v>
      </c>
      <c r="CU386" s="3" t="s">
        <v>124</v>
      </c>
      <c r="CV386" s="3" t="s">
        <v>125</v>
      </c>
    </row>
    <row r="387" spans="1:100" ht="15" customHeight="1">
      <c r="A387" t="s">
        <v>2541</v>
      </c>
      <c r="B387" s="3" t="s">
        <v>2542</v>
      </c>
      <c r="C387" s="16" t="s">
        <v>97</v>
      </c>
      <c r="D387" s="39" t="s">
        <v>2543</v>
      </c>
      <c r="E387" s="16" t="s">
        <v>97</v>
      </c>
      <c r="F387" s="131" t="s">
        <v>2544</v>
      </c>
      <c r="I387" s="100" t="s">
        <v>342</v>
      </c>
      <c r="J387" s="16" t="s">
        <v>101</v>
      </c>
      <c r="K387" s="16"/>
      <c r="L387" s="3" t="s">
        <v>102</v>
      </c>
      <c r="M387" s="3" t="s">
        <v>103</v>
      </c>
      <c r="N387" s="3" t="s">
        <v>104</v>
      </c>
      <c r="O387" s="16" t="s">
        <v>105</v>
      </c>
      <c r="P387" s="3" t="s">
        <v>2545</v>
      </c>
      <c r="Q387" s="3" t="s">
        <v>2545</v>
      </c>
      <c r="R387" s="3" t="s">
        <v>2545</v>
      </c>
      <c r="S387" t="s">
        <v>2541</v>
      </c>
      <c r="T387" s="130" t="s">
        <v>107</v>
      </c>
      <c r="U387" s="34">
        <v>27</v>
      </c>
      <c r="V387" s="39"/>
      <c r="W387" s="39"/>
      <c r="X387" s="59" t="s">
        <v>108</v>
      </c>
      <c r="Y387" s="93">
        <f>IF(AD387=0, 0, IF(OR(H387="", H387&lt;&gt;0), 1, 0))</f>
        <v>1</v>
      </c>
      <c r="Z387" s="3">
        <v>0</v>
      </c>
      <c r="AA387" s="3" t="s">
        <v>2546</v>
      </c>
      <c r="AD387" s="6">
        <f>ROUND((AG387*(1+AJ387)),2)</f>
        <v>877.88</v>
      </c>
      <c r="AE387" s="69">
        <v>1000.426207</v>
      </c>
      <c r="AF387" s="17">
        <f>(AE387*1)</f>
        <v>1000.426207</v>
      </c>
      <c r="AG387" s="6">
        <f>ROUND((AE387*AI387),2)</f>
        <v>650.28</v>
      </c>
      <c r="AH387" s="30" t="s">
        <v>110</v>
      </c>
      <c r="AI387" s="3">
        <v>0.65</v>
      </c>
      <c r="AJ387" s="18">
        <v>0.35</v>
      </c>
      <c r="AK387" s="6">
        <f>ROUND((AD387-(AD387*BG387)),2)</f>
        <v>869.1</v>
      </c>
      <c r="AL387" s="6">
        <f>ROUND((AD387-(AD387*BH387)),2)</f>
        <v>860.32</v>
      </c>
      <c r="AM387" s="6">
        <f>ROUND((AD387-(AD387*BI387)),2)</f>
        <v>851.54</v>
      </c>
      <c r="AN387" s="6">
        <f>ROUND((AD387-(AD387*BJ387)),2)</f>
        <v>851.54</v>
      </c>
      <c r="AO387" s="6">
        <f>ROUND((AD387-(AD387*BK387)),2)</f>
        <v>877.88</v>
      </c>
      <c r="BG387" s="12">
        <v>0.01</v>
      </c>
      <c r="BH387" s="12">
        <v>0.02</v>
      </c>
      <c r="BI387" s="12">
        <v>0.03</v>
      </c>
      <c r="BJ387" s="12">
        <v>0.03</v>
      </c>
      <c r="CC387" s="3" t="str">
        <f>IF(B387&lt;&gt;"",CONCATENATE(SUBSTITUTE(B387," ","-"),".jpg"),"")</f>
        <v>Allied-Moulded-AM24248RTW.jpg</v>
      </c>
      <c r="CD387" s="16" t="s">
        <v>111</v>
      </c>
      <c r="CE387" s="3"/>
      <c r="CF387" s="3"/>
      <c r="CG387" s="3" t="s">
        <v>112</v>
      </c>
      <c r="CI387" s="3" t="s">
        <v>97</v>
      </c>
      <c r="CJ387" s="3" t="s">
        <v>113</v>
      </c>
      <c r="CK387" s="3" t="s">
        <v>114</v>
      </c>
      <c r="CL387" s="3" t="s">
        <v>115</v>
      </c>
      <c r="CM387" s="3" t="s">
        <v>116</v>
      </c>
      <c r="CN387" s="16" t="s">
        <v>132</v>
      </c>
      <c r="CO387" s="3" t="s">
        <v>118</v>
      </c>
      <c r="CP387" s="3" t="s">
        <v>119</v>
      </c>
      <c r="CQ387" s="3" t="s">
        <v>120</v>
      </c>
      <c r="CR387" s="16" t="s">
        <v>121</v>
      </c>
      <c r="CS387" s="16" t="s">
        <v>122</v>
      </c>
      <c r="CT387" s="16" t="s">
        <v>124</v>
      </c>
      <c r="CU387" s="16" t="s">
        <v>124</v>
      </c>
      <c r="CV387" s="3" t="s">
        <v>167</v>
      </c>
    </row>
    <row r="388" spans="1:100" ht="15" customHeight="1">
      <c r="A388" s="3" t="s">
        <v>2547</v>
      </c>
      <c r="B388" s="3" t="s">
        <v>2548</v>
      </c>
      <c r="C388" s="16" t="s">
        <v>97</v>
      </c>
      <c r="D388" s="125" t="s">
        <v>2549</v>
      </c>
      <c r="E388" s="16" t="s">
        <v>97</v>
      </c>
      <c r="F388" s="131" t="s">
        <v>2550</v>
      </c>
      <c r="I388" s="100" t="s">
        <v>342</v>
      </c>
      <c r="J388" s="16" t="s">
        <v>101</v>
      </c>
      <c r="K388" s="16"/>
      <c r="L388" s="3" t="s">
        <v>102</v>
      </c>
      <c r="M388" s="3" t="s">
        <v>103</v>
      </c>
      <c r="N388" s="3" t="s">
        <v>104</v>
      </c>
      <c r="O388" s="16" t="s">
        <v>105</v>
      </c>
      <c r="P388" t="s">
        <v>2551</v>
      </c>
      <c r="Q388" t="s">
        <v>2551</v>
      </c>
      <c r="R388" t="s">
        <v>2551</v>
      </c>
      <c r="S388" s="3" t="s">
        <v>2547</v>
      </c>
      <c r="T388" s="131" t="s">
        <v>107</v>
      </c>
      <c r="U388" s="35">
        <v>26</v>
      </c>
      <c r="V388" s="40"/>
      <c r="W388" s="40"/>
      <c r="X388" s="59" t="s">
        <v>108</v>
      </c>
      <c r="Y388" s="93">
        <f>IF(AD388=0, 0, IF(OR(H388="", H388&lt;&gt;0), 1, 0))</f>
        <v>1</v>
      </c>
      <c r="Z388" s="3">
        <v>0</v>
      </c>
      <c r="AA388" s="3" t="s">
        <v>2552</v>
      </c>
      <c r="AD388" s="6">
        <f>ROUND((AG388*(1+AJ388)),2)</f>
        <v>669.87</v>
      </c>
      <c r="AE388" s="69">
        <v>763.38582099999996</v>
      </c>
      <c r="AF388" s="17">
        <f>(AE388*1)</f>
        <v>763.38582099999996</v>
      </c>
      <c r="AG388" s="6">
        <f>ROUND((AE388*AI388),2)</f>
        <v>496.2</v>
      </c>
      <c r="AH388" s="30" t="s">
        <v>110</v>
      </c>
      <c r="AI388" s="3">
        <v>0.65</v>
      </c>
      <c r="AJ388" s="18">
        <v>0.35</v>
      </c>
      <c r="AK388" s="6">
        <f>ROUND((AD388-(AD388*BG388)),2)</f>
        <v>663.17</v>
      </c>
      <c r="AL388" s="6">
        <f>ROUND((AD388-(AD388*BH388)),2)</f>
        <v>656.47</v>
      </c>
      <c r="AM388" s="6">
        <f>ROUND((AD388-(AD388*BI388)),2)</f>
        <v>649.77</v>
      </c>
      <c r="AN388" s="6">
        <f>ROUND((AD388-(AD388*BJ388)),2)</f>
        <v>649.77</v>
      </c>
      <c r="AO388" s="6">
        <f>ROUND((AD388-(AD388*BK388)),2)</f>
        <v>669.87</v>
      </c>
      <c r="BG388" s="12">
        <v>0.01</v>
      </c>
      <c r="BH388" s="12">
        <v>0.02</v>
      </c>
      <c r="BI388" s="12">
        <v>0.03</v>
      </c>
      <c r="BJ388" s="12">
        <v>0.03</v>
      </c>
      <c r="CC388" s="3" t="str">
        <f>IF(B388&lt;&gt;"",CONCATENATE(SUBSTITUTE(B388," ","-"),".jpg"),"")</f>
        <v>Allied-Moulded-AM24248RL.jpg</v>
      </c>
      <c r="CD388" s="16" t="s">
        <v>111</v>
      </c>
      <c r="CE388" s="3"/>
      <c r="CF388" s="3"/>
      <c r="CG388" s="3" t="s">
        <v>112</v>
      </c>
      <c r="CI388" s="3" t="s">
        <v>97</v>
      </c>
      <c r="CJ388" s="3" t="s">
        <v>113</v>
      </c>
      <c r="CK388" s="3" t="s">
        <v>114</v>
      </c>
      <c r="CL388" s="3" t="s">
        <v>115</v>
      </c>
      <c r="CM388" s="3" t="s">
        <v>116</v>
      </c>
      <c r="CN388" t="s">
        <v>117</v>
      </c>
      <c r="CO388" s="3" t="s">
        <v>118</v>
      </c>
      <c r="CP388" s="3" t="s">
        <v>139</v>
      </c>
      <c r="CQ388" s="3" t="s">
        <v>120</v>
      </c>
      <c r="CR388" s="3" t="s">
        <v>140</v>
      </c>
      <c r="CS388" s="16" t="s">
        <v>122</v>
      </c>
      <c r="CT388" s="3" t="s">
        <v>124</v>
      </c>
      <c r="CU388" s="3" t="s">
        <v>124</v>
      </c>
      <c r="CV388" s="3" t="s">
        <v>167</v>
      </c>
    </row>
    <row r="389" spans="1:100" ht="15" customHeight="1">
      <c r="A389" s="3" t="s">
        <v>2553</v>
      </c>
      <c r="B389" s="3" t="s">
        <v>2554</v>
      </c>
      <c r="C389" s="16" t="s">
        <v>97</v>
      </c>
      <c r="D389" s="125" t="s">
        <v>2555</v>
      </c>
      <c r="E389" s="16" t="s">
        <v>97</v>
      </c>
      <c r="F389" s="131" t="s">
        <v>2556</v>
      </c>
      <c r="I389" s="100" t="s">
        <v>342</v>
      </c>
      <c r="J389" s="16" t="s">
        <v>101</v>
      </c>
      <c r="K389" s="16"/>
      <c r="L389" s="3" t="s">
        <v>102</v>
      </c>
      <c r="M389" s="3" t="s">
        <v>103</v>
      </c>
      <c r="N389" s="3" t="s">
        <v>104</v>
      </c>
      <c r="O389" s="16" t="s">
        <v>105</v>
      </c>
      <c r="P389" t="s">
        <v>2557</v>
      </c>
      <c r="Q389" t="s">
        <v>2557</v>
      </c>
      <c r="R389" t="s">
        <v>2557</v>
      </c>
      <c r="S389" s="3" t="s">
        <v>2553</v>
      </c>
      <c r="T389" s="131" t="s">
        <v>107</v>
      </c>
      <c r="U389" s="34">
        <v>26</v>
      </c>
      <c r="V389" s="39"/>
      <c r="W389" s="39"/>
      <c r="X389" s="59" t="s">
        <v>108</v>
      </c>
      <c r="Y389" s="93">
        <f>IF(AD389=0, 0, IF(OR(H389="", H389&lt;&gt;0), 1, 0))</f>
        <v>1</v>
      </c>
      <c r="Z389" s="3">
        <v>0</v>
      </c>
      <c r="AA389" s="3" t="s">
        <v>2558</v>
      </c>
      <c r="AD389" s="6">
        <f>ROUND((AG389*(1+AJ389)),2)</f>
        <v>669.87</v>
      </c>
      <c r="AE389" s="69">
        <v>763.38582099999996</v>
      </c>
      <c r="AF389" s="17">
        <f>(AE389*1)</f>
        <v>763.38582099999996</v>
      </c>
      <c r="AG389" s="6">
        <f>ROUND((AE389*AI389),2)</f>
        <v>496.2</v>
      </c>
      <c r="AH389" s="30" t="s">
        <v>110</v>
      </c>
      <c r="AI389" s="3">
        <v>0.65</v>
      </c>
      <c r="AJ389" s="18">
        <v>0.35</v>
      </c>
      <c r="AK389" s="6">
        <f>ROUND((AD389-(AD389*BG389)),2)</f>
        <v>663.17</v>
      </c>
      <c r="AL389" s="6">
        <f>ROUND((AD389-(AD389*BH389)),2)</f>
        <v>656.47</v>
      </c>
      <c r="AM389" s="6">
        <f>ROUND((AD389-(AD389*BI389)),2)</f>
        <v>649.77</v>
      </c>
      <c r="AN389" s="6">
        <f>ROUND((AD389-(AD389*BJ389)),2)</f>
        <v>649.77</v>
      </c>
      <c r="AO389" s="6">
        <f>ROUND((AD389-(AD389*BK389)),2)</f>
        <v>669.87</v>
      </c>
      <c r="BG389" s="12">
        <v>0.01</v>
      </c>
      <c r="BH389" s="12">
        <v>0.02</v>
      </c>
      <c r="BI389" s="12">
        <v>0.03</v>
      </c>
      <c r="BJ389" s="12">
        <v>0.03</v>
      </c>
      <c r="CC389" s="3" t="str">
        <f>IF(B389&lt;&gt;"",CONCATENATE(SUBSTITUTE(B389," ","-"),".jpg"),"")</f>
        <v>Allied-Moulded-AM24248RT.jpg</v>
      </c>
      <c r="CD389" s="16" t="s">
        <v>111</v>
      </c>
      <c r="CE389" s="3"/>
      <c r="CF389" s="3"/>
      <c r="CG389" s="3" t="s">
        <v>112</v>
      </c>
      <c r="CI389" s="3" t="s">
        <v>97</v>
      </c>
      <c r="CJ389" s="3" t="s">
        <v>113</v>
      </c>
      <c r="CK389" s="3" t="s">
        <v>114</v>
      </c>
      <c r="CL389" s="3" t="s">
        <v>115</v>
      </c>
      <c r="CM389" s="3" t="s">
        <v>116</v>
      </c>
      <c r="CN389" t="s">
        <v>132</v>
      </c>
      <c r="CO389" s="3" t="s">
        <v>118</v>
      </c>
      <c r="CP389" s="3" t="s">
        <v>139</v>
      </c>
      <c r="CQ389" s="3" t="s">
        <v>120</v>
      </c>
      <c r="CR389" s="3" t="s">
        <v>140</v>
      </c>
      <c r="CS389" s="16" t="s">
        <v>122</v>
      </c>
      <c r="CT389" s="3" t="s">
        <v>124</v>
      </c>
      <c r="CU389" s="3" t="s">
        <v>124</v>
      </c>
      <c r="CV389" s="3" t="s">
        <v>167</v>
      </c>
    </row>
    <row r="390" spans="1:100" ht="15" customHeight="1">
      <c r="A390" s="3" t="s">
        <v>2559</v>
      </c>
      <c r="B390" s="3" t="s">
        <v>2560</v>
      </c>
      <c r="C390" s="16" t="s">
        <v>97</v>
      </c>
      <c r="D390" s="125" t="s">
        <v>2561</v>
      </c>
      <c r="E390" s="16" t="s">
        <v>97</v>
      </c>
      <c r="F390" s="131" t="s">
        <v>2562</v>
      </c>
      <c r="I390" s="100" t="s">
        <v>342</v>
      </c>
      <c r="J390" s="16" t="s">
        <v>101</v>
      </c>
      <c r="K390" s="16"/>
      <c r="L390" s="3" t="s">
        <v>102</v>
      </c>
      <c r="M390" s="3" t="s">
        <v>103</v>
      </c>
      <c r="N390" s="3" t="s">
        <v>104</v>
      </c>
      <c r="O390" s="16" t="s">
        <v>105</v>
      </c>
      <c r="P390" t="s">
        <v>2563</v>
      </c>
      <c r="Q390" t="s">
        <v>2563</v>
      </c>
      <c r="R390" t="s">
        <v>2563</v>
      </c>
      <c r="S390" s="3" t="s">
        <v>2559</v>
      </c>
      <c r="T390" s="131" t="s">
        <v>107</v>
      </c>
      <c r="U390" s="35">
        <v>26</v>
      </c>
      <c r="V390" s="40"/>
      <c r="W390" s="40"/>
      <c r="X390" s="59" t="s">
        <v>108</v>
      </c>
      <c r="Y390" s="93">
        <f>IF(AD390=0, 0, IF(OR(H390="", H390&lt;&gt;0), 1, 0))</f>
        <v>1</v>
      </c>
      <c r="Z390" s="3">
        <v>0</v>
      </c>
      <c r="AA390" s="3" t="s">
        <v>2564</v>
      </c>
      <c r="AD390" s="6">
        <f>ROUND((AG390*(1+AJ390)),2)</f>
        <v>839.86</v>
      </c>
      <c r="AE390" s="69">
        <v>957.10032300000012</v>
      </c>
      <c r="AF390" s="17">
        <f>(AE390*1)</f>
        <v>957.10032300000012</v>
      </c>
      <c r="AG390" s="6">
        <f>ROUND((AE390*AI390),2)</f>
        <v>622.12</v>
      </c>
      <c r="AH390" s="30" t="s">
        <v>110</v>
      </c>
      <c r="AI390" s="3">
        <v>0.65</v>
      </c>
      <c r="AJ390" s="18">
        <v>0.35</v>
      </c>
      <c r="AK390" s="6">
        <f>ROUND((AD390-(AD390*BG390)),2)</f>
        <v>831.46</v>
      </c>
      <c r="AL390" s="6">
        <f>ROUND((AD390-(AD390*BH390)),2)</f>
        <v>823.06</v>
      </c>
      <c r="AM390" s="6">
        <f>ROUND((AD390-(AD390*BI390)),2)</f>
        <v>814.66</v>
      </c>
      <c r="AN390" s="6">
        <f>ROUND((AD390-(AD390*BJ390)),2)</f>
        <v>814.66</v>
      </c>
      <c r="AO390" s="6">
        <f>ROUND((AD390-(AD390*BK390)),2)</f>
        <v>839.86</v>
      </c>
      <c r="BG390" s="12">
        <v>0.01</v>
      </c>
      <c r="BH390" s="12">
        <v>0.02</v>
      </c>
      <c r="BI390" s="12">
        <v>0.03</v>
      </c>
      <c r="BJ390" s="12">
        <v>0.03</v>
      </c>
      <c r="CC390" s="3" t="str">
        <f>IF(B390&lt;&gt;"",CONCATENATE(SUBSTITUTE(B390," ","-"),".jpg"),"")</f>
        <v>Allied-Moulded-AM24248R3PT.jpg</v>
      </c>
      <c r="CD390" s="16" t="s">
        <v>111</v>
      </c>
      <c r="CE390" s="3"/>
      <c r="CF390" s="3"/>
      <c r="CG390" s="3" t="s">
        <v>112</v>
      </c>
      <c r="CI390" s="3" t="s">
        <v>97</v>
      </c>
      <c r="CJ390" s="3" t="s">
        <v>113</v>
      </c>
      <c r="CK390" s="3" t="s">
        <v>114</v>
      </c>
      <c r="CL390" s="3" t="s">
        <v>115</v>
      </c>
      <c r="CM390" s="3" t="s">
        <v>116</v>
      </c>
      <c r="CN390" t="s">
        <v>153</v>
      </c>
      <c r="CO390" s="3" t="s">
        <v>118</v>
      </c>
      <c r="CP390" s="3" t="s">
        <v>139</v>
      </c>
      <c r="CQ390" s="3" t="s">
        <v>120</v>
      </c>
      <c r="CR390" s="3" t="s">
        <v>140</v>
      </c>
      <c r="CS390" s="16" t="s">
        <v>122</v>
      </c>
      <c r="CT390" s="3" t="s">
        <v>124</v>
      </c>
      <c r="CU390" s="3" t="s">
        <v>124</v>
      </c>
      <c r="CV390" s="3" t="s">
        <v>167</v>
      </c>
    </row>
    <row r="391" spans="1:100" ht="15" customHeight="1">
      <c r="A391" s="3" t="s">
        <v>2565</v>
      </c>
      <c r="B391" s="3" t="s">
        <v>2566</v>
      </c>
      <c r="C391" s="16" t="s">
        <v>97</v>
      </c>
      <c r="D391" s="125" t="s">
        <v>2567</v>
      </c>
      <c r="E391" s="16" t="s">
        <v>97</v>
      </c>
      <c r="F391" s="131" t="s">
        <v>2568</v>
      </c>
      <c r="I391" s="100" t="s">
        <v>342</v>
      </c>
      <c r="J391" s="16" t="s">
        <v>101</v>
      </c>
      <c r="K391" s="16"/>
      <c r="L391" s="3" t="s">
        <v>102</v>
      </c>
      <c r="M391" s="3" t="s">
        <v>103</v>
      </c>
      <c r="N391" s="3" t="s">
        <v>104</v>
      </c>
      <c r="O391" s="16" t="s">
        <v>105</v>
      </c>
      <c r="P391" t="s">
        <v>2569</v>
      </c>
      <c r="Q391" t="s">
        <v>2569</v>
      </c>
      <c r="R391" t="s">
        <v>2569</v>
      </c>
      <c r="S391" s="3" t="s">
        <v>2565</v>
      </c>
      <c r="T391" s="131" t="s">
        <v>107</v>
      </c>
      <c r="U391" s="35">
        <v>26</v>
      </c>
      <c r="V391" s="40"/>
      <c r="W391" s="40"/>
      <c r="X391" s="59" t="s">
        <v>108</v>
      </c>
      <c r="Y391" s="93">
        <f>IF(AD391=0, 0, IF(OR(H391="", H391&lt;&gt;0), 1, 0))</f>
        <v>1</v>
      </c>
      <c r="Z391" s="3">
        <v>0</v>
      </c>
      <c r="AA391" s="3" t="s">
        <v>2570</v>
      </c>
      <c r="AD391" s="6">
        <f>ROUND((AG391*(1+AJ391)),2)</f>
        <v>732.52</v>
      </c>
      <c r="AE391" s="69">
        <v>834.77751000000001</v>
      </c>
      <c r="AF391" s="17">
        <f>(AE391*1)</f>
        <v>834.77751000000001</v>
      </c>
      <c r="AG391" s="6">
        <f>ROUND((AE391*AI391),2)</f>
        <v>542.61</v>
      </c>
      <c r="AH391" s="30" t="s">
        <v>110</v>
      </c>
      <c r="AI391" s="3">
        <v>0.65</v>
      </c>
      <c r="AJ391" s="18">
        <v>0.35</v>
      </c>
      <c r="AK391" s="6">
        <f>ROUND((AD391-(AD391*BG391)),2)</f>
        <v>725.19</v>
      </c>
      <c r="AL391" s="6">
        <f>ROUND((AD391-(AD391*BH391)),2)</f>
        <v>717.87</v>
      </c>
      <c r="AM391" s="6">
        <f>ROUND((AD391-(AD391*BI391)),2)</f>
        <v>710.54</v>
      </c>
      <c r="AN391" s="6">
        <f>ROUND((AD391-(AD391*BJ391)),2)</f>
        <v>710.54</v>
      </c>
      <c r="AO391" s="6">
        <f>ROUND((AD391-(AD391*BK391)),2)</f>
        <v>732.52</v>
      </c>
      <c r="BG391" s="12">
        <v>0.01</v>
      </c>
      <c r="BH391" s="12">
        <v>0.02</v>
      </c>
      <c r="BI391" s="12">
        <v>0.03</v>
      </c>
      <c r="BJ391" s="12">
        <v>0.03</v>
      </c>
      <c r="CC391" s="3" t="str">
        <f>IF(B391&lt;&gt;"",CONCATENATE(SUBSTITUTE(B391," ","-"),".jpg"),"")</f>
        <v>Allied-Moulded-AM24248RQT.jpg</v>
      </c>
      <c r="CD391" s="16" t="s">
        <v>111</v>
      </c>
      <c r="CE391" s="3"/>
      <c r="CF391" s="3"/>
      <c r="CG391" s="3" t="s">
        <v>112</v>
      </c>
      <c r="CI391" s="3" t="s">
        <v>97</v>
      </c>
      <c r="CJ391" s="3" t="s">
        <v>113</v>
      </c>
      <c r="CK391" s="3" t="s">
        <v>114</v>
      </c>
      <c r="CL391" s="3" t="s">
        <v>115</v>
      </c>
      <c r="CM391" s="3" t="s">
        <v>116</v>
      </c>
      <c r="CN391" t="s">
        <v>160</v>
      </c>
      <c r="CO391" s="3" t="s">
        <v>118</v>
      </c>
      <c r="CP391" s="3" t="s">
        <v>139</v>
      </c>
      <c r="CQ391" s="3" t="s">
        <v>120</v>
      </c>
      <c r="CR391" s="3" t="s">
        <v>140</v>
      </c>
      <c r="CS391" s="16" t="s">
        <v>122</v>
      </c>
      <c r="CT391" s="3" t="s">
        <v>124</v>
      </c>
      <c r="CU391" s="3" t="s">
        <v>124</v>
      </c>
      <c r="CV391" s="3" t="s">
        <v>167</v>
      </c>
    </row>
    <row r="392" spans="1:100" ht="15" customHeight="1">
      <c r="A392" t="s">
        <v>2571</v>
      </c>
      <c r="B392" s="3" t="s">
        <v>2572</v>
      </c>
      <c r="C392" s="16" t="s">
        <v>97</v>
      </c>
      <c r="D392" s="40" t="s">
        <v>2573</v>
      </c>
      <c r="E392" s="16" t="s">
        <v>97</v>
      </c>
      <c r="F392" s="131" t="s">
        <v>2574</v>
      </c>
      <c r="I392" s="100" t="s">
        <v>342</v>
      </c>
      <c r="J392" s="16" t="s">
        <v>101</v>
      </c>
      <c r="K392" s="16"/>
      <c r="L392" s="3" t="s">
        <v>102</v>
      </c>
      <c r="M392" s="3" t="s">
        <v>103</v>
      </c>
      <c r="N392" s="3" t="s">
        <v>104</v>
      </c>
      <c r="O392" s="16" t="s">
        <v>105</v>
      </c>
      <c r="P392" s="3" t="s">
        <v>2575</v>
      </c>
      <c r="Q392" s="3" t="s">
        <v>2575</v>
      </c>
      <c r="R392" s="3" t="s">
        <v>2575</v>
      </c>
      <c r="S392" t="s">
        <v>2571</v>
      </c>
      <c r="T392" s="130" t="s">
        <v>107</v>
      </c>
      <c r="U392" s="35">
        <v>26</v>
      </c>
      <c r="V392" s="40"/>
      <c r="W392" s="40"/>
      <c r="X392" s="59" t="s">
        <v>108</v>
      </c>
      <c r="Y392" s="93">
        <f>IF(AD392=0, 0, IF(OR(H392="", H392&lt;&gt;0), 1, 0))</f>
        <v>1</v>
      </c>
      <c r="Z392" s="3">
        <v>0</v>
      </c>
      <c r="AA392" s="3" t="s">
        <v>2576</v>
      </c>
      <c r="AD392" s="6">
        <f>ROUND((AG392*(1+AJ392)),2)</f>
        <v>877.88</v>
      </c>
      <c r="AE392" s="69">
        <v>1000.426207</v>
      </c>
      <c r="AF392" s="17">
        <f>(AE392*1)</f>
        <v>1000.426207</v>
      </c>
      <c r="AG392" s="6">
        <f>ROUND((AE392*AI392),2)</f>
        <v>650.28</v>
      </c>
      <c r="AH392" s="30" t="s">
        <v>110</v>
      </c>
      <c r="AI392" s="3">
        <v>0.65</v>
      </c>
      <c r="AJ392" s="18">
        <v>0.35</v>
      </c>
      <c r="AK392" s="6">
        <f>ROUND((AD392-(AD392*BG392)),2)</f>
        <v>869.1</v>
      </c>
      <c r="AL392" s="6">
        <f>ROUND((AD392-(AD392*BH392)),2)</f>
        <v>860.32</v>
      </c>
      <c r="AM392" s="6">
        <f>ROUND((AD392-(AD392*BI392)),2)</f>
        <v>851.54</v>
      </c>
      <c r="AN392" s="6">
        <f>ROUND((AD392-(AD392*BJ392)),2)</f>
        <v>851.54</v>
      </c>
      <c r="AO392" s="6">
        <f>ROUND((AD392-(AD392*BK392)),2)</f>
        <v>877.88</v>
      </c>
      <c r="BG392" s="12">
        <v>0.01</v>
      </c>
      <c r="BH392" s="12">
        <v>0.02</v>
      </c>
      <c r="BI392" s="12">
        <v>0.03</v>
      </c>
      <c r="BJ392" s="12">
        <v>0.03</v>
      </c>
      <c r="CC392" s="3" t="str">
        <f>IF(B392&lt;&gt;"",CONCATENATE(SUBSTITUTE(B392," ","-"),".jpg"),"")</f>
        <v>Allied-Moulded-AM24248RLW.jpg</v>
      </c>
      <c r="CD392" s="16" t="s">
        <v>111</v>
      </c>
      <c r="CE392" s="3"/>
      <c r="CF392" s="3"/>
      <c r="CG392" s="3" t="s">
        <v>112</v>
      </c>
      <c r="CI392" s="3" t="s">
        <v>97</v>
      </c>
      <c r="CJ392" s="3" t="s">
        <v>113</v>
      </c>
      <c r="CK392" s="3" t="s">
        <v>114</v>
      </c>
      <c r="CL392" s="3" t="s">
        <v>115</v>
      </c>
      <c r="CM392" s="3" t="s">
        <v>116</v>
      </c>
      <c r="CN392" t="s">
        <v>117</v>
      </c>
      <c r="CO392" s="3" t="s">
        <v>118</v>
      </c>
      <c r="CP392" s="3" t="s">
        <v>119</v>
      </c>
      <c r="CQ392" s="3" t="s">
        <v>120</v>
      </c>
      <c r="CR392" s="16" t="s">
        <v>121</v>
      </c>
      <c r="CS392" s="16" t="s">
        <v>122</v>
      </c>
      <c r="CT392" s="16" t="s">
        <v>124</v>
      </c>
      <c r="CU392" s="16" t="s">
        <v>124</v>
      </c>
      <c r="CV392" s="3" t="s">
        <v>167</v>
      </c>
    </row>
    <row r="393" spans="1:100" ht="15" customHeight="1">
      <c r="A393" t="s">
        <v>2577</v>
      </c>
      <c r="B393" s="3" t="s">
        <v>2578</v>
      </c>
      <c r="C393" s="16" t="s">
        <v>97</v>
      </c>
      <c r="D393" s="40" t="s">
        <v>2579</v>
      </c>
      <c r="E393" s="16" t="s">
        <v>97</v>
      </c>
      <c r="F393" s="131" t="s">
        <v>2580</v>
      </c>
      <c r="I393" s="100" t="s">
        <v>342</v>
      </c>
      <c r="J393" s="16" t="s">
        <v>101</v>
      </c>
      <c r="K393" s="16"/>
      <c r="L393" s="3" t="s">
        <v>102</v>
      </c>
      <c r="M393" s="3" t="s">
        <v>103</v>
      </c>
      <c r="N393" s="3" t="s">
        <v>104</v>
      </c>
      <c r="O393" s="16" t="s">
        <v>478</v>
      </c>
      <c r="P393" s="3" t="s">
        <v>2581</v>
      </c>
      <c r="Q393" s="3" t="s">
        <v>2581</v>
      </c>
      <c r="R393" s="3" t="s">
        <v>2581</v>
      </c>
      <c r="S393" t="s">
        <v>2577</v>
      </c>
      <c r="T393" s="130" t="s">
        <v>2582</v>
      </c>
      <c r="U393" s="51">
        <v>2</v>
      </c>
      <c r="V393" s="58"/>
      <c r="W393" s="58"/>
      <c r="X393" s="59" t="s">
        <v>108</v>
      </c>
      <c r="Y393" s="93">
        <f>IF(AD393=0, 0, IF(OR(H393="", H393&lt;&gt;0), 1, 0))</f>
        <v>1</v>
      </c>
      <c r="Z393" s="3">
        <v>0</v>
      </c>
      <c r="AA393" s="3" t="s">
        <v>2583</v>
      </c>
      <c r="AD393" s="6">
        <f>ROUND((AG393*(1+AJ393)),2)</f>
        <v>37.229999999999997</v>
      </c>
      <c r="AE393" s="69">
        <v>42.435530550000003</v>
      </c>
      <c r="AF393" s="17">
        <f>(AE393*1)</f>
        <v>42.435530550000003</v>
      </c>
      <c r="AG393" s="6">
        <f>ROUND((AE393*AI393),2)</f>
        <v>27.58</v>
      </c>
      <c r="AH393" s="30" t="s">
        <v>110</v>
      </c>
      <c r="AI393" s="3">
        <v>0.65</v>
      </c>
      <c r="AJ393" s="18">
        <v>0.35</v>
      </c>
      <c r="AK393" s="6">
        <f>ROUND((AD393-(AD393*BG393)),2)</f>
        <v>36.86</v>
      </c>
      <c r="AL393" s="6">
        <f>ROUND((AD393-(AD393*BH393)),2)</f>
        <v>36.49</v>
      </c>
      <c r="AM393" s="6">
        <f>ROUND((AD393-(AD393*BI393)),2)</f>
        <v>36.11</v>
      </c>
      <c r="AN393" s="6">
        <f>ROUND((AD393-(AD393*BJ393)),2)</f>
        <v>36.11</v>
      </c>
      <c r="AO393" s="6">
        <f>ROUND((AD393-(AD393*BK393)),2)</f>
        <v>37.229999999999997</v>
      </c>
      <c r="BG393" s="12">
        <v>0.01</v>
      </c>
      <c r="BH393" s="12">
        <v>0.02</v>
      </c>
      <c r="BI393" s="12">
        <v>0.03</v>
      </c>
      <c r="BJ393" s="12">
        <v>0.03</v>
      </c>
      <c r="CC393" s="3" t="str">
        <f>IF(B393&lt;&gt;"",CONCATENATE(SUBSTITUTE(B393," ","-"),".jpg"),"")</f>
        <v>Allied-Moulded-AMP443CC.jpg</v>
      </c>
      <c r="CD393" s="16" t="s">
        <v>111</v>
      </c>
      <c r="CE393" s="3"/>
      <c r="CF393" s="3"/>
      <c r="CG393" s="3" t="s">
        <v>112</v>
      </c>
      <c r="CI393" s="3" t="s">
        <v>97</v>
      </c>
      <c r="CJ393" s="3" t="s">
        <v>481</v>
      </c>
      <c r="CK393" s="3" t="s">
        <v>114</v>
      </c>
      <c r="CL393" s="3" t="s">
        <v>115</v>
      </c>
      <c r="CM393" s="16"/>
      <c r="CN393" s="16" t="s">
        <v>349</v>
      </c>
      <c r="CO393" s="3" t="s">
        <v>482</v>
      </c>
      <c r="CP393" s="3" t="s">
        <v>139</v>
      </c>
      <c r="CQ393" s="3" t="s">
        <v>120</v>
      </c>
      <c r="CR393" s="16" t="s">
        <v>121</v>
      </c>
      <c r="CS393" s="3" t="s">
        <v>384</v>
      </c>
      <c r="CT393" s="16" t="s">
        <v>657</v>
      </c>
      <c r="CU393" s="16" t="s">
        <v>657</v>
      </c>
      <c r="CV393" s="16" t="s">
        <v>2584</v>
      </c>
    </row>
    <row r="394" spans="1:100" ht="15" customHeight="1">
      <c r="A394" t="s">
        <v>2585</v>
      </c>
      <c r="B394" s="3" t="s">
        <v>2586</v>
      </c>
      <c r="C394" s="16" t="s">
        <v>97</v>
      </c>
      <c r="D394" s="39" t="s">
        <v>2587</v>
      </c>
      <c r="E394" s="16" t="s">
        <v>97</v>
      </c>
      <c r="F394" s="131" t="s">
        <v>2588</v>
      </c>
      <c r="I394" s="100" t="s">
        <v>342</v>
      </c>
      <c r="J394" s="16" t="s">
        <v>101</v>
      </c>
      <c r="K394" s="16"/>
      <c r="L394" s="3" t="s">
        <v>102</v>
      </c>
      <c r="M394" s="3" t="s">
        <v>103</v>
      </c>
      <c r="N394" s="3" t="s">
        <v>104</v>
      </c>
      <c r="O394" s="16" t="s">
        <v>478</v>
      </c>
      <c r="P394" s="3" t="s">
        <v>2589</v>
      </c>
      <c r="Q394" s="3" t="s">
        <v>2589</v>
      </c>
      <c r="R394" s="3" t="s">
        <v>2589</v>
      </c>
      <c r="S394" t="s">
        <v>2585</v>
      </c>
      <c r="T394" s="130" t="s">
        <v>2582</v>
      </c>
      <c r="U394" s="50">
        <v>2</v>
      </c>
      <c r="V394" s="54"/>
      <c r="W394" s="54"/>
      <c r="X394" s="59" t="s">
        <v>108</v>
      </c>
      <c r="Y394" s="93">
        <f>IF(AD394=0, 0, IF(OR(H394="", H394&lt;&gt;0), 1, 0))</f>
        <v>1</v>
      </c>
      <c r="Z394" s="3">
        <v>0</v>
      </c>
      <c r="AA394" s="3" t="s">
        <v>2590</v>
      </c>
      <c r="AD394" s="6">
        <f>ROUND((AG394*(1+AJ394)),2)</f>
        <v>40.58</v>
      </c>
      <c r="AE394" s="69">
        <v>46.246562250000004</v>
      </c>
      <c r="AF394" s="17">
        <f>(AE394*1)</f>
        <v>46.246562250000004</v>
      </c>
      <c r="AG394" s="6">
        <f>ROUND((AE394*AI394),2)</f>
        <v>30.06</v>
      </c>
      <c r="AH394" s="30" t="s">
        <v>110</v>
      </c>
      <c r="AI394" s="3">
        <v>0.65</v>
      </c>
      <c r="AJ394" s="18">
        <v>0.35</v>
      </c>
      <c r="AK394" s="6">
        <f>ROUND((AD394-(AD394*BG394)),2)</f>
        <v>40.17</v>
      </c>
      <c r="AL394" s="6">
        <f>ROUND((AD394-(AD394*BH394)),2)</f>
        <v>39.770000000000003</v>
      </c>
      <c r="AM394" s="6">
        <f>ROUND((AD394-(AD394*BI394)),2)</f>
        <v>39.36</v>
      </c>
      <c r="AN394" s="6">
        <f>ROUND((AD394-(AD394*BJ394)),2)</f>
        <v>39.36</v>
      </c>
      <c r="AO394" s="6">
        <f>ROUND((AD394-(AD394*BK394)),2)</f>
        <v>40.58</v>
      </c>
      <c r="BG394" s="12">
        <v>0.01</v>
      </c>
      <c r="BH394" s="12">
        <v>0.02</v>
      </c>
      <c r="BI394" s="12">
        <v>0.03</v>
      </c>
      <c r="BJ394" s="12">
        <v>0.03</v>
      </c>
      <c r="CC394" s="3" t="str">
        <f>IF(B394&lt;&gt;"",CONCATENATE(SUBSTITUTE(B394," ","-"),".jpg"),"")</f>
        <v>Allied-Moulded-AMP443CCH.jpg</v>
      </c>
      <c r="CD394" s="16" t="s">
        <v>111</v>
      </c>
      <c r="CE394" s="3"/>
      <c r="CF394" s="3"/>
      <c r="CG394" s="3" t="s">
        <v>112</v>
      </c>
      <c r="CI394" s="3" t="s">
        <v>97</v>
      </c>
      <c r="CJ394" s="3" t="s">
        <v>481</v>
      </c>
      <c r="CK394" s="3" t="s">
        <v>114</v>
      </c>
      <c r="CL394" s="3" t="s">
        <v>115</v>
      </c>
      <c r="CM394" s="3" t="s">
        <v>116</v>
      </c>
      <c r="CN394" s="16" t="s">
        <v>349</v>
      </c>
      <c r="CO394" s="3" t="s">
        <v>482</v>
      </c>
      <c r="CP394" s="3" t="s">
        <v>139</v>
      </c>
      <c r="CQ394" s="3" t="s">
        <v>120</v>
      </c>
      <c r="CR394" s="16" t="s">
        <v>121</v>
      </c>
      <c r="CS394" s="3" t="s">
        <v>384</v>
      </c>
      <c r="CT394" s="16" t="s">
        <v>657</v>
      </c>
      <c r="CU394" s="16" t="s">
        <v>657</v>
      </c>
      <c r="CV394" s="16" t="s">
        <v>2584</v>
      </c>
    </row>
    <row r="395" spans="1:100" ht="15" customHeight="1">
      <c r="A395" t="s">
        <v>2591</v>
      </c>
      <c r="B395" s="3" t="s">
        <v>2592</v>
      </c>
      <c r="C395" s="16" t="s">
        <v>97</v>
      </c>
      <c r="D395" s="40" t="s">
        <v>2593</v>
      </c>
      <c r="E395" s="16" t="s">
        <v>97</v>
      </c>
      <c r="F395" s="131" t="s">
        <v>2594</v>
      </c>
      <c r="I395" s="100" t="s">
        <v>342</v>
      </c>
      <c r="J395" s="16" t="s">
        <v>101</v>
      </c>
      <c r="K395" s="16"/>
      <c r="L395" s="3" t="s">
        <v>102</v>
      </c>
      <c r="M395" s="3" t="s">
        <v>103</v>
      </c>
      <c r="N395" s="3" t="s">
        <v>104</v>
      </c>
      <c r="O395" s="16" t="s">
        <v>478</v>
      </c>
      <c r="P395" s="3" t="s">
        <v>2595</v>
      </c>
      <c r="Q395" s="3" t="s">
        <v>2595</v>
      </c>
      <c r="R395" s="3" t="s">
        <v>2595</v>
      </c>
      <c r="S395" t="s">
        <v>2591</v>
      </c>
      <c r="T395" s="130" t="s">
        <v>2582</v>
      </c>
      <c r="U395" s="51">
        <v>2</v>
      </c>
      <c r="V395" s="58"/>
      <c r="W395" s="58"/>
      <c r="X395" s="59" t="s">
        <v>108</v>
      </c>
      <c r="Y395" s="93">
        <f>IF(AD395=0, 0, IF(OR(H395="", H395&lt;&gt;0), 1, 0))</f>
        <v>1</v>
      </c>
      <c r="Z395" s="3">
        <v>0</v>
      </c>
      <c r="AA395" s="3" t="s">
        <v>2596</v>
      </c>
      <c r="AD395" s="6">
        <f>ROUND((AG395*(1+AJ395)),2)</f>
        <v>49.14</v>
      </c>
      <c r="AE395" s="69">
        <v>56.00098770000001</v>
      </c>
      <c r="AF395" s="17">
        <f>(AE395*1)</f>
        <v>56.00098770000001</v>
      </c>
      <c r="AG395" s="6">
        <f>ROUND((AE395*AI395),2)</f>
        <v>36.4</v>
      </c>
      <c r="AH395" s="30" t="s">
        <v>110</v>
      </c>
      <c r="AI395" s="3">
        <v>0.65</v>
      </c>
      <c r="AJ395" s="18">
        <v>0.35</v>
      </c>
      <c r="AK395" s="6">
        <f>ROUND((AD395-(AD395*BG395)),2)</f>
        <v>48.65</v>
      </c>
      <c r="AL395" s="6">
        <f>ROUND((AD395-(AD395*BH395)),2)</f>
        <v>48.16</v>
      </c>
      <c r="AM395" s="6">
        <f>ROUND((AD395-(AD395*BI395)),2)</f>
        <v>47.67</v>
      </c>
      <c r="AN395" s="6">
        <f>ROUND((AD395-(AD395*BJ395)),2)</f>
        <v>47.67</v>
      </c>
      <c r="AO395" s="6">
        <f>ROUND((AD395-(AD395*BK395)),2)</f>
        <v>49.14</v>
      </c>
      <c r="BG395" s="12">
        <v>0.01</v>
      </c>
      <c r="BH395" s="12">
        <v>0.02</v>
      </c>
      <c r="BI395" s="12">
        <v>0.03</v>
      </c>
      <c r="BJ395" s="12">
        <v>0.03</v>
      </c>
      <c r="CC395" s="3" t="str">
        <f>IF(B395&lt;&gt;"",CONCATENATE(SUBSTITUTE(B395," ","-"),".jpg"),"")</f>
        <v>Allied-Moulded-AMP443CCL.jpg</v>
      </c>
      <c r="CD395" s="16" t="s">
        <v>111</v>
      </c>
      <c r="CE395" s="3"/>
      <c r="CF395" s="3"/>
      <c r="CG395" s="3" t="s">
        <v>112</v>
      </c>
      <c r="CI395" s="3" t="s">
        <v>97</v>
      </c>
      <c r="CJ395" s="3" t="s">
        <v>481</v>
      </c>
      <c r="CK395" s="3" t="s">
        <v>114</v>
      </c>
      <c r="CL395" s="3" t="s">
        <v>115</v>
      </c>
      <c r="CM395" s="3" t="s">
        <v>116</v>
      </c>
      <c r="CN395" t="s">
        <v>117</v>
      </c>
      <c r="CO395" s="3" t="s">
        <v>482</v>
      </c>
      <c r="CP395" s="3" t="s">
        <v>139</v>
      </c>
      <c r="CQ395" s="3" t="s">
        <v>120</v>
      </c>
      <c r="CR395" s="16" t="s">
        <v>121</v>
      </c>
      <c r="CS395" s="16" t="s">
        <v>122</v>
      </c>
      <c r="CT395" s="16" t="s">
        <v>657</v>
      </c>
      <c r="CU395" s="16" t="s">
        <v>657</v>
      </c>
      <c r="CV395" s="16" t="s">
        <v>2584</v>
      </c>
    </row>
    <row r="396" spans="1:100" ht="15" customHeight="1">
      <c r="A396" t="s">
        <v>2597</v>
      </c>
      <c r="B396" s="3" t="s">
        <v>2598</v>
      </c>
      <c r="C396" s="16" t="s">
        <v>97</v>
      </c>
      <c r="D396" s="38" t="s">
        <v>2599</v>
      </c>
      <c r="E396" s="16" t="s">
        <v>97</v>
      </c>
      <c r="F396" s="131" t="s">
        <v>2600</v>
      </c>
      <c r="I396" s="100" t="s">
        <v>342</v>
      </c>
      <c r="J396" s="16" t="s">
        <v>101</v>
      </c>
      <c r="K396" s="16"/>
      <c r="L396" s="3" t="s">
        <v>102</v>
      </c>
      <c r="M396" s="3" t="s">
        <v>103</v>
      </c>
      <c r="N396" s="3" t="s">
        <v>104</v>
      </c>
      <c r="O396" s="16" t="s">
        <v>478</v>
      </c>
      <c r="P396" s="3" t="s">
        <v>2601</v>
      </c>
      <c r="Q396" s="3" t="s">
        <v>2601</v>
      </c>
      <c r="R396" s="3" t="s">
        <v>2601</v>
      </c>
      <c r="S396" t="s">
        <v>2597</v>
      </c>
      <c r="T396" s="130" t="s">
        <v>465</v>
      </c>
      <c r="U396" s="49">
        <v>2</v>
      </c>
      <c r="V396" s="58"/>
      <c r="W396" s="58"/>
      <c r="X396" s="59" t="s">
        <v>108</v>
      </c>
      <c r="Y396" s="93">
        <f>IF(AD396=0, 0, IF(OR(H396="", H396&lt;&gt;0), 1, 0))</f>
        <v>1</v>
      </c>
      <c r="Z396" s="3">
        <v>0</v>
      </c>
      <c r="AA396" s="3" t="s">
        <v>2602</v>
      </c>
      <c r="AD396" s="6">
        <f>ROUND((AG396*(1+AJ396)),2)</f>
        <v>68.23</v>
      </c>
      <c r="AE396" s="68">
        <v>77.760918899999993</v>
      </c>
      <c r="AF396" s="17">
        <f>(AE396*1)</f>
        <v>77.760918899999993</v>
      </c>
      <c r="AG396" s="6">
        <f>ROUND((AE396*AI396),2)</f>
        <v>50.54</v>
      </c>
      <c r="AH396" s="30" t="s">
        <v>110</v>
      </c>
      <c r="AI396" s="3">
        <v>0.65</v>
      </c>
      <c r="AJ396" s="18">
        <v>0.35</v>
      </c>
      <c r="AK396" s="6">
        <f>ROUND((AD396-(AD396*BG396)),2)</f>
        <v>67.55</v>
      </c>
      <c r="AL396" s="6">
        <f>ROUND((AD396-(AD396*BH396)),2)</f>
        <v>66.87</v>
      </c>
      <c r="AM396" s="6">
        <f>ROUND((AD396-(AD396*BI396)),2)</f>
        <v>66.180000000000007</v>
      </c>
      <c r="AN396" s="6">
        <f>ROUND((AD396-(AD396*BJ396)),2)</f>
        <v>66.180000000000007</v>
      </c>
      <c r="AO396" s="6">
        <f>ROUND((AD396-(AD396*BK396)),2)</f>
        <v>68.23</v>
      </c>
      <c r="BG396" s="12">
        <v>0.01</v>
      </c>
      <c r="BH396" s="12">
        <v>0.02</v>
      </c>
      <c r="BI396" s="12">
        <v>0.03</v>
      </c>
      <c r="BJ396" s="12">
        <v>0.03</v>
      </c>
      <c r="CC396" s="3" t="str">
        <f>IF(B396&lt;&gt;"",CONCATENATE(SUBSTITUTE(B396," ","-"),".jpg"),"")</f>
        <v>Allied-Moulded-AMP664CCNL.jpg</v>
      </c>
      <c r="CD396" s="16" t="s">
        <v>111</v>
      </c>
      <c r="CE396" s="3"/>
      <c r="CF396" s="3"/>
      <c r="CG396" s="3" t="s">
        <v>112</v>
      </c>
      <c r="CI396" s="3" t="s">
        <v>97</v>
      </c>
      <c r="CJ396" s="3" t="s">
        <v>481</v>
      </c>
      <c r="CK396" s="3" t="s">
        <v>114</v>
      </c>
      <c r="CL396" s="3" t="s">
        <v>115</v>
      </c>
      <c r="CM396" s="3" t="s">
        <v>116</v>
      </c>
      <c r="CN396" t="s">
        <v>117</v>
      </c>
      <c r="CO396" s="3" t="s">
        <v>482</v>
      </c>
      <c r="CP396" s="3" t="s">
        <v>139</v>
      </c>
      <c r="CQ396" s="3" t="s">
        <v>120</v>
      </c>
      <c r="CR396" s="16" t="s">
        <v>121</v>
      </c>
      <c r="CS396" s="16" t="s">
        <v>122</v>
      </c>
      <c r="CT396" s="16" t="s">
        <v>657</v>
      </c>
      <c r="CU396" s="16" t="s">
        <v>657</v>
      </c>
      <c r="CV396" s="16" t="s">
        <v>2584</v>
      </c>
    </row>
    <row r="397" spans="1:100" ht="15" customHeight="1">
      <c r="A397" t="s">
        <v>2603</v>
      </c>
      <c r="B397" s="3" t="s">
        <v>2604</v>
      </c>
      <c r="C397" s="16" t="s">
        <v>97</v>
      </c>
      <c r="D397" s="40" t="s">
        <v>2605</v>
      </c>
      <c r="E397" s="16" t="s">
        <v>97</v>
      </c>
      <c r="F397" s="131" t="s">
        <v>2606</v>
      </c>
      <c r="I397" s="100" t="s">
        <v>342</v>
      </c>
      <c r="J397" s="16" t="s">
        <v>101</v>
      </c>
      <c r="K397" s="16"/>
      <c r="L397" s="3" t="s">
        <v>102</v>
      </c>
      <c r="M397" s="3" t="s">
        <v>103</v>
      </c>
      <c r="N397" s="3" t="s">
        <v>104</v>
      </c>
      <c r="O397" s="16" t="s">
        <v>478</v>
      </c>
      <c r="P397" s="2" t="s">
        <v>2607</v>
      </c>
      <c r="Q397" s="2" t="s">
        <v>2607</v>
      </c>
      <c r="R397" s="2" t="s">
        <v>2607</v>
      </c>
      <c r="S397" t="s">
        <v>2603</v>
      </c>
      <c r="T397" s="130" t="s">
        <v>2582</v>
      </c>
      <c r="U397" s="51">
        <v>2</v>
      </c>
      <c r="V397" s="58"/>
      <c r="W397" s="58"/>
      <c r="X397" s="59" t="s">
        <v>108</v>
      </c>
      <c r="Y397" s="93">
        <f>IF(AD397=0, 0, IF(OR(H397="", H397&lt;&gt;0), 1, 0))</f>
        <v>1</v>
      </c>
      <c r="Z397" s="3">
        <v>0</v>
      </c>
      <c r="AA397" s="3" t="s">
        <v>2608</v>
      </c>
      <c r="AD397" s="6">
        <f>ROUND((AG397*(1+AJ397)),2)</f>
        <v>33.86</v>
      </c>
      <c r="AE397" s="69">
        <v>38.579131500000003</v>
      </c>
      <c r="AF397" s="17">
        <f>(AE397*1)</f>
        <v>38.579131500000003</v>
      </c>
      <c r="AG397" s="6">
        <f>ROUND((AE397*AI397),2)</f>
        <v>25.08</v>
      </c>
      <c r="AH397" s="30" t="s">
        <v>110</v>
      </c>
      <c r="AI397" s="3">
        <v>0.65</v>
      </c>
      <c r="AJ397" s="18">
        <v>0.35</v>
      </c>
      <c r="AK397" s="6">
        <f>ROUND((AD397-(AD397*BG397)),2)</f>
        <v>33.520000000000003</v>
      </c>
      <c r="AL397" s="6">
        <f>ROUND((AD397-(AD397*BH397)),2)</f>
        <v>33.18</v>
      </c>
      <c r="AM397" s="6">
        <f>ROUND((AD397-(AD397*BI397)),2)</f>
        <v>32.840000000000003</v>
      </c>
      <c r="AN397" s="6">
        <f>ROUND((AD397-(AD397*BJ397)),2)</f>
        <v>32.840000000000003</v>
      </c>
      <c r="AO397" s="6">
        <f>ROUND((AD397-(AD397*BK397)),2)</f>
        <v>33.86</v>
      </c>
      <c r="BG397" s="12">
        <v>0.01</v>
      </c>
      <c r="BH397" s="12">
        <v>0.02</v>
      </c>
      <c r="BI397" s="12">
        <v>0.03</v>
      </c>
      <c r="BJ397" s="12">
        <v>0.03</v>
      </c>
      <c r="CC397" s="3" t="str">
        <f>IF(B397&lt;&gt;"",CONCATENATE(SUBSTITUTE(B397," ","-"),".jpg"),"")</f>
        <v>Allied-Moulded-AMP443.jpg</v>
      </c>
      <c r="CD397" s="16" t="s">
        <v>111</v>
      </c>
      <c r="CE397" s="3"/>
      <c r="CF397" s="3"/>
      <c r="CG397" s="3" t="s">
        <v>112</v>
      </c>
      <c r="CI397" s="3" t="s">
        <v>97</v>
      </c>
      <c r="CJ397" s="3" t="s">
        <v>481</v>
      </c>
      <c r="CK397" s="3" t="s">
        <v>114</v>
      </c>
      <c r="CL397" s="3" t="s">
        <v>115</v>
      </c>
      <c r="CM397" s="16"/>
      <c r="CN397" s="16" t="s">
        <v>349</v>
      </c>
      <c r="CO397" s="3" t="s">
        <v>482</v>
      </c>
      <c r="CP397" s="3" t="s">
        <v>139</v>
      </c>
      <c r="CQ397" s="3" t="s">
        <v>120</v>
      </c>
      <c r="CR397" s="3" t="s">
        <v>140</v>
      </c>
      <c r="CS397" s="3" t="s">
        <v>384</v>
      </c>
      <c r="CT397" s="16" t="s">
        <v>657</v>
      </c>
      <c r="CU397" s="16" t="s">
        <v>657</v>
      </c>
      <c r="CV397" s="16" t="s">
        <v>2584</v>
      </c>
    </row>
    <row r="398" spans="1:100" ht="15" customHeight="1">
      <c r="A398" t="s">
        <v>2609</v>
      </c>
      <c r="B398" s="3" t="s">
        <v>2610</v>
      </c>
      <c r="C398" s="16" t="s">
        <v>97</v>
      </c>
      <c r="D398" s="39" t="s">
        <v>2611</v>
      </c>
      <c r="E398" s="16" t="s">
        <v>97</v>
      </c>
      <c r="F398" s="131" t="s">
        <v>2612</v>
      </c>
      <c r="I398" s="100" t="s">
        <v>342</v>
      </c>
      <c r="J398" s="16" t="s">
        <v>101</v>
      </c>
      <c r="K398" s="16"/>
      <c r="L398" s="3" t="s">
        <v>102</v>
      </c>
      <c r="M398" s="3" t="s">
        <v>103</v>
      </c>
      <c r="N398" s="3" t="s">
        <v>104</v>
      </c>
      <c r="O398" s="16" t="s">
        <v>478</v>
      </c>
      <c r="P398" s="2" t="s">
        <v>2613</v>
      </c>
      <c r="Q398" s="2" t="s">
        <v>2613</v>
      </c>
      <c r="R398" s="2" t="s">
        <v>2613</v>
      </c>
      <c r="S398" t="s">
        <v>2609</v>
      </c>
      <c r="T398" s="130" t="s">
        <v>2582</v>
      </c>
      <c r="U398" s="50">
        <v>2</v>
      </c>
      <c r="V398" s="54"/>
      <c r="W398" s="54"/>
      <c r="X398" s="59" t="s">
        <v>108</v>
      </c>
      <c r="Y398" s="93">
        <f>IF(AD398=0, 0, IF(OR(H398="", H398&lt;&gt;0), 1, 0))</f>
        <v>1</v>
      </c>
      <c r="Z398" s="3">
        <v>0</v>
      </c>
      <c r="AA398" s="3" t="s">
        <v>2614</v>
      </c>
      <c r="AD398" s="6">
        <f>ROUND((AG398*(1+AJ398)),2)</f>
        <v>36.880000000000003</v>
      </c>
      <c r="AE398" s="69">
        <v>42.036457049999996</v>
      </c>
      <c r="AF398" s="17">
        <f>(AE398*1)</f>
        <v>42.036457049999996</v>
      </c>
      <c r="AG398" s="6">
        <f>ROUND((AE398*AI398),2)</f>
        <v>27.32</v>
      </c>
      <c r="AH398" s="30" t="s">
        <v>110</v>
      </c>
      <c r="AI398" s="3">
        <v>0.65</v>
      </c>
      <c r="AJ398" s="18">
        <v>0.35</v>
      </c>
      <c r="AK398" s="6">
        <f>ROUND((AD398-(AD398*BG398)),2)</f>
        <v>36.51</v>
      </c>
      <c r="AL398" s="6">
        <f>ROUND((AD398-(AD398*BH398)),2)</f>
        <v>36.14</v>
      </c>
      <c r="AM398" s="6">
        <f>ROUND((AD398-(AD398*BI398)),2)</f>
        <v>35.770000000000003</v>
      </c>
      <c r="AN398" s="6">
        <f>ROUND((AD398-(AD398*BJ398)),2)</f>
        <v>35.770000000000003</v>
      </c>
      <c r="AO398" s="6">
        <f>ROUND((AD398-(AD398*BK398)),2)</f>
        <v>36.880000000000003</v>
      </c>
      <c r="BG398" s="12">
        <v>0.01</v>
      </c>
      <c r="BH398" s="12">
        <v>0.02</v>
      </c>
      <c r="BI398" s="12">
        <v>0.03</v>
      </c>
      <c r="BJ398" s="12">
        <v>0.03</v>
      </c>
      <c r="CC398" s="3" t="str">
        <f>IF(B398&lt;&gt;"",CONCATENATE(SUBSTITUTE(B398," ","-"),".jpg"),"")</f>
        <v>Allied-Moulded-AMP443H.jpg</v>
      </c>
      <c r="CD398" s="16" t="s">
        <v>111</v>
      </c>
      <c r="CE398" s="3"/>
      <c r="CF398" s="3"/>
      <c r="CG398" s="3" t="s">
        <v>112</v>
      </c>
      <c r="CI398" s="3" t="s">
        <v>97</v>
      </c>
      <c r="CJ398" s="3" t="s">
        <v>481</v>
      </c>
      <c r="CK398" s="3" t="s">
        <v>114</v>
      </c>
      <c r="CL398" s="3" t="s">
        <v>115</v>
      </c>
      <c r="CM398" s="3" t="s">
        <v>116</v>
      </c>
      <c r="CN398" s="16" t="s">
        <v>349</v>
      </c>
      <c r="CO398" s="3" t="s">
        <v>482</v>
      </c>
      <c r="CP398" s="3" t="s">
        <v>139</v>
      </c>
      <c r="CQ398" s="3" t="s">
        <v>120</v>
      </c>
      <c r="CR398" s="3" t="s">
        <v>140</v>
      </c>
      <c r="CS398" s="3" t="s">
        <v>384</v>
      </c>
      <c r="CT398" s="16" t="s">
        <v>657</v>
      </c>
      <c r="CU398" s="16" t="s">
        <v>657</v>
      </c>
      <c r="CV398" s="16" t="s">
        <v>2584</v>
      </c>
    </row>
    <row r="399" spans="1:100" ht="15" customHeight="1">
      <c r="A399" t="s">
        <v>2615</v>
      </c>
      <c r="B399" s="3" t="s">
        <v>2616</v>
      </c>
      <c r="C399" s="16" t="s">
        <v>97</v>
      </c>
      <c r="D399" s="40" t="s">
        <v>2617</v>
      </c>
      <c r="E399" s="16" t="s">
        <v>97</v>
      </c>
      <c r="F399" s="131" t="s">
        <v>2618</v>
      </c>
      <c r="I399" s="100" t="s">
        <v>342</v>
      </c>
      <c r="J399" s="16" t="s">
        <v>101</v>
      </c>
      <c r="K399" s="16"/>
      <c r="L399" s="3" t="s">
        <v>102</v>
      </c>
      <c r="M399" s="3" t="s">
        <v>103</v>
      </c>
      <c r="N399" s="3" t="s">
        <v>104</v>
      </c>
      <c r="O399" s="16" t="s">
        <v>478</v>
      </c>
      <c r="P399" s="2" t="s">
        <v>2619</v>
      </c>
      <c r="Q399" s="2" t="s">
        <v>2619</v>
      </c>
      <c r="R399" s="2" t="s">
        <v>2619</v>
      </c>
      <c r="S399" t="s">
        <v>2615</v>
      </c>
      <c r="T399" s="130" t="s">
        <v>2582</v>
      </c>
      <c r="U399" s="51">
        <v>2</v>
      </c>
      <c r="V399" s="58"/>
      <c r="W399" s="58"/>
      <c r="X399" s="59" t="s">
        <v>108</v>
      </c>
      <c r="Y399" s="93">
        <f>IF(AD399=0, 0, IF(OR(H399="", H399&lt;&gt;0), 1, 0))</f>
        <v>1</v>
      </c>
      <c r="Z399" s="3">
        <v>0</v>
      </c>
      <c r="AA399" s="3" t="s">
        <v>2620</v>
      </c>
      <c r="AD399" s="6">
        <f>ROUND((AG399*(1+AJ399)),2)</f>
        <v>44.69</v>
      </c>
      <c r="AE399" s="69">
        <v>50.919612450000002</v>
      </c>
      <c r="AF399" s="17">
        <f>(AE399*1)</f>
        <v>50.919612450000002</v>
      </c>
      <c r="AG399" s="6">
        <f>ROUND((AE399*AI399),2)</f>
        <v>33.1</v>
      </c>
      <c r="AH399" s="30" t="s">
        <v>110</v>
      </c>
      <c r="AI399" s="3">
        <v>0.65</v>
      </c>
      <c r="AJ399" s="18">
        <v>0.35</v>
      </c>
      <c r="AK399" s="6">
        <f>ROUND((AD399-(AD399*BG399)),2)</f>
        <v>44.24</v>
      </c>
      <c r="AL399" s="6">
        <f>ROUND((AD399-(AD399*BH399)),2)</f>
        <v>43.8</v>
      </c>
      <c r="AM399" s="6">
        <f>ROUND((AD399-(AD399*BI399)),2)</f>
        <v>43.35</v>
      </c>
      <c r="AN399" s="6">
        <f>ROUND((AD399-(AD399*BJ399)),2)</f>
        <v>43.35</v>
      </c>
      <c r="AO399" s="6">
        <f>ROUND((AD399-(AD399*BK399)),2)</f>
        <v>44.69</v>
      </c>
      <c r="BG399" s="12">
        <v>0.01</v>
      </c>
      <c r="BH399" s="12">
        <v>0.02</v>
      </c>
      <c r="BI399" s="12">
        <v>0.03</v>
      </c>
      <c r="BJ399" s="12">
        <v>0.03</v>
      </c>
      <c r="CC399" s="3" t="str">
        <f>IF(B399&lt;&gt;"",CONCATENATE(SUBSTITUTE(B399," ","-"),".jpg"),"")</f>
        <v>Allied-Moulded-AMP443L.jpg</v>
      </c>
      <c r="CD399" s="16" t="s">
        <v>111</v>
      </c>
      <c r="CE399" s="3"/>
      <c r="CF399" s="3"/>
      <c r="CG399" s="3" t="s">
        <v>112</v>
      </c>
      <c r="CI399" s="3" t="s">
        <v>97</v>
      </c>
      <c r="CJ399" s="3" t="s">
        <v>481</v>
      </c>
      <c r="CK399" s="3" t="s">
        <v>114</v>
      </c>
      <c r="CL399" s="3" t="s">
        <v>115</v>
      </c>
      <c r="CM399" s="3" t="s">
        <v>116</v>
      </c>
      <c r="CN399" t="s">
        <v>117</v>
      </c>
      <c r="CO399" s="3" t="s">
        <v>482</v>
      </c>
      <c r="CP399" s="3" t="s">
        <v>139</v>
      </c>
      <c r="CQ399" s="3" t="s">
        <v>120</v>
      </c>
      <c r="CR399" s="3" t="s">
        <v>140</v>
      </c>
      <c r="CS399" s="16" t="s">
        <v>122</v>
      </c>
      <c r="CT399" s="16" t="s">
        <v>657</v>
      </c>
      <c r="CU399" s="16" t="s">
        <v>657</v>
      </c>
      <c r="CV399" s="16" t="s">
        <v>2584</v>
      </c>
    </row>
    <row r="400" spans="1:100" ht="15" customHeight="1">
      <c r="A400" t="s">
        <v>2621</v>
      </c>
      <c r="B400" s="3" t="s">
        <v>2622</v>
      </c>
      <c r="C400" s="16" t="s">
        <v>97</v>
      </c>
      <c r="D400" s="39" t="s">
        <v>2623</v>
      </c>
      <c r="E400" s="16" t="s">
        <v>97</v>
      </c>
      <c r="F400" s="131" t="s">
        <v>2624</v>
      </c>
      <c r="I400" s="100" t="s">
        <v>342</v>
      </c>
      <c r="J400" s="16" t="s">
        <v>101</v>
      </c>
      <c r="K400" s="16"/>
      <c r="L400" s="3" t="s">
        <v>102</v>
      </c>
      <c r="M400" s="3" t="s">
        <v>103</v>
      </c>
      <c r="N400" s="3" t="s">
        <v>104</v>
      </c>
      <c r="O400" s="16" t="s">
        <v>478</v>
      </c>
      <c r="P400" s="2" t="s">
        <v>2625</v>
      </c>
      <c r="Q400" s="2" t="s">
        <v>2625</v>
      </c>
      <c r="R400" s="2" t="s">
        <v>2625</v>
      </c>
      <c r="S400" t="s">
        <v>2621</v>
      </c>
      <c r="T400" s="130" t="s">
        <v>2582</v>
      </c>
      <c r="U400" s="50">
        <v>2</v>
      </c>
      <c r="V400" s="54"/>
      <c r="W400" s="54"/>
      <c r="X400" s="59" t="s">
        <v>108</v>
      </c>
      <c r="Y400" s="93">
        <f>IF(AD400=0, 0, IF(OR(H400="", H400&lt;&gt;0), 1, 0))</f>
        <v>1</v>
      </c>
      <c r="Z400" s="3">
        <v>0</v>
      </c>
      <c r="AA400" s="3" t="s">
        <v>2626</v>
      </c>
      <c r="AD400" s="6">
        <f>ROUND((AG400*(1+AJ400)),2)</f>
        <v>42.44</v>
      </c>
      <c r="AE400" s="69">
        <v>48.363801149999993</v>
      </c>
      <c r="AF400" s="17">
        <f>(AE400*1)</f>
        <v>48.363801149999993</v>
      </c>
      <c r="AG400" s="6">
        <f>ROUND((AE400*AI400),2)</f>
        <v>31.44</v>
      </c>
      <c r="AH400" s="30" t="s">
        <v>110</v>
      </c>
      <c r="AI400" s="3">
        <v>0.65</v>
      </c>
      <c r="AJ400" s="18">
        <v>0.35</v>
      </c>
      <c r="AK400" s="6">
        <f>ROUND((AD400-(AD400*BG400)),2)</f>
        <v>42.02</v>
      </c>
      <c r="AL400" s="6">
        <f>ROUND((AD400-(AD400*BH400)),2)</f>
        <v>41.59</v>
      </c>
      <c r="AM400" s="6">
        <f>ROUND((AD400-(AD400*BI400)),2)</f>
        <v>41.17</v>
      </c>
      <c r="AN400" s="6">
        <f>ROUND((AD400-(AD400*BJ400)),2)</f>
        <v>41.17</v>
      </c>
      <c r="AO400" s="6">
        <f>ROUND((AD400-(AD400*BK400)),2)</f>
        <v>42.44</v>
      </c>
      <c r="BG400" s="12">
        <v>0.01</v>
      </c>
      <c r="BH400" s="12">
        <v>0.02</v>
      </c>
      <c r="BI400" s="12">
        <v>0.03</v>
      </c>
      <c r="BJ400" s="12">
        <v>0.03</v>
      </c>
      <c r="CC400" s="3" t="str">
        <f>IF(B400&lt;&gt;"",CONCATENATE(SUBSTITUTE(B400," ","-"),".jpg"),"")</f>
        <v>Allied-Moulded-AMP443NL.jpg</v>
      </c>
      <c r="CD400" s="16" t="s">
        <v>111</v>
      </c>
      <c r="CE400" s="3"/>
      <c r="CF400" s="3"/>
      <c r="CG400" s="3" t="s">
        <v>112</v>
      </c>
      <c r="CI400" s="3" t="s">
        <v>97</v>
      </c>
      <c r="CJ400" s="3" t="s">
        <v>481</v>
      </c>
      <c r="CK400" s="3" t="s">
        <v>114</v>
      </c>
      <c r="CL400" s="3" t="s">
        <v>115</v>
      </c>
      <c r="CM400" s="3" t="s">
        <v>116</v>
      </c>
      <c r="CN400" t="s">
        <v>117</v>
      </c>
      <c r="CO400" s="3" t="s">
        <v>482</v>
      </c>
      <c r="CP400" s="3" t="s">
        <v>139</v>
      </c>
      <c r="CQ400" s="3" t="s">
        <v>120</v>
      </c>
      <c r="CR400" s="3" t="s">
        <v>140</v>
      </c>
      <c r="CS400" s="16" t="s">
        <v>122</v>
      </c>
      <c r="CT400" s="16" t="s">
        <v>657</v>
      </c>
      <c r="CU400" s="16" t="s">
        <v>657</v>
      </c>
      <c r="CV400" s="16" t="s">
        <v>2584</v>
      </c>
    </row>
    <row r="401" spans="1:100" ht="15" customHeight="1">
      <c r="A401" s="19" t="s">
        <v>2627</v>
      </c>
      <c r="B401" s="29" t="s">
        <v>2628</v>
      </c>
      <c r="C401" s="16" t="s">
        <v>97</v>
      </c>
      <c r="D401" s="19" t="s">
        <v>2629</v>
      </c>
      <c r="E401" s="16" t="s">
        <v>97</v>
      </c>
      <c r="F401" s="150" t="s">
        <v>2630</v>
      </c>
      <c r="I401" s="100" t="s">
        <v>342</v>
      </c>
      <c r="J401" s="16" t="s">
        <v>101</v>
      </c>
      <c r="K401" s="16"/>
      <c r="L401" s="3" t="s">
        <v>102</v>
      </c>
      <c r="M401" s="3" t="s">
        <v>103</v>
      </c>
      <c r="N401" s="3" t="s">
        <v>104</v>
      </c>
      <c r="O401" s="16" t="s">
        <v>343</v>
      </c>
      <c r="P401" s="105" t="s">
        <v>2631</v>
      </c>
      <c r="Q401" s="105" t="s">
        <v>2631</v>
      </c>
      <c r="R401" s="105" t="s">
        <v>2632</v>
      </c>
      <c r="S401" s="19" t="s">
        <v>2633</v>
      </c>
      <c r="T401" s="133" t="s">
        <v>2634</v>
      </c>
      <c r="U401" s="97">
        <v>2</v>
      </c>
      <c r="X401" s="31" t="s">
        <v>108</v>
      </c>
      <c r="Y401" s="93">
        <f>IF(AD401=0, 0, IF(OR(H401="", H401&lt;&gt;0), 1, 0))</f>
        <v>1</v>
      </c>
      <c r="Z401" s="3">
        <v>0</v>
      </c>
      <c r="AA401" s="3" t="s">
        <v>2635</v>
      </c>
      <c r="AD401" s="6">
        <f>ROUND((AG401*(1+AJ401)),2)</f>
        <v>60.3</v>
      </c>
      <c r="AE401" s="99">
        <v>68.715579649999995</v>
      </c>
      <c r="AF401" s="17">
        <f>(AE401*1)</f>
        <v>68.715579649999995</v>
      </c>
      <c r="AG401" s="6">
        <f>ROUND((AE401*AI401),2)</f>
        <v>44.67</v>
      </c>
      <c r="AH401" s="30" t="s">
        <v>110</v>
      </c>
      <c r="AI401" s="3">
        <v>0.65</v>
      </c>
      <c r="AJ401" s="18">
        <v>0.35</v>
      </c>
      <c r="AK401" s="6">
        <f>ROUND((AD401-(AD401*BG401)),2)</f>
        <v>59.7</v>
      </c>
      <c r="AL401" s="6">
        <f>ROUND((AD401-(AD401*BH401)),2)</f>
        <v>59.09</v>
      </c>
      <c r="AM401" s="6">
        <f>ROUND((AD401-(AD401*BI401)),2)</f>
        <v>58.49</v>
      </c>
      <c r="AN401" s="6">
        <f>ROUND((AD401-(AD401*BJ401)),2)</f>
        <v>58.49</v>
      </c>
      <c r="AO401" s="6">
        <f>ROUND((AD401-(AD401*BK401)),2)</f>
        <v>60.3</v>
      </c>
      <c r="BG401" s="12">
        <v>0.01</v>
      </c>
      <c r="BH401" s="12">
        <v>0.02</v>
      </c>
      <c r="BI401" s="12">
        <v>0.03</v>
      </c>
      <c r="BJ401" s="12">
        <v>0.03</v>
      </c>
      <c r="BK401" s="12"/>
      <c r="CC401" s="3" t="str">
        <f>IF(B401&lt;&gt;"",CONCATENATE(SUBSTITUTE(B401," ","-"),".jpg"),"")</f>
        <v>Allied-Moulded-AM743.jpg</v>
      </c>
      <c r="CD401" s="16" t="s">
        <v>111</v>
      </c>
      <c r="CE401" s="3"/>
      <c r="CF401" s="3"/>
      <c r="CG401" s="3" t="s">
        <v>112</v>
      </c>
      <c r="CI401" s="3" t="s">
        <v>97</v>
      </c>
      <c r="CJ401" s="16" t="s">
        <v>348</v>
      </c>
      <c r="CK401" s="3" t="s">
        <v>114</v>
      </c>
      <c r="CL401" s="3" t="s">
        <v>115</v>
      </c>
      <c r="CN401" s="16" t="s">
        <v>349</v>
      </c>
      <c r="CO401" s="16" t="s">
        <v>350</v>
      </c>
      <c r="CP401" s="3" t="s">
        <v>139</v>
      </c>
      <c r="CQ401" s="3" t="s">
        <v>120</v>
      </c>
      <c r="CR401" s="3" t="s">
        <v>140</v>
      </c>
      <c r="CS401" s="3" t="s">
        <v>384</v>
      </c>
      <c r="CT401" s="16" t="s">
        <v>2636</v>
      </c>
      <c r="CU401" s="16" t="s">
        <v>657</v>
      </c>
      <c r="CV401" s="16" t="s">
        <v>2584</v>
      </c>
    </row>
    <row r="402" spans="1:100" ht="15" customHeight="1">
      <c r="A402" s="19" t="s">
        <v>2637</v>
      </c>
      <c r="B402" s="29" t="s">
        <v>2638</v>
      </c>
      <c r="C402" s="16" t="s">
        <v>97</v>
      </c>
      <c r="D402" s="19" t="s">
        <v>2639</v>
      </c>
      <c r="E402" s="16" t="s">
        <v>97</v>
      </c>
      <c r="F402" s="150" t="s">
        <v>2640</v>
      </c>
      <c r="I402" s="100" t="s">
        <v>342</v>
      </c>
      <c r="J402" s="16" t="s">
        <v>101</v>
      </c>
      <c r="K402" s="16"/>
      <c r="L402" s="3" t="s">
        <v>102</v>
      </c>
      <c r="M402" s="3" t="s">
        <v>103</v>
      </c>
      <c r="N402" s="3" t="s">
        <v>104</v>
      </c>
      <c r="O402" s="16" t="s">
        <v>343</v>
      </c>
      <c r="P402" s="105" t="s">
        <v>2641</v>
      </c>
      <c r="Q402" s="105" t="s">
        <v>2641</v>
      </c>
      <c r="R402" s="105" t="s">
        <v>2642</v>
      </c>
      <c r="S402" s="19" t="s">
        <v>2643</v>
      </c>
      <c r="T402" s="133" t="s">
        <v>2644</v>
      </c>
      <c r="U402" s="97">
        <v>2</v>
      </c>
      <c r="X402" s="31" t="s">
        <v>108</v>
      </c>
      <c r="Y402" s="93">
        <f>IF(AD402=0, 0, IF(OR(H402="", H402&lt;&gt;0), 1, 0))</f>
        <v>1</v>
      </c>
      <c r="Z402" s="3">
        <v>0</v>
      </c>
      <c r="AA402" s="3" t="s">
        <v>2645</v>
      </c>
      <c r="AD402" s="6">
        <f>ROUND((AG402*(1+AJ402)),2)</f>
        <v>51.21</v>
      </c>
      <c r="AE402" s="99">
        <v>58.351053240000006</v>
      </c>
      <c r="AF402" s="17">
        <f>(AE402*1)</f>
        <v>58.351053240000006</v>
      </c>
      <c r="AG402" s="6">
        <f>ROUND((AE402*AI402),2)</f>
        <v>37.93</v>
      </c>
      <c r="AH402" s="30" t="s">
        <v>110</v>
      </c>
      <c r="AI402" s="3">
        <v>0.65</v>
      </c>
      <c r="AJ402" s="18">
        <v>0.35</v>
      </c>
      <c r="AK402" s="6">
        <f>ROUND((AD402-(AD402*BG402)),2)</f>
        <v>50.7</v>
      </c>
      <c r="AL402" s="6">
        <f>ROUND((AD402-(AD402*BH402)),2)</f>
        <v>50.19</v>
      </c>
      <c r="AM402" s="6">
        <f>ROUND((AD402-(AD402*BI402)),2)</f>
        <v>49.67</v>
      </c>
      <c r="AN402" s="6">
        <f>ROUND((AD402-(AD402*BJ402)),2)</f>
        <v>49.67</v>
      </c>
      <c r="AO402" s="6">
        <f>ROUND((AD402-(AD402*BK402)),2)</f>
        <v>51.21</v>
      </c>
      <c r="BG402" s="12">
        <v>0.01</v>
      </c>
      <c r="BH402" s="12">
        <v>0.02</v>
      </c>
      <c r="BI402" s="12">
        <v>0.03</v>
      </c>
      <c r="BJ402" s="12">
        <v>0.03</v>
      </c>
      <c r="BK402" s="12"/>
      <c r="CC402" s="3" t="str">
        <f>IF(B402&lt;&gt;"",CONCATENATE(SUBSTITUTE(B402," ","-"),".jpg"),"")</f>
        <v>Allied-Moulded-AM743SF.jpg</v>
      </c>
      <c r="CD402" s="16" t="s">
        <v>111</v>
      </c>
      <c r="CE402" s="3"/>
      <c r="CF402" s="3"/>
      <c r="CG402" s="3" t="s">
        <v>112</v>
      </c>
      <c r="CI402" s="3" t="s">
        <v>97</v>
      </c>
      <c r="CJ402" s="16" t="s">
        <v>348</v>
      </c>
      <c r="CK402" s="3" t="s">
        <v>114</v>
      </c>
      <c r="CL402" s="3" t="s">
        <v>115</v>
      </c>
      <c r="CN402" s="16" t="s">
        <v>349</v>
      </c>
      <c r="CO402" s="16" t="s">
        <v>350</v>
      </c>
      <c r="CP402" s="3" t="s">
        <v>139</v>
      </c>
      <c r="CQ402" s="3" t="s">
        <v>120</v>
      </c>
      <c r="CR402" s="3" t="s">
        <v>140</v>
      </c>
      <c r="CS402" s="3" t="s">
        <v>384</v>
      </c>
      <c r="CT402" s="16" t="s">
        <v>2636</v>
      </c>
      <c r="CU402" s="16" t="s">
        <v>657</v>
      </c>
      <c r="CV402" s="16" t="s">
        <v>2584</v>
      </c>
    </row>
    <row r="403" spans="1:100" ht="15" customHeight="1">
      <c r="A403" s="19" t="s">
        <v>2646</v>
      </c>
      <c r="B403" s="29" t="s">
        <v>2647</v>
      </c>
      <c r="C403" s="16" t="s">
        <v>97</v>
      </c>
      <c r="D403" s="19" t="s">
        <v>2648</v>
      </c>
      <c r="E403" s="16" t="s">
        <v>97</v>
      </c>
      <c r="F403" s="150" t="s">
        <v>2649</v>
      </c>
      <c r="I403" s="100" t="s">
        <v>342</v>
      </c>
      <c r="J403" s="16" t="s">
        <v>101</v>
      </c>
      <c r="K403" s="16"/>
      <c r="L403" s="3" t="s">
        <v>102</v>
      </c>
      <c r="M403" s="3" t="s">
        <v>103</v>
      </c>
      <c r="N403" s="3" t="s">
        <v>104</v>
      </c>
      <c r="O403" s="16" t="s">
        <v>343</v>
      </c>
      <c r="P403" s="105" t="s">
        <v>2650</v>
      </c>
      <c r="Q403" s="105" t="s">
        <v>2650</v>
      </c>
      <c r="R403" s="105" t="s">
        <v>2651</v>
      </c>
      <c r="S403" s="19" t="s">
        <v>2652</v>
      </c>
      <c r="T403" s="133" t="s">
        <v>2634</v>
      </c>
      <c r="U403" s="97">
        <v>2</v>
      </c>
      <c r="X403" s="31" t="s">
        <v>108</v>
      </c>
      <c r="Y403" s="93">
        <f>IF(AD403=0, 0, IF(OR(H403="", H403&lt;&gt;0), 1, 0))</f>
        <v>1</v>
      </c>
      <c r="Z403" s="3">
        <v>0</v>
      </c>
      <c r="AA403" s="3" t="s">
        <v>2653</v>
      </c>
      <c r="AD403" s="6">
        <f>ROUND((AG403*(1+AJ403)),2)</f>
        <v>65.33</v>
      </c>
      <c r="AE403" s="99">
        <v>74.452141990000001</v>
      </c>
      <c r="AF403" s="17">
        <f>(AE403*1)</f>
        <v>74.452141990000001</v>
      </c>
      <c r="AG403" s="6">
        <f>ROUND((AE403*AI403),2)</f>
        <v>48.39</v>
      </c>
      <c r="AH403" s="30" t="s">
        <v>110</v>
      </c>
      <c r="AI403" s="3">
        <v>0.65</v>
      </c>
      <c r="AJ403" s="18">
        <v>0.35</v>
      </c>
      <c r="AK403" s="6">
        <f>ROUND((AD403-(AD403*BG403)),2)</f>
        <v>64.680000000000007</v>
      </c>
      <c r="AL403" s="6">
        <f>ROUND((AD403-(AD403*BH403)),2)</f>
        <v>64.02</v>
      </c>
      <c r="AM403" s="6">
        <f>ROUND((AD403-(AD403*BI403)),2)</f>
        <v>63.37</v>
      </c>
      <c r="AN403" s="6">
        <f>ROUND((AD403-(AD403*BJ403)),2)</f>
        <v>63.37</v>
      </c>
      <c r="AO403" s="6">
        <f>ROUND((AD403-(AD403*BK403)),2)</f>
        <v>65.33</v>
      </c>
      <c r="BG403" s="12">
        <v>0.01</v>
      </c>
      <c r="BH403" s="12">
        <v>0.02</v>
      </c>
      <c r="BI403" s="12">
        <v>0.03</v>
      </c>
      <c r="BJ403" s="12">
        <v>0.03</v>
      </c>
      <c r="BK403" s="12"/>
      <c r="CC403" s="3" t="str">
        <f>IF(B403&lt;&gt;"",CONCATENATE(SUBSTITUTE(B403," ","-"),".jpg"),"")</f>
        <v>Allied-Moulded-AM943.jpg</v>
      </c>
      <c r="CD403" s="16" t="s">
        <v>111</v>
      </c>
      <c r="CE403" s="3"/>
      <c r="CF403" s="3"/>
      <c r="CG403" s="3" t="s">
        <v>112</v>
      </c>
      <c r="CI403" s="3" t="s">
        <v>97</v>
      </c>
      <c r="CJ403" s="16" t="s">
        <v>348</v>
      </c>
      <c r="CK403" s="3" t="s">
        <v>114</v>
      </c>
      <c r="CL403" s="3" t="s">
        <v>115</v>
      </c>
      <c r="CN403" s="16" t="s">
        <v>349</v>
      </c>
      <c r="CO403" s="16" t="s">
        <v>350</v>
      </c>
      <c r="CP403" s="3" t="s">
        <v>139</v>
      </c>
      <c r="CQ403" s="3" t="s">
        <v>120</v>
      </c>
      <c r="CR403" s="3" t="s">
        <v>140</v>
      </c>
      <c r="CS403" s="3" t="s">
        <v>384</v>
      </c>
      <c r="CT403" s="16" t="s">
        <v>2654</v>
      </c>
      <c r="CU403" s="16" t="s">
        <v>657</v>
      </c>
      <c r="CV403" s="16" t="s">
        <v>2584</v>
      </c>
    </row>
    <row r="404" spans="1:100" ht="15" customHeight="1">
      <c r="A404" s="19" t="s">
        <v>2655</v>
      </c>
      <c r="B404" s="29" t="s">
        <v>2656</v>
      </c>
      <c r="C404" s="16" t="s">
        <v>97</v>
      </c>
      <c r="D404" s="19" t="s">
        <v>2657</v>
      </c>
      <c r="E404" s="16" t="s">
        <v>97</v>
      </c>
      <c r="F404" s="150" t="s">
        <v>2658</v>
      </c>
      <c r="I404" s="100" t="s">
        <v>342</v>
      </c>
      <c r="J404" s="16" t="s">
        <v>101</v>
      </c>
      <c r="K404" s="16"/>
      <c r="L404" s="3" t="s">
        <v>102</v>
      </c>
      <c r="M404" s="3" t="s">
        <v>103</v>
      </c>
      <c r="N404" s="3" t="s">
        <v>104</v>
      </c>
      <c r="O404" s="16" t="s">
        <v>343</v>
      </c>
      <c r="P404" s="105" t="s">
        <v>2659</v>
      </c>
      <c r="Q404" s="105" t="s">
        <v>2659</v>
      </c>
      <c r="R404" s="105" t="s">
        <v>2660</v>
      </c>
      <c r="S404" s="19" t="s">
        <v>2661</v>
      </c>
      <c r="T404" s="133" t="s">
        <v>2662</v>
      </c>
      <c r="U404" s="97">
        <v>2</v>
      </c>
      <c r="X404" s="31" t="s">
        <v>108</v>
      </c>
      <c r="Y404" s="93">
        <f>IF(AD404=0, 0, IF(OR(H404="", H404&lt;&gt;0), 1, 0))</f>
        <v>1</v>
      </c>
      <c r="Z404" s="3">
        <v>0</v>
      </c>
      <c r="AA404" s="3" t="s">
        <v>2663</v>
      </c>
      <c r="AD404" s="6">
        <f>ROUND((AG404*(1+AJ404)),2)</f>
        <v>56.35</v>
      </c>
      <c r="AE404" s="99">
        <v>64.210794309999997</v>
      </c>
      <c r="AF404" s="17">
        <f>(AE404*1)</f>
        <v>64.210794309999997</v>
      </c>
      <c r="AG404" s="6">
        <f>ROUND((AE404*AI404),2)</f>
        <v>41.74</v>
      </c>
      <c r="AH404" s="30" t="s">
        <v>110</v>
      </c>
      <c r="AI404" s="3">
        <v>0.65</v>
      </c>
      <c r="AJ404" s="18">
        <v>0.35</v>
      </c>
      <c r="AK404" s="6">
        <f>ROUND((AD404-(AD404*BG404)),2)</f>
        <v>55.79</v>
      </c>
      <c r="AL404" s="6">
        <f>ROUND((AD404-(AD404*BH404)),2)</f>
        <v>55.22</v>
      </c>
      <c r="AM404" s="6">
        <f>ROUND((AD404-(AD404*BI404)),2)</f>
        <v>54.66</v>
      </c>
      <c r="AN404" s="6">
        <f>ROUND((AD404-(AD404*BJ404)),2)</f>
        <v>54.66</v>
      </c>
      <c r="AO404" s="6">
        <f>ROUND((AD404-(AD404*BK404)),2)</f>
        <v>56.35</v>
      </c>
      <c r="BG404" s="12">
        <v>0.01</v>
      </c>
      <c r="BH404" s="12">
        <v>0.02</v>
      </c>
      <c r="BI404" s="12">
        <v>0.03</v>
      </c>
      <c r="BJ404" s="12">
        <v>0.03</v>
      </c>
      <c r="BK404" s="12"/>
      <c r="CC404" s="3" t="str">
        <f>IF(B404&lt;&gt;"",CONCATENATE(SUBSTITUTE(B404," ","-"),".jpg"),"")</f>
        <v>Allied-Moulded-AM943SF.jpg</v>
      </c>
      <c r="CD404" s="16" t="s">
        <v>111</v>
      </c>
      <c r="CE404" s="3"/>
      <c r="CF404" s="3"/>
      <c r="CG404" s="3" t="s">
        <v>112</v>
      </c>
      <c r="CI404" s="3" t="s">
        <v>97</v>
      </c>
      <c r="CJ404" s="16" t="s">
        <v>348</v>
      </c>
      <c r="CK404" s="3" t="s">
        <v>114</v>
      </c>
      <c r="CL404" s="3" t="s">
        <v>115</v>
      </c>
      <c r="CN404" s="16" t="s">
        <v>349</v>
      </c>
      <c r="CO404" s="16" t="s">
        <v>350</v>
      </c>
      <c r="CP404" s="3" t="s">
        <v>139</v>
      </c>
      <c r="CQ404" s="3" t="s">
        <v>120</v>
      </c>
      <c r="CR404" s="3" t="s">
        <v>140</v>
      </c>
      <c r="CS404" s="3" t="s">
        <v>384</v>
      </c>
      <c r="CT404" s="16" t="s">
        <v>2654</v>
      </c>
      <c r="CU404" s="16" t="s">
        <v>657</v>
      </c>
      <c r="CV404" s="16" t="s">
        <v>2584</v>
      </c>
    </row>
    <row r="405" spans="1:100" ht="15" customHeight="1">
      <c r="A405" t="s">
        <v>2664</v>
      </c>
      <c r="B405" s="3" t="s">
        <v>2665</v>
      </c>
      <c r="C405" s="16" t="s">
        <v>97</v>
      </c>
      <c r="D405" s="40" t="s">
        <v>2666</v>
      </c>
      <c r="E405" s="16" t="s">
        <v>97</v>
      </c>
      <c r="F405" s="131" t="s">
        <v>2667</v>
      </c>
      <c r="I405" s="100" t="s">
        <v>342</v>
      </c>
      <c r="J405" s="16" t="s">
        <v>101</v>
      </c>
      <c r="K405" s="16"/>
      <c r="L405" s="3" t="s">
        <v>102</v>
      </c>
      <c r="M405" s="3" t="s">
        <v>103</v>
      </c>
      <c r="N405" s="3" t="s">
        <v>104</v>
      </c>
      <c r="O405" s="16" t="s">
        <v>105</v>
      </c>
      <c r="P405" s="3" t="s">
        <v>2668</v>
      </c>
      <c r="Q405" s="3" t="s">
        <v>2668</v>
      </c>
      <c r="R405" s="3" t="s">
        <v>2668</v>
      </c>
      <c r="S405" t="s">
        <v>2664</v>
      </c>
      <c r="T405" s="130" t="s">
        <v>107</v>
      </c>
      <c r="U405" s="51">
        <v>4</v>
      </c>
      <c r="V405" s="58"/>
      <c r="W405" s="58"/>
      <c r="X405" s="59" t="s">
        <v>108</v>
      </c>
      <c r="Y405" s="93">
        <f>IF(AD405=0, 0, IF(OR(H405="", H405&lt;&gt;0), 1, 0))</f>
        <v>1</v>
      </c>
      <c r="Z405" s="3">
        <v>0</v>
      </c>
      <c r="AA405" s="3" t="s">
        <v>2669</v>
      </c>
      <c r="AD405" s="6">
        <f>ROUND((AG405*(1+AJ405)),2)</f>
        <v>80.959999999999994</v>
      </c>
      <c r="AE405" s="69">
        <v>92.260126139999997</v>
      </c>
      <c r="AF405" s="17">
        <f>(AE405*1)</f>
        <v>92.260126139999997</v>
      </c>
      <c r="AG405" s="6">
        <f>ROUND((AE405*AI405),2)</f>
        <v>59.97</v>
      </c>
      <c r="AH405" s="30" t="s">
        <v>110</v>
      </c>
      <c r="AI405" s="3">
        <v>0.65</v>
      </c>
      <c r="AJ405" s="18">
        <v>0.35</v>
      </c>
      <c r="AK405" s="6">
        <f>ROUND((AD405-(AD405*BG405)),2)</f>
        <v>80.150000000000006</v>
      </c>
      <c r="AL405" s="6">
        <f>ROUND((AD405-(AD405*BH405)),2)</f>
        <v>79.34</v>
      </c>
      <c r="AM405" s="6">
        <f>ROUND((AD405-(AD405*BI405)),2)</f>
        <v>78.53</v>
      </c>
      <c r="AN405" s="6">
        <f>ROUND((AD405-(AD405*BJ405)),2)</f>
        <v>78.53</v>
      </c>
      <c r="AO405" s="6">
        <f>ROUND((AD405-(AD405*BK405)),2)</f>
        <v>80.959999999999994</v>
      </c>
      <c r="BG405" s="12">
        <v>0.01</v>
      </c>
      <c r="BH405" s="12">
        <v>0.02</v>
      </c>
      <c r="BI405" s="12">
        <v>0.03</v>
      </c>
      <c r="BJ405" s="12">
        <v>0.03</v>
      </c>
      <c r="CC405" s="3" t="str">
        <f>IF(B405&lt;&gt;"",CONCATENATE(SUBSTITUTE(B405," ","-"),".jpg"),"")</f>
        <v>Allied-Moulded-AM664R.jpg</v>
      </c>
      <c r="CD405" s="16" t="s">
        <v>111</v>
      </c>
      <c r="CE405" s="3"/>
      <c r="CF405" s="3"/>
      <c r="CG405" s="3" t="s">
        <v>112</v>
      </c>
      <c r="CI405" s="3" t="s">
        <v>97</v>
      </c>
      <c r="CJ405" s="3" t="s">
        <v>383</v>
      </c>
      <c r="CK405" s="3" t="s">
        <v>114</v>
      </c>
      <c r="CL405" s="3" t="s">
        <v>115</v>
      </c>
      <c r="CM405" s="16"/>
      <c r="CN405" s="16" t="s">
        <v>349</v>
      </c>
      <c r="CO405" s="3" t="s">
        <v>118</v>
      </c>
      <c r="CP405" s="3" t="s">
        <v>139</v>
      </c>
      <c r="CQ405" s="3" t="s">
        <v>120</v>
      </c>
      <c r="CR405" s="3" t="s">
        <v>140</v>
      </c>
      <c r="CS405" s="3" t="s">
        <v>384</v>
      </c>
      <c r="CT405" s="16" t="s">
        <v>351</v>
      </c>
      <c r="CU405" s="16" t="s">
        <v>351</v>
      </c>
      <c r="CV405" s="16" t="s">
        <v>351</v>
      </c>
    </row>
    <row r="406" spans="1:100" ht="15" customHeight="1">
      <c r="A406" t="s">
        <v>2670</v>
      </c>
      <c r="B406" s="3" t="s">
        <v>2671</v>
      </c>
      <c r="C406" s="16" t="s">
        <v>97</v>
      </c>
      <c r="D406" s="39" t="s">
        <v>2672</v>
      </c>
      <c r="E406" s="16" t="s">
        <v>97</v>
      </c>
      <c r="F406" s="131" t="s">
        <v>2673</v>
      </c>
      <c r="I406" s="100" t="s">
        <v>342</v>
      </c>
      <c r="J406" s="16" t="s">
        <v>101</v>
      </c>
      <c r="K406" s="16"/>
      <c r="L406" s="3" t="s">
        <v>102</v>
      </c>
      <c r="M406" s="3" t="s">
        <v>103</v>
      </c>
      <c r="N406" s="3" t="s">
        <v>104</v>
      </c>
      <c r="O406" s="16" t="s">
        <v>105</v>
      </c>
      <c r="P406" s="3" t="s">
        <v>2674</v>
      </c>
      <c r="Q406" s="3" t="s">
        <v>2674</v>
      </c>
      <c r="R406" s="3" t="s">
        <v>2674</v>
      </c>
      <c r="S406" t="s">
        <v>2670</v>
      </c>
      <c r="T406" s="130" t="s">
        <v>107</v>
      </c>
      <c r="U406" s="34">
        <v>4</v>
      </c>
      <c r="V406" s="39"/>
      <c r="W406" s="39"/>
      <c r="X406" s="59" t="s">
        <v>108</v>
      </c>
      <c r="Y406" s="93">
        <f>IF(AD406=0, 0, IF(OR(H406="", H406&lt;&gt;0), 1, 0))</f>
        <v>1</v>
      </c>
      <c r="Z406" s="3">
        <v>0</v>
      </c>
      <c r="AA406" s="3" t="s">
        <v>2675</v>
      </c>
      <c r="AD406" s="6">
        <f>ROUND((AG406*(1+AJ406)),2)</f>
        <v>137.03</v>
      </c>
      <c r="AE406" s="69">
        <v>156.15468676</v>
      </c>
      <c r="AF406" s="17">
        <f>(AE406*1)</f>
        <v>156.15468676</v>
      </c>
      <c r="AG406" s="6">
        <f>ROUND((AE406*AI406),2)</f>
        <v>101.5</v>
      </c>
      <c r="AH406" s="30" t="s">
        <v>110</v>
      </c>
      <c r="AI406" s="3">
        <v>0.65</v>
      </c>
      <c r="AJ406" s="18">
        <v>0.35</v>
      </c>
      <c r="AK406" s="6">
        <f>ROUND((AD406-(AD406*BG406)),2)</f>
        <v>135.66</v>
      </c>
      <c r="AL406" s="6">
        <f>ROUND((AD406-(AD406*BH406)),2)</f>
        <v>134.29</v>
      </c>
      <c r="AM406" s="6">
        <f>ROUND((AD406-(AD406*BI406)),2)</f>
        <v>132.91999999999999</v>
      </c>
      <c r="AN406" s="6">
        <f>ROUND((AD406-(AD406*BJ406)),2)</f>
        <v>132.91999999999999</v>
      </c>
      <c r="AO406" s="6">
        <f>ROUND((AD406-(AD406*BK406)),2)</f>
        <v>137.03</v>
      </c>
      <c r="BG406" s="12">
        <v>0.01</v>
      </c>
      <c r="BH406" s="12">
        <v>0.02</v>
      </c>
      <c r="BI406" s="12">
        <v>0.03</v>
      </c>
      <c r="BJ406" s="12">
        <v>0.03</v>
      </c>
      <c r="CC406" s="3" t="str">
        <f>IF(B406&lt;&gt;"",CONCATENATE(SUBSTITUTE(B406," ","-"),".jpg"),"")</f>
        <v>Allied-Moulded-AM664RHW.jpg</v>
      </c>
      <c r="CD406" s="16" t="s">
        <v>111</v>
      </c>
      <c r="CE406" s="3"/>
      <c r="CF406" s="3"/>
      <c r="CG406" s="3" t="s">
        <v>112</v>
      </c>
      <c r="CI406" s="3" t="s">
        <v>97</v>
      </c>
      <c r="CJ406" s="3" t="s">
        <v>383</v>
      </c>
      <c r="CK406" s="3" t="s">
        <v>114</v>
      </c>
      <c r="CL406" s="3" t="s">
        <v>115</v>
      </c>
      <c r="CO406" s="3" t="s">
        <v>118</v>
      </c>
      <c r="CP406" s="3" t="s">
        <v>139</v>
      </c>
      <c r="CQ406" s="3" t="s">
        <v>120</v>
      </c>
      <c r="CR406" s="16" t="s">
        <v>121</v>
      </c>
      <c r="CS406" s="3" t="s">
        <v>384</v>
      </c>
      <c r="CT406" s="16" t="s">
        <v>351</v>
      </c>
      <c r="CU406" s="16" t="s">
        <v>351</v>
      </c>
      <c r="CV406" s="16" t="s">
        <v>351</v>
      </c>
    </row>
    <row r="407" spans="1:100" ht="15" customHeight="1">
      <c r="A407" t="s">
        <v>2676</v>
      </c>
      <c r="B407" s="3" t="s">
        <v>2677</v>
      </c>
      <c r="C407" s="16" t="s">
        <v>97</v>
      </c>
      <c r="D407" s="47" t="s">
        <v>2678</v>
      </c>
      <c r="E407" s="16" t="s">
        <v>97</v>
      </c>
      <c r="F407" s="131" t="s">
        <v>2679</v>
      </c>
      <c r="I407" s="100" t="s">
        <v>342</v>
      </c>
      <c r="J407" s="16" t="s">
        <v>101</v>
      </c>
      <c r="K407" s="16"/>
      <c r="L407" s="3" t="s">
        <v>102</v>
      </c>
      <c r="M407" s="3" t="s">
        <v>103</v>
      </c>
      <c r="N407" s="3" t="s">
        <v>104</v>
      </c>
      <c r="O407" s="16" t="s">
        <v>105</v>
      </c>
      <c r="P407" s="3" t="s">
        <v>2680</v>
      </c>
      <c r="Q407" s="3" t="s">
        <v>2680</v>
      </c>
      <c r="R407" s="3" t="s">
        <v>2680</v>
      </c>
      <c r="S407" t="s">
        <v>2676</v>
      </c>
      <c r="T407" s="130" t="s">
        <v>107</v>
      </c>
      <c r="U407" s="34">
        <v>4</v>
      </c>
      <c r="V407" s="39"/>
      <c r="W407" s="39"/>
      <c r="X407" s="59" t="s">
        <v>108</v>
      </c>
      <c r="Y407" s="93">
        <f>IF(AD407=0, 0, IF(OR(H407="", H407&lt;&gt;0), 1, 0))</f>
        <v>1</v>
      </c>
      <c r="Z407" s="3">
        <v>0</v>
      </c>
      <c r="AA407" s="3" t="s">
        <v>2681</v>
      </c>
      <c r="AD407" s="6">
        <f>ROUND((AG407*(1+AJ407)),2)</f>
        <v>158.04</v>
      </c>
      <c r="AE407" s="69">
        <v>180.10259361000001</v>
      </c>
      <c r="AF407" s="17">
        <f>(AE407*1)</f>
        <v>180.10259361000001</v>
      </c>
      <c r="AG407" s="6">
        <f>ROUND((AE407*AI407),2)</f>
        <v>117.07</v>
      </c>
      <c r="AH407" s="30" t="s">
        <v>110</v>
      </c>
      <c r="AI407" s="3">
        <v>0.65</v>
      </c>
      <c r="AJ407" s="18">
        <v>0.35</v>
      </c>
      <c r="AK407" s="6">
        <f>ROUND((AD407-(AD407*BG407)),2)</f>
        <v>156.46</v>
      </c>
      <c r="AL407" s="6">
        <f>ROUND((AD407-(AD407*BH407)),2)</f>
        <v>154.88</v>
      </c>
      <c r="AM407" s="6">
        <f>ROUND((AD407-(AD407*BI407)),2)</f>
        <v>153.30000000000001</v>
      </c>
      <c r="AN407" s="6">
        <f>ROUND((AD407-(AD407*BJ407)),2)</f>
        <v>153.30000000000001</v>
      </c>
      <c r="AO407" s="6">
        <f>ROUND((AD407-(AD407*BK407)),2)</f>
        <v>158.04</v>
      </c>
      <c r="BG407" s="12">
        <v>0.01</v>
      </c>
      <c r="BH407" s="12">
        <v>0.02</v>
      </c>
      <c r="BI407" s="12">
        <v>0.03</v>
      </c>
      <c r="BJ407" s="12">
        <v>0.03</v>
      </c>
      <c r="CC407" s="3" t="str">
        <f>IF(B407&lt;&gt;"",CONCATENATE(SUBSTITUTE(B407," ","-"),".jpg"),"")</f>
        <v>Allied-Moulded-AM664RLW.jpg</v>
      </c>
      <c r="CD407" s="16" t="s">
        <v>111</v>
      </c>
      <c r="CE407" s="3"/>
      <c r="CF407" s="3"/>
      <c r="CG407" s="3" t="s">
        <v>112</v>
      </c>
      <c r="CI407" s="3" t="s">
        <v>97</v>
      </c>
      <c r="CJ407" s="3" t="s">
        <v>383</v>
      </c>
      <c r="CK407" s="3" t="s">
        <v>114</v>
      </c>
      <c r="CL407" s="3" t="s">
        <v>115</v>
      </c>
      <c r="CM407" s="3" t="s">
        <v>116</v>
      </c>
      <c r="CN407" t="s">
        <v>117</v>
      </c>
      <c r="CO407" s="3" t="s">
        <v>118</v>
      </c>
      <c r="CP407" s="3" t="s">
        <v>139</v>
      </c>
      <c r="CQ407" s="3" t="s">
        <v>120</v>
      </c>
      <c r="CR407" s="16" t="s">
        <v>121</v>
      </c>
      <c r="CS407" s="16" t="s">
        <v>122</v>
      </c>
      <c r="CT407" s="16" t="s">
        <v>351</v>
      </c>
      <c r="CU407" s="16" t="s">
        <v>351</v>
      </c>
      <c r="CV407" s="16" t="s">
        <v>351</v>
      </c>
    </row>
    <row r="408" spans="1:100" ht="15" customHeight="1">
      <c r="A408" t="s">
        <v>2682</v>
      </c>
      <c r="B408" s="3" t="s">
        <v>2683</v>
      </c>
      <c r="C408" s="16" t="s">
        <v>97</v>
      </c>
      <c r="D408" s="40" t="s">
        <v>2684</v>
      </c>
      <c r="E408" s="16" t="s">
        <v>97</v>
      </c>
      <c r="F408" s="131" t="s">
        <v>2685</v>
      </c>
      <c r="I408" s="100" t="s">
        <v>342</v>
      </c>
      <c r="J408" s="16" t="s">
        <v>101</v>
      </c>
      <c r="K408" s="16"/>
      <c r="L408" s="3" t="s">
        <v>102</v>
      </c>
      <c r="M408" s="3" t="s">
        <v>103</v>
      </c>
      <c r="N408" s="3" t="s">
        <v>104</v>
      </c>
      <c r="O408" s="16" t="s">
        <v>105</v>
      </c>
      <c r="P408" s="3" t="s">
        <v>2686</v>
      </c>
      <c r="Q408" s="3" t="s">
        <v>2686</v>
      </c>
      <c r="R408" s="3" t="s">
        <v>2686</v>
      </c>
      <c r="S408" t="s">
        <v>2682</v>
      </c>
      <c r="T408" s="130" t="s">
        <v>107</v>
      </c>
      <c r="U408" s="51">
        <v>4</v>
      </c>
      <c r="V408" s="58"/>
      <c r="W408" s="58"/>
      <c r="X408" s="59" t="s">
        <v>108</v>
      </c>
      <c r="Y408" s="93">
        <f>IF(AD408=0, 0, IF(OR(H408="", H408&lt;&gt;0), 1, 0))</f>
        <v>1</v>
      </c>
      <c r="Z408" s="3">
        <v>0</v>
      </c>
      <c r="AA408" s="3" t="s">
        <v>2687</v>
      </c>
      <c r="AD408" s="6">
        <f>ROUND((AG408*(1+AJ408)),2)</f>
        <v>158.04</v>
      </c>
      <c r="AE408" s="69">
        <v>180.10259361000001</v>
      </c>
      <c r="AF408" s="17">
        <f>(AE408*1)</f>
        <v>180.10259361000001</v>
      </c>
      <c r="AG408" s="6">
        <f>ROUND((AE408*AI408),2)</f>
        <v>117.07</v>
      </c>
      <c r="AH408" s="30" t="s">
        <v>110</v>
      </c>
      <c r="AI408" s="3">
        <v>0.65</v>
      </c>
      <c r="AJ408" s="18">
        <v>0.35</v>
      </c>
      <c r="AK408" s="6">
        <f>ROUND((AD408-(AD408*BG408)),2)</f>
        <v>156.46</v>
      </c>
      <c r="AL408" s="6">
        <f>ROUND((AD408-(AD408*BH408)),2)</f>
        <v>154.88</v>
      </c>
      <c r="AM408" s="6">
        <f>ROUND((AD408-(AD408*BI408)),2)</f>
        <v>153.30000000000001</v>
      </c>
      <c r="AN408" s="6">
        <f>ROUND((AD408-(AD408*BJ408)),2)</f>
        <v>153.30000000000001</v>
      </c>
      <c r="AO408" s="6">
        <f>ROUND((AD408-(AD408*BK408)),2)</f>
        <v>158.04</v>
      </c>
      <c r="BG408" s="12">
        <v>0.01</v>
      </c>
      <c r="BH408" s="12">
        <v>0.02</v>
      </c>
      <c r="BI408" s="12">
        <v>0.03</v>
      </c>
      <c r="BJ408" s="12">
        <v>0.03</v>
      </c>
      <c r="CC408" s="3" t="str">
        <f>IF(B408&lt;&gt;"",CONCATENATE(SUBSTITUTE(B408," ","-"),".jpg"),"")</f>
        <v>Allied-Moulded-AM664RTW.jpg</v>
      </c>
      <c r="CD408" s="16" t="s">
        <v>111</v>
      </c>
      <c r="CE408" s="3"/>
      <c r="CF408" s="3"/>
      <c r="CG408" s="3" t="s">
        <v>112</v>
      </c>
      <c r="CI408" s="3" t="s">
        <v>97</v>
      </c>
      <c r="CJ408" s="3" t="s">
        <v>383</v>
      </c>
      <c r="CK408" s="3" t="s">
        <v>114</v>
      </c>
      <c r="CL408" s="3" t="s">
        <v>115</v>
      </c>
      <c r="CM408" s="3" t="s">
        <v>116</v>
      </c>
      <c r="CN408" s="16" t="s">
        <v>132</v>
      </c>
      <c r="CO408" s="3" t="s">
        <v>118</v>
      </c>
      <c r="CP408" s="3" t="s">
        <v>139</v>
      </c>
      <c r="CQ408" s="3" t="s">
        <v>120</v>
      </c>
      <c r="CR408" s="16" t="s">
        <v>121</v>
      </c>
      <c r="CS408" s="16" t="s">
        <v>122</v>
      </c>
      <c r="CT408" s="16" t="s">
        <v>351</v>
      </c>
      <c r="CU408" s="16" t="s">
        <v>351</v>
      </c>
      <c r="CV408" s="16" t="s">
        <v>351</v>
      </c>
    </row>
    <row r="409" spans="1:100" ht="15" customHeight="1">
      <c r="A409" s="86" t="s">
        <v>2688</v>
      </c>
      <c r="B409" s="80" t="s">
        <v>2689</v>
      </c>
      <c r="C409" s="16" t="s">
        <v>97</v>
      </c>
      <c r="D409" s="80" t="s">
        <v>2690</v>
      </c>
      <c r="E409" s="16" t="s">
        <v>97</v>
      </c>
      <c r="F409" s="150" t="s">
        <v>2691</v>
      </c>
      <c r="I409" s="100" t="s">
        <v>342</v>
      </c>
      <c r="J409" s="16" t="s">
        <v>101</v>
      </c>
      <c r="K409" s="16"/>
      <c r="L409" s="3" t="s">
        <v>102</v>
      </c>
      <c r="M409" s="3" t="s">
        <v>103</v>
      </c>
      <c r="N409" s="3" t="s">
        <v>104</v>
      </c>
      <c r="O409" s="16" t="s">
        <v>343</v>
      </c>
      <c r="P409" s="80" t="s">
        <v>2692</v>
      </c>
      <c r="Q409" s="80" t="s">
        <v>2692</v>
      </c>
      <c r="R409" s="80" t="s">
        <v>2693</v>
      </c>
      <c r="S409" s="80" t="s">
        <v>2694</v>
      </c>
      <c r="T409" s="132" t="s">
        <v>107</v>
      </c>
      <c r="U409" s="97">
        <v>3</v>
      </c>
      <c r="X409" s="31" t="s">
        <v>108</v>
      </c>
      <c r="Y409" s="93">
        <f>IF(AD409=0, 0, IF(OR(H409="", H409&lt;&gt;0), 1, 0))</f>
        <v>1</v>
      </c>
      <c r="Z409" s="3">
        <v>0</v>
      </c>
      <c r="AA409" s="3" t="s">
        <v>2695</v>
      </c>
      <c r="AD409" s="6">
        <f>ROUND((AG409*(1+AJ409)),2)</f>
        <v>75.64</v>
      </c>
      <c r="AE409" s="99">
        <v>86.206819229999994</v>
      </c>
      <c r="AF409" s="17">
        <f>(AE409*1)</f>
        <v>86.206819229999994</v>
      </c>
      <c r="AG409" s="6">
        <f>ROUND((AE409*AI409),2)</f>
        <v>56.03</v>
      </c>
      <c r="AH409" s="30" t="s">
        <v>110</v>
      </c>
      <c r="AI409" s="3">
        <v>0.65</v>
      </c>
      <c r="AJ409" s="18">
        <v>0.35</v>
      </c>
      <c r="AK409" s="6">
        <f>ROUND((AD409-(AD409*BG409)),2)</f>
        <v>74.88</v>
      </c>
      <c r="AL409" s="6">
        <f>ROUND((AD409-(AD409*BH409)),2)</f>
        <v>74.13</v>
      </c>
      <c r="AM409" s="6">
        <f>ROUND((AD409-(AD409*BI409)),2)</f>
        <v>73.37</v>
      </c>
      <c r="AN409" s="6">
        <f>ROUND((AD409-(AD409*BJ409)),2)</f>
        <v>73.37</v>
      </c>
      <c r="AO409" s="6">
        <f>ROUND((AD409-(AD409*BK409)),2)</f>
        <v>75.64</v>
      </c>
      <c r="BG409" s="12">
        <v>0.01</v>
      </c>
      <c r="BH409" s="12">
        <v>0.02</v>
      </c>
      <c r="BI409" s="12">
        <v>0.03</v>
      </c>
      <c r="BJ409" s="12">
        <v>0.03</v>
      </c>
      <c r="BK409" s="12"/>
      <c r="CC409" s="3" t="str">
        <f>IF(B409&lt;&gt;"",CONCATENATE(SUBSTITUTE(B409," ","-"),".jpg"),"")</f>
        <v>Allied-Moulded-AM664.jpg</v>
      </c>
      <c r="CD409" s="16" t="s">
        <v>111</v>
      </c>
      <c r="CE409" s="3"/>
      <c r="CF409" s="3"/>
      <c r="CG409" s="3" t="s">
        <v>112</v>
      </c>
      <c r="CI409" s="3" t="s">
        <v>97</v>
      </c>
      <c r="CJ409" s="16" t="s">
        <v>348</v>
      </c>
      <c r="CK409" s="3" t="s">
        <v>114</v>
      </c>
      <c r="CL409" s="3" t="s">
        <v>115</v>
      </c>
      <c r="CN409" s="16" t="s">
        <v>349</v>
      </c>
      <c r="CO409" s="16" t="s">
        <v>350</v>
      </c>
      <c r="CP409" s="3" t="s">
        <v>139</v>
      </c>
      <c r="CQ409" s="3" t="s">
        <v>120</v>
      </c>
      <c r="CR409" s="3" t="s">
        <v>140</v>
      </c>
      <c r="CS409" s="3" t="s">
        <v>384</v>
      </c>
      <c r="CT409" s="16" t="s">
        <v>351</v>
      </c>
      <c r="CU409" s="16" t="s">
        <v>351</v>
      </c>
      <c r="CV409" s="16" t="s">
        <v>657</v>
      </c>
    </row>
    <row r="410" spans="1:100" ht="15" customHeight="1">
      <c r="A410" s="86" t="s">
        <v>2696</v>
      </c>
      <c r="B410" s="80" t="s">
        <v>2697</v>
      </c>
      <c r="C410" s="16" t="s">
        <v>97</v>
      </c>
      <c r="D410" s="80" t="s">
        <v>2698</v>
      </c>
      <c r="E410" s="16" t="s">
        <v>97</v>
      </c>
      <c r="F410" s="150" t="s">
        <v>2699</v>
      </c>
      <c r="I410" s="100" t="s">
        <v>342</v>
      </c>
      <c r="J410" s="16" t="s">
        <v>101</v>
      </c>
      <c r="K410" s="16"/>
      <c r="L410" s="3" t="s">
        <v>102</v>
      </c>
      <c r="M410" s="3" t="s">
        <v>103</v>
      </c>
      <c r="N410" s="3" t="s">
        <v>104</v>
      </c>
      <c r="O410" s="16" t="s">
        <v>343</v>
      </c>
      <c r="P410" s="80" t="s">
        <v>2700</v>
      </c>
      <c r="Q410" s="80" t="s">
        <v>2700</v>
      </c>
      <c r="R410" s="80" t="s">
        <v>2701</v>
      </c>
      <c r="S410" s="80" t="s">
        <v>2702</v>
      </c>
      <c r="T410" s="132" t="s">
        <v>107</v>
      </c>
      <c r="U410" s="97">
        <v>3</v>
      </c>
      <c r="X410" s="31" t="s">
        <v>108</v>
      </c>
      <c r="Y410" s="93">
        <f>IF(AD410=0, 0, IF(OR(H410="", H410&lt;&gt;0), 1, 0))</f>
        <v>1</v>
      </c>
      <c r="Z410" s="3">
        <v>0</v>
      </c>
      <c r="AA410" s="3" t="s">
        <v>2703</v>
      </c>
      <c r="AD410" s="6">
        <f>ROUND((AG410*(1+AJ410)),2)</f>
        <v>82.57</v>
      </c>
      <c r="AE410" s="99">
        <v>94.090194089999997</v>
      </c>
      <c r="AF410" s="17">
        <f>(AE410*1)</f>
        <v>94.090194089999997</v>
      </c>
      <c r="AG410" s="6">
        <f>ROUND((AE410*AI410),2)</f>
        <v>61.16</v>
      </c>
      <c r="AH410" s="30" t="s">
        <v>110</v>
      </c>
      <c r="AI410" s="3">
        <v>0.65</v>
      </c>
      <c r="AJ410" s="18">
        <v>0.35</v>
      </c>
      <c r="AK410" s="6">
        <f>ROUND((AD410-(AD410*BG410)),2)</f>
        <v>81.739999999999995</v>
      </c>
      <c r="AL410" s="6">
        <f>ROUND((AD410-(AD410*BH410)),2)</f>
        <v>80.92</v>
      </c>
      <c r="AM410" s="6">
        <f>ROUND((AD410-(AD410*BI410)),2)</f>
        <v>80.09</v>
      </c>
      <c r="AN410" s="6">
        <f>ROUND((AD410-(AD410*BJ410)),2)</f>
        <v>80.09</v>
      </c>
      <c r="AO410" s="6">
        <f>ROUND((AD410-(AD410*BK410)),2)</f>
        <v>82.57</v>
      </c>
      <c r="BG410" s="12">
        <v>0.01</v>
      </c>
      <c r="BH410" s="12">
        <v>0.02</v>
      </c>
      <c r="BI410" s="12">
        <v>0.03</v>
      </c>
      <c r="BJ410" s="12">
        <v>0.03</v>
      </c>
      <c r="BK410" s="12"/>
      <c r="CC410" s="3" t="str">
        <f>IF(B410&lt;&gt;"",CONCATENATE(SUBSTITUTE(B410," ","-"),".jpg"),"")</f>
        <v>Allied-Moulded-AM664H.jpg</v>
      </c>
      <c r="CD410" s="16" t="s">
        <v>111</v>
      </c>
      <c r="CE410" s="3"/>
      <c r="CF410" s="3"/>
      <c r="CG410" s="3" t="s">
        <v>112</v>
      </c>
      <c r="CI410" s="3" t="s">
        <v>97</v>
      </c>
      <c r="CJ410" s="16" t="s">
        <v>348</v>
      </c>
      <c r="CK410" s="3" t="s">
        <v>114</v>
      </c>
      <c r="CL410" s="3" t="s">
        <v>115</v>
      </c>
      <c r="CM410" s="3" t="s">
        <v>116</v>
      </c>
      <c r="CN410" s="16" t="s">
        <v>349</v>
      </c>
      <c r="CO410" s="16" t="s">
        <v>350</v>
      </c>
      <c r="CP410" s="3" t="s">
        <v>139</v>
      </c>
      <c r="CQ410" s="3" t="s">
        <v>120</v>
      </c>
      <c r="CR410" s="3" t="s">
        <v>140</v>
      </c>
      <c r="CS410" s="3" t="s">
        <v>384</v>
      </c>
      <c r="CT410" s="16" t="s">
        <v>351</v>
      </c>
      <c r="CU410" s="16" t="s">
        <v>351</v>
      </c>
      <c r="CV410" s="16" t="s">
        <v>657</v>
      </c>
    </row>
    <row r="411" spans="1:100" ht="15" customHeight="1">
      <c r="A411" s="86" t="s">
        <v>2704</v>
      </c>
      <c r="B411" s="80" t="s">
        <v>2705</v>
      </c>
      <c r="C411" s="16" t="s">
        <v>97</v>
      </c>
      <c r="D411" s="80" t="s">
        <v>2706</v>
      </c>
      <c r="E411" s="16" t="s">
        <v>97</v>
      </c>
      <c r="F411" s="150" t="s">
        <v>2707</v>
      </c>
      <c r="I411" s="100" t="s">
        <v>342</v>
      </c>
      <c r="J411" s="16" t="s">
        <v>101</v>
      </c>
      <c r="K411" s="16"/>
      <c r="L411" s="3" t="s">
        <v>102</v>
      </c>
      <c r="M411" s="3" t="s">
        <v>103</v>
      </c>
      <c r="N411" s="3" t="s">
        <v>104</v>
      </c>
      <c r="O411" s="16" t="s">
        <v>343</v>
      </c>
      <c r="P411" s="80" t="s">
        <v>2708</v>
      </c>
      <c r="Q411" s="80" t="s">
        <v>2708</v>
      </c>
      <c r="R411" s="80" t="s">
        <v>2709</v>
      </c>
      <c r="S411" s="80" t="s">
        <v>2710</v>
      </c>
      <c r="T411" s="132" t="s">
        <v>107</v>
      </c>
      <c r="U411" s="6">
        <v>3</v>
      </c>
      <c r="X411" s="31" t="s">
        <v>108</v>
      </c>
      <c r="Y411" s="93">
        <f>IF(AD411=0, 0, IF(OR(H411="", H411&lt;&gt;0), 1, 0))</f>
        <v>1</v>
      </c>
      <c r="Z411" s="3">
        <v>0</v>
      </c>
      <c r="AA411" s="3" t="s">
        <v>2711</v>
      </c>
      <c r="AD411" s="6">
        <f>ROUND((AG411*(1+AJ411)),2)</f>
        <v>99.98</v>
      </c>
      <c r="AE411" s="67">
        <v>113.93940546</v>
      </c>
      <c r="AF411" s="17">
        <f>(AE411*1)</f>
        <v>113.93940546</v>
      </c>
      <c r="AG411" s="6">
        <f>ROUND((AE411*AI411),2)</f>
        <v>74.06</v>
      </c>
      <c r="AH411" s="30" t="s">
        <v>110</v>
      </c>
      <c r="AI411" s="3">
        <v>0.65</v>
      </c>
      <c r="AJ411" s="18">
        <v>0.35</v>
      </c>
      <c r="AK411" s="6">
        <f>ROUND((AD411-(AD411*BG411)),2)</f>
        <v>98.98</v>
      </c>
      <c r="AL411" s="6">
        <f>ROUND((AD411-(AD411*BH411)),2)</f>
        <v>97.98</v>
      </c>
      <c r="AM411" s="6">
        <f>ROUND((AD411-(AD411*BI411)),2)</f>
        <v>96.98</v>
      </c>
      <c r="AN411" s="6">
        <f>ROUND((AD411-(AD411*BJ411)),2)</f>
        <v>96.98</v>
      </c>
      <c r="AO411" s="6">
        <f>ROUND((AD411-(AD411*BK411)),2)</f>
        <v>99.98</v>
      </c>
      <c r="BG411" s="12">
        <v>0.01</v>
      </c>
      <c r="BH411" s="12">
        <v>0.02</v>
      </c>
      <c r="BI411" s="12">
        <v>0.03</v>
      </c>
      <c r="BJ411" s="12">
        <v>0.03</v>
      </c>
      <c r="BK411" s="12"/>
      <c r="CC411" s="3" t="str">
        <f>IF(B411&lt;&gt;"",CONCATENATE(SUBSTITUTE(B411," ","-"),".jpg"),"")</f>
        <v>Allied-Moulded-AM664L.jpg</v>
      </c>
      <c r="CD411" s="16" t="s">
        <v>111</v>
      </c>
      <c r="CE411" s="3"/>
      <c r="CF411" s="3"/>
      <c r="CG411" s="3" t="s">
        <v>112</v>
      </c>
      <c r="CI411" s="3" t="s">
        <v>97</v>
      </c>
      <c r="CJ411" s="16" t="s">
        <v>348</v>
      </c>
      <c r="CK411" s="3" t="s">
        <v>114</v>
      </c>
      <c r="CL411" s="3" t="s">
        <v>115</v>
      </c>
      <c r="CM411" s="3" t="s">
        <v>116</v>
      </c>
      <c r="CN411" s="16" t="s">
        <v>368</v>
      </c>
      <c r="CO411" s="16" t="s">
        <v>350</v>
      </c>
      <c r="CP411" s="3" t="s">
        <v>139</v>
      </c>
      <c r="CQ411" s="3" t="s">
        <v>120</v>
      </c>
      <c r="CR411" s="3" t="s">
        <v>140</v>
      </c>
      <c r="CS411" s="16" t="s">
        <v>122</v>
      </c>
      <c r="CT411" s="16" t="s">
        <v>351</v>
      </c>
      <c r="CU411" s="16" t="s">
        <v>351</v>
      </c>
      <c r="CV411" s="16" t="s">
        <v>657</v>
      </c>
    </row>
    <row r="412" spans="1:100" ht="15" customHeight="1">
      <c r="A412" s="86" t="s">
        <v>2712</v>
      </c>
      <c r="B412" s="80" t="s">
        <v>2713</v>
      </c>
      <c r="C412" s="16" t="s">
        <v>97</v>
      </c>
      <c r="D412" s="94" t="s">
        <v>2714</v>
      </c>
      <c r="E412" s="16" t="s">
        <v>97</v>
      </c>
      <c r="F412" s="150" t="s">
        <v>2715</v>
      </c>
      <c r="I412" s="100" t="s">
        <v>342</v>
      </c>
      <c r="J412" s="16" t="s">
        <v>101</v>
      </c>
      <c r="K412" s="16"/>
      <c r="L412" s="3" t="s">
        <v>102</v>
      </c>
      <c r="M412" s="3" t="s">
        <v>103</v>
      </c>
      <c r="N412" s="3" t="s">
        <v>104</v>
      </c>
      <c r="O412" s="16" t="s">
        <v>343</v>
      </c>
      <c r="P412" s="80" t="s">
        <v>2716</v>
      </c>
      <c r="Q412" s="80" t="s">
        <v>2716</v>
      </c>
      <c r="R412" s="80" t="s">
        <v>2717</v>
      </c>
      <c r="S412" s="80" t="s">
        <v>2718</v>
      </c>
      <c r="T412" s="132" t="s">
        <v>107</v>
      </c>
      <c r="U412" s="96">
        <v>3</v>
      </c>
      <c r="X412" s="31" t="s">
        <v>108</v>
      </c>
      <c r="Y412" s="93">
        <f>IF(AD412=0, 0, IF(OR(H412="", H412&lt;&gt;0), 1, 0))</f>
        <v>1</v>
      </c>
      <c r="Z412" s="3">
        <v>0</v>
      </c>
      <c r="AA412" s="3" t="s">
        <v>2719</v>
      </c>
      <c r="AD412" s="6">
        <f>ROUND((AG412*(1+AJ412)),2)</f>
        <v>99.98</v>
      </c>
      <c r="AE412" s="98">
        <v>113.93940546</v>
      </c>
      <c r="AF412" s="17">
        <f>(AE412*1)</f>
        <v>113.93940546</v>
      </c>
      <c r="AG412" s="6">
        <f>ROUND((AE412*AI412),2)</f>
        <v>74.06</v>
      </c>
      <c r="AH412" s="30" t="s">
        <v>110</v>
      </c>
      <c r="AI412" s="3">
        <v>0.65</v>
      </c>
      <c r="AJ412" s="18">
        <v>0.35</v>
      </c>
      <c r="AK412" s="6">
        <f>ROUND((AD412-(AD412*BG412)),2)</f>
        <v>98.98</v>
      </c>
      <c r="AL412" s="6">
        <f>ROUND((AD412-(AD412*BH412)),2)</f>
        <v>97.98</v>
      </c>
      <c r="AM412" s="6">
        <f>ROUND((AD412-(AD412*BI412)),2)</f>
        <v>96.98</v>
      </c>
      <c r="AN412" s="6">
        <f>ROUND((AD412-(AD412*BJ412)),2)</f>
        <v>96.98</v>
      </c>
      <c r="AO412" s="6">
        <f>ROUND((AD412-(AD412*BK412)),2)</f>
        <v>99.98</v>
      </c>
      <c r="BG412" s="12">
        <v>0.01</v>
      </c>
      <c r="BH412" s="12">
        <v>0.02</v>
      </c>
      <c r="BI412" s="12">
        <v>0.03</v>
      </c>
      <c r="BJ412" s="12">
        <v>0.03</v>
      </c>
      <c r="BK412" s="12"/>
      <c r="CC412" s="3" t="str">
        <f>IF(B412&lt;&gt;"",CONCATENATE(SUBSTITUTE(B412," ","-"),".jpg"),"")</f>
        <v>Allied-Moulded-AM664T.jpg</v>
      </c>
      <c r="CD412" s="16" t="s">
        <v>111</v>
      </c>
      <c r="CE412" s="3"/>
      <c r="CF412" s="3"/>
      <c r="CG412" s="3" t="s">
        <v>112</v>
      </c>
      <c r="CI412" s="3" t="s">
        <v>97</v>
      </c>
      <c r="CJ412" s="16" t="s">
        <v>348</v>
      </c>
      <c r="CK412" s="3" t="s">
        <v>114</v>
      </c>
      <c r="CL412" s="3" t="s">
        <v>115</v>
      </c>
      <c r="CM412" s="3" t="s">
        <v>116</v>
      </c>
      <c r="CN412" s="16" t="s">
        <v>132</v>
      </c>
      <c r="CO412" s="16" t="s">
        <v>350</v>
      </c>
      <c r="CP412" s="3" t="s">
        <v>139</v>
      </c>
      <c r="CQ412" s="3" t="s">
        <v>120</v>
      </c>
      <c r="CR412" s="3" t="s">
        <v>140</v>
      </c>
      <c r="CS412" s="16" t="s">
        <v>122</v>
      </c>
      <c r="CT412" s="16" t="s">
        <v>351</v>
      </c>
      <c r="CU412" s="16" t="s">
        <v>351</v>
      </c>
      <c r="CV412" s="16" t="s">
        <v>657</v>
      </c>
    </row>
    <row r="413" spans="1:100" ht="15" customHeight="1">
      <c r="A413" s="86" t="s">
        <v>2720</v>
      </c>
      <c r="B413" s="80" t="s">
        <v>2721</v>
      </c>
      <c r="C413" s="16" t="s">
        <v>97</v>
      </c>
      <c r="D413" s="80" t="s">
        <v>2722</v>
      </c>
      <c r="E413" s="16" t="s">
        <v>97</v>
      </c>
      <c r="F413" s="150" t="s">
        <v>2723</v>
      </c>
      <c r="I413" s="100" t="s">
        <v>342</v>
      </c>
      <c r="J413" s="16" t="s">
        <v>101</v>
      </c>
      <c r="K413" s="16"/>
      <c r="L413" s="3" t="s">
        <v>102</v>
      </c>
      <c r="M413" s="3" t="s">
        <v>103</v>
      </c>
      <c r="N413" s="3" t="s">
        <v>104</v>
      </c>
      <c r="O413" s="16" t="s">
        <v>343</v>
      </c>
      <c r="P413" s="80" t="s">
        <v>2724</v>
      </c>
      <c r="Q413" s="80" t="s">
        <v>2724</v>
      </c>
      <c r="R413" s="80" t="s">
        <v>2725</v>
      </c>
      <c r="S413" s="80" t="s">
        <v>2726</v>
      </c>
      <c r="T413" s="132" t="s">
        <v>107</v>
      </c>
      <c r="U413" s="97">
        <v>3</v>
      </c>
      <c r="X413" s="31" t="s">
        <v>108</v>
      </c>
      <c r="Y413" s="93">
        <f>IF(AD413=0, 0, IF(OR(H413="", H413&lt;&gt;0), 1, 0))</f>
        <v>1</v>
      </c>
      <c r="Z413" s="3">
        <v>0</v>
      </c>
      <c r="AA413" s="3" t="s">
        <v>2727</v>
      </c>
      <c r="AD413" s="6">
        <f>ROUND((AG413*(1+AJ413)),2)</f>
        <v>127.83</v>
      </c>
      <c r="AE413" s="99">
        <v>145.67859898999998</v>
      </c>
      <c r="AF413" s="17">
        <f>(AE413*1)</f>
        <v>145.67859898999998</v>
      </c>
      <c r="AG413" s="6">
        <f>ROUND((AE413*AI413),2)</f>
        <v>94.69</v>
      </c>
      <c r="AH413" s="30" t="s">
        <v>110</v>
      </c>
      <c r="AI413" s="3">
        <v>0.65</v>
      </c>
      <c r="AJ413" s="18">
        <v>0.35</v>
      </c>
      <c r="AK413" s="6">
        <f>ROUND((AD413-(AD413*BG413)),2)</f>
        <v>126.55</v>
      </c>
      <c r="AL413" s="6">
        <f>ROUND((AD413-(AD413*BH413)),2)</f>
        <v>125.27</v>
      </c>
      <c r="AM413" s="6">
        <f>ROUND((AD413-(AD413*BI413)),2)</f>
        <v>124</v>
      </c>
      <c r="AN413" s="6">
        <f>ROUND((AD413-(AD413*BJ413)),2)</f>
        <v>124</v>
      </c>
      <c r="AO413" s="6">
        <f>ROUND((AD413-(AD413*BK413)),2)</f>
        <v>127.83</v>
      </c>
      <c r="BG413" s="12">
        <v>0.01</v>
      </c>
      <c r="BH413" s="12">
        <v>0.02</v>
      </c>
      <c r="BI413" s="12">
        <v>0.03</v>
      </c>
      <c r="BJ413" s="12">
        <v>0.03</v>
      </c>
      <c r="BK413" s="12"/>
      <c r="CC413" s="3" t="str">
        <f>IF(B413&lt;&gt;"",CONCATENATE(SUBSTITUTE(B413," ","-"),".jpg"),"")</f>
        <v>Allied-Moulded-AM664W.jpg</v>
      </c>
      <c r="CD413" s="16" t="s">
        <v>111</v>
      </c>
      <c r="CE413" s="3"/>
      <c r="CF413" s="3"/>
      <c r="CG413" s="3" t="s">
        <v>112</v>
      </c>
      <c r="CI413" s="3" t="s">
        <v>97</v>
      </c>
      <c r="CJ413" s="16" t="s">
        <v>348</v>
      </c>
      <c r="CK413" s="3" t="s">
        <v>114</v>
      </c>
      <c r="CL413" s="3" t="s">
        <v>115</v>
      </c>
      <c r="CM413" s="16"/>
      <c r="CN413" s="16" t="s">
        <v>349</v>
      </c>
      <c r="CO413" s="16" t="s">
        <v>350</v>
      </c>
      <c r="CP413" s="3" t="s">
        <v>139</v>
      </c>
      <c r="CQ413" s="3" t="s">
        <v>120</v>
      </c>
      <c r="CR413" s="16" t="s">
        <v>121</v>
      </c>
      <c r="CS413" s="16" t="s">
        <v>122</v>
      </c>
      <c r="CT413" s="16" t="s">
        <v>351</v>
      </c>
      <c r="CU413" s="16" t="s">
        <v>351</v>
      </c>
      <c r="CV413" s="16" t="s">
        <v>657</v>
      </c>
    </row>
    <row r="414" spans="1:100" ht="15" customHeight="1">
      <c r="A414" s="86" t="s">
        <v>2728</v>
      </c>
      <c r="B414" s="80" t="s">
        <v>2729</v>
      </c>
      <c r="C414" s="16" t="s">
        <v>97</v>
      </c>
      <c r="D414" s="80" t="s">
        <v>2730</v>
      </c>
      <c r="E414" s="16" t="s">
        <v>97</v>
      </c>
      <c r="F414" s="150" t="s">
        <v>2731</v>
      </c>
      <c r="I414" s="100" t="s">
        <v>342</v>
      </c>
      <c r="J414" s="16" t="s">
        <v>101</v>
      </c>
      <c r="K414" s="16"/>
      <c r="L414" s="3" t="s">
        <v>102</v>
      </c>
      <c r="M414" s="3" t="s">
        <v>103</v>
      </c>
      <c r="N414" s="3" t="s">
        <v>104</v>
      </c>
      <c r="O414" s="16" t="s">
        <v>343</v>
      </c>
      <c r="P414" s="80" t="s">
        <v>2732</v>
      </c>
      <c r="Q414" s="80" t="s">
        <v>2732</v>
      </c>
      <c r="R414" s="80" t="s">
        <v>2733</v>
      </c>
      <c r="S414" s="80" t="s">
        <v>2734</v>
      </c>
      <c r="T414" s="132" t="s">
        <v>107</v>
      </c>
      <c r="U414" s="97">
        <v>3</v>
      </c>
      <c r="X414" s="31" t="s">
        <v>108</v>
      </c>
      <c r="Y414" s="93">
        <f>IF(AD414=0, 0, IF(OR(H414="", H414&lt;&gt;0), 1, 0))</f>
        <v>1</v>
      </c>
      <c r="Z414" s="3">
        <v>0</v>
      </c>
      <c r="AA414" s="3" t="s">
        <v>2735</v>
      </c>
      <c r="AD414" s="6">
        <f>ROUND((AG414*(1+AJ414)),2)</f>
        <v>131.09</v>
      </c>
      <c r="AE414" s="99">
        <v>149.39187258999999</v>
      </c>
      <c r="AF414" s="17">
        <f>(AE414*1)</f>
        <v>149.39187258999999</v>
      </c>
      <c r="AG414" s="6">
        <f>ROUND((AE414*AI414),2)</f>
        <v>97.1</v>
      </c>
      <c r="AH414" s="30" t="s">
        <v>110</v>
      </c>
      <c r="AI414" s="3">
        <v>0.65</v>
      </c>
      <c r="AJ414" s="18">
        <v>0.35</v>
      </c>
      <c r="AK414" s="6">
        <f>ROUND((AD414-(AD414*BG414)),2)</f>
        <v>129.78</v>
      </c>
      <c r="AL414" s="6">
        <f>ROUND((AD414-(AD414*BH414)),2)</f>
        <v>128.47</v>
      </c>
      <c r="AM414" s="6">
        <f>ROUND((AD414-(AD414*BI414)),2)</f>
        <v>127.16</v>
      </c>
      <c r="AN414" s="6">
        <f>ROUND((AD414-(AD414*BJ414)),2)</f>
        <v>127.16</v>
      </c>
      <c r="AO414" s="6">
        <f>ROUND((AD414-(AD414*BK414)),2)</f>
        <v>131.09</v>
      </c>
      <c r="BG414" s="12">
        <v>0.01</v>
      </c>
      <c r="BH414" s="12">
        <v>0.02</v>
      </c>
      <c r="BI414" s="12">
        <v>0.03</v>
      </c>
      <c r="BJ414" s="12">
        <v>0.03</v>
      </c>
      <c r="BK414" s="12"/>
      <c r="CC414" s="3" t="str">
        <f>IF(B414&lt;&gt;"",CONCATENATE(SUBSTITUTE(B414," ","-"),".jpg"),"")</f>
        <v>Allied-Moulded-AM664HW.jpg</v>
      </c>
      <c r="CD414" s="16" t="s">
        <v>111</v>
      </c>
      <c r="CE414" s="3"/>
      <c r="CF414" s="3"/>
      <c r="CG414" s="3" t="s">
        <v>112</v>
      </c>
      <c r="CI414" s="3" t="s">
        <v>97</v>
      </c>
      <c r="CJ414" s="16" t="s">
        <v>348</v>
      </c>
      <c r="CK414" s="3" t="s">
        <v>114</v>
      </c>
      <c r="CL414" s="3" t="s">
        <v>115</v>
      </c>
      <c r="CM414" s="3" t="s">
        <v>116</v>
      </c>
      <c r="CN414" s="16" t="s">
        <v>349</v>
      </c>
      <c r="CO414" s="16" t="s">
        <v>350</v>
      </c>
      <c r="CP414" s="3" t="s">
        <v>139</v>
      </c>
      <c r="CQ414" s="3" t="s">
        <v>120</v>
      </c>
      <c r="CR414" s="16" t="s">
        <v>121</v>
      </c>
      <c r="CS414" s="16" t="s">
        <v>122</v>
      </c>
      <c r="CT414" s="16" t="s">
        <v>351</v>
      </c>
      <c r="CU414" s="16" t="s">
        <v>351</v>
      </c>
      <c r="CV414" s="16" t="s">
        <v>657</v>
      </c>
    </row>
    <row r="415" spans="1:100" ht="15" customHeight="1">
      <c r="A415" s="86" t="s">
        <v>2736</v>
      </c>
      <c r="B415" s="80" t="s">
        <v>2737</v>
      </c>
      <c r="C415" s="16" t="s">
        <v>97</v>
      </c>
      <c r="D415" s="80" t="s">
        <v>2738</v>
      </c>
      <c r="E415" s="16" t="s">
        <v>97</v>
      </c>
      <c r="F415" s="132" t="s">
        <v>2739</v>
      </c>
      <c r="I415" s="100" t="s">
        <v>342</v>
      </c>
      <c r="J415" s="16" t="s">
        <v>101</v>
      </c>
      <c r="K415" s="16"/>
      <c r="L415" s="3" t="s">
        <v>102</v>
      </c>
      <c r="M415" s="3" t="s">
        <v>103</v>
      </c>
      <c r="N415" s="3" t="s">
        <v>104</v>
      </c>
      <c r="O415" s="16" t="s">
        <v>343</v>
      </c>
      <c r="P415" s="80" t="s">
        <v>2740</v>
      </c>
      <c r="Q415" s="80" t="s">
        <v>2740</v>
      </c>
      <c r="R415" s="80" t="s">
        <v>2741</v>
      </c>
      <c r="S415" s="80" t="s">
        <v>2742</v>
      </c>
      <c r="T415" s="132" t="s">
        <v>107</v>
      </c>
      <c r="U415" s="97">
        <v>3</v>
      </c>
      <c r="X415" s="31" t="s">
        <v>108</v>
      </c>
      <c r="Y415" s="93">
        <f>IF(AD415=0, 0, IF(OR(H415="", H415&lt;&gt;0), 1, 0))</f>
        <v>1</v>
      </c>
      <c r="Z415" s="3">
        <v>0</v>
      </c>
      <c r="AA415" s="3" t="s">
        <v>2743</v>
      </c>
      <c r="AD415" s="6">
        <f>ROUND((AG415*(1+AJ415)),2)</f>
        <v>145.63999999999999</v>
      </c>
      <c r="AE415" s="99">
        <v>165.96704974000002</v>
      </c>
      <c r="AF415" s="17">
        <f>(AE415*1)</f>
        <v>165.96704974000002</v>
      </c>
      <c r="AG415" s="6">
        <f>ROUND((AE415*AI415),2)</f>
        <v>107.88</v>
      </c>
      <c r="AH415" s="30" t="s">
        <v>110</v>
      </c>
      <c r="AI415" s="3">
        <v>0.65</v>
      </c>
      <c r="AJ415" s="18">
        <v>0.35</v>
      </c>
      <c r="AK415" s="6">
        <f>ROUND((AD415-(AD415*BG415)),2)</f>
        <v>144.18</v>
      </c>
      <c r="AL415" s="6">
        <f>ROUND((AD415-(AD415*BH415)),2)</f>
        <v>142.72999999999999</v>
      </c>
      <c r="AM415" s="6">
        <f>ROUND((AD415-(AD415*BI415)),2)</f>
        <v>141.27000000000001</v>
      </c>
      <c r="AN415" s="6">
        <f>ROUND((AD415-(AD415*BJ415)),2)</f>
        <v>141.27000000000001</v>
      </c>
      <c r="AO415" s="6">
        <f>ROUND((AD415-(AD415*BK415)),2)</f>
        <v>145.63999999999999</v>
      </c>
      <c r="BG415" s="12">
        <v>0.01</v>
      </c>
      <c r="BH415" s="12">
        <v>0.02</v>
      </c>
      <c r="BI415" s="12">
        <v>0.03</v>
      </c>
      <c r="BJ415" s="12">
        <v>0.03</v>
      </c>
      <c r="BK415" s="12"/>
      <c r="CC415" s="3" t="str">
        <f>IF(B415&lt;&gt;"",CONCATENATE(SUBSTITUTE(B415," ","-"),".jpg"),"")</f>
        <v>Allied-Moulded-AM664LW.jpg</v>
      </c>
      <c r="CD415" s="16" t="s">
        <v>111</v>
      </c>
      <c r="CE415" s="3"/>
      <c r="CF415" s="3"/>
      <c r="CG415" s="3" t="s">
        <v>112</v>
      </c>
      <c r="CI415" s="3" t="s">
        <v>97</v>
      </c>
      <c r="CJ415" s="16" t="s">
        <v>348</v>
      </c>
      <c r="CK415" s="3" t="s">
        <v>114</v>
      </c>
      <c r="CL415" s="3" t="s">
        <v>115</v>
      </c>
      <c r="CM415" s="3" t="s">
        <v>116</v>
      </c>
      <c r="CN415" s="16" t="s">
        <v>368</v>
      </c>
      <c r="CO415" s="16" t="s">
        <v>350</v>
      </c>
      <c r="CP415" s="3" t="s">
        <v>139</v>
      </c>
      <c r="CQ415" s="3" t="s">
        <v>120</v>
      </c>
      <c r="CR415" s="16" t="s">
        <v>121</v>
      </c>
      <c r="CS415" s="16" t="s">
        <v>122</v>
      </c>
      <c r="CT415" s="16" t="s">
        <v>351</v>
      </c>
      <c r="CU415" s="16" t="s">
        <v>351</v>
      </c>
      <c r="CV415" s="16" t="s">
        <v>657</v>
      </c>
    </row>
    <row r="416" spans="1:100" ht="15" customHeight="1">
      <c r="A416" s="86" t="s">
        <v>2744</v>
      </c>
      <c r="B416" s="80" t="s">
        <v>2745</v>
      </c>
      <c r="C416" s="16" t="s">
        <v>97</v>
      </c>
      <c r="D416" s="80" t="s">
        <v>2746</v>
      </c>
      <c r="E416" s="16" t="s">
        <v>97</v>
      </c>
      <c r="F416" s="150" t="s">
        <v>2747</v>
      </c>
      <c r="I416" s="100" t="s">
        <v>342</v>
      </c>
      <c r="J416" s="16" t="s">
        <v>101</v>
      </c>
      <c r="K416" s="16"/>
      <c r="L416" s="3" t="s">
        <v>102</v>
      </c>
      <c r="M416" s="3" t="s">
        <v>103</v>
      </c>
      <c r="N416" s="3" t="s">
        <v>104</v>
      </c>
      <c r="O416" s="16" t="s">
        <v>343</v>
      </c>
      <c r="P416" s="80" t="s">
        <v>2748</v>
      </c>
      <c r="Q416" s="80" t="s">
        <v>2748</v>
      </c>
      <c r="R416" s="80" t="s">
        <v>2749</v>
      </c>
      <c r="S416" s="80" t="s">
        <v>2750</v>
      </c>
      <c r="T416" s="132" t="s">
        <v>107</v>
      </c>
      <c r="U416" s="97">
        <v>3</v>
      </c>
      <c r="X416" s="31" t="s">
        <v>108</v>
      </c>
      <c r="Y416" s="93">
        <f>IF(AD416=0, 0, IF(OR(H416="", H416&lt;&gt;0), 1, 0))</f>
        <v>1</v>
      </c>
      <c r="Z416" s="3">
        <v>0</v>
      </c>
      <c r="AA416" s="3" t="s">
        <v>2751</v>
      </c>
      <c r="AD416" s="6">
        <f>ROUND((AG416*(1+AJ416)),2)</f>
        <v>145.63999999999999</v>
      </c>
      <c r="AE416" s="99">
        <v>165.96704974000002</v>
      </c>
      <c r="AF416" s="17">
        <f>(AE416*1)</f>
        <v>165.96704974000002</v>
      </c>
      <c r="AG416" s="6">
        <f>ROUND((AE416*AI416),2)</f>
        <v>107.88</v>
      </c>
      <c r="AH416" s="30" t="s">
        <v>110</v>
      </c>
      <c r="AI416" s="3">
        <v>0.65</v>
      </c>
      <c r="AJ416" s="18">
        <v>0.35</v>
      </c>
      <c r="AK416" s="6">
        <f>ROUND((AD416-(AD416*BG416)),2)</f>
        <v>144.18</v>
      </c>
      <c r="AL416" s="6">
        <f>ROUND((AD416-(AD416*BH416)),2)</f>
        <v>142.72999999999999</v>
      </c>
      <c r="AM416" s="6">
        <f>ROUND((AD416-(AD416*BI416)),2)</f>
        <v>141.27000000000001</v>
      </c>
      <c r="AN416" s="6">
        <f>ROUND((AD416-(AD416*BJ416)),2)</f>
        <v>141.27000000000001</v>
      </c>
      <c r="AO416" s="6">
        <f>ROUND((AD416-(AD416*BK416)),2)</f>
        <v>145.63999999999999</v>
      </c>
      <c r="BG416" s="12">
        <v>0.01</v>
      </c>
      <c r="BH416" s="12">
        <v>0.02</v>
      </c>
      <c r="BI416" s="12">
        <v>0.03</v>
      </c>
      <c r="BJ416" s="12">
        <v>0.03</v>
      </c>
      <c r="BK416" s="12"/>
      <c r="CC416" s="3" t="str">
        <f>IF(B416&lt;&gt;"",CONCATENATE(SUBSTITUTE(B416," ","-"),".jpg"),"")</f>
        <v>Allied-Moulded-AM664TW.jpg</v>
      </c>
      <c r="CD416" s="16" t="s">
        <v>111</v>
      </c>
      <c r="CE416" s="3"/>
      <c r="CF416" s="3"/>
      <c r="CG416" s="3" t="s">
        <v>112</v>
      </c>
      <c r="CI416" s="3" t="s">
        <v>97</v>
      </c>
      <c r="CJ416" s="16" t="s">
        <v>348</v>
      </c>
      <c r="CK416" s="3" t="s">
        <v>114</v>
      </c>
      <c r="CL416" s="3" t="s">
        <v>115</v>
      </c>
      <c r="CM416" s="3" t="s">
        <v>116</v>
      </c>
      <c r="CN416" s="16" t="s">
        <v>132</v>
      </c>
      <c r="CO416" s="16" t="s">
        <v>350</v>
      </c>
      <c r="CP416" s="3" t="s">
        <v>139</v>
      </c>
      <c r="CQ416" s="3" t="s">
        <v>120</v>
      </c>
      <c r="CR416" s="16" t="s">
        <v>121</v>
      </c>
      <c r="CS416" s="16" t="s">
        <v>122</v>
      </c>
      <c r="CT416" s="16" t="s">
        <v>351</v>
      </c>
      <c r="CU416" s="16" t="s">
        <v>351</v>
      </c>
      <c r="CV416" s="16" t="s">
        <v>657</v>
      </c>
    </row>
    <row r="417" spans="1:100" ht="15" customHeight="1">
      <c r="A417" t="s">
        <v>2752</v>
      </c>
      <c r="B417" s="3" t="s">
        <v>2753</v>
      </c>
      <c r="C417" s="16" t="s">
        <v>97</v>
      </c>
      <c r="D417" s="40" t="s">
        <v>2754</v>
      </c>
      <c r="E417" s="16" t="s">
        <v>97</v>
      </c>
      <c r="F417" s="131" t="s">
        <v>2755</v>
      </c>
      <c r="I417" s="100" t="s">
        <v>342</v>
      </c>
      <c r="J417" s="16" t="s">
        <v>101</v>
      </c>
      <c r="K417" s="16"/>
      <c r="L417" s="3" t="s">
        <v>102</v>
      </c>
      <c r="M417" s="3" t="s">
        <v>103</v>
      </c>
      <c r="N417" s="3" t="s">
        <v>104</v>
      </c>
      <c r="O417" s="16" t="s">
        <v>105</v>
      </c>
      <c r="P417" s="3" t="s">
        <v>2756</v>
      </c>
      <c r="Q417" s="3" t="s">
        <v>2756</v>
      </c>
      <c r="R417" s="3" t="s">
        <v>2756</v>
      </c>
      <c r="S417" t="s">
        <v>2752</v>
      </c>
      <c r="T417" s="130" t="s">
        <v>107</v>
      </c>
      <c r="U417" s="51">
        <v>3</v>
      </c>
      <c r="V417" s="58"/>
      <c r="W417" s="58"/>
      <c r="X417" s="59" t="s">
        <v>108</v>
      </c>
      <c r="Y417" s="93">
        <f>IF(AD417=0, 0, IF(OR(H417="", H417&lt;&gt;0), 1, 0))</f>
        <v>1</v>
      </c>
      <c r="Z417" s="3">
        <v>0</v>
      </c>
      <c r="AA417" s="3" t="s">
        <v>2757</v>
      </c>
      <c r="AD417" s="6">
        <f>ROUND((AG417*(1+AJ417)),2)</f>
        <v>88.9</v>
      </c>
      <c r="AE417" s="69">
        <v>101.30488883</v>
      </c>
      <c r="AF417" s="17">
        <f>(AE417*1)</f>
        <v>101.30488883</v>
      </c>
      <c r="AG417" s="6">
        <f>ROUND((AE417*AI417),2)</f>
        <v>65.849999999999994</v>
      </c>
      <c r="AH417" s="30" t="s">
        <v>110</v>
      </c>
      <c r="AI417" s="3">
        <v>0.65</v>
      </c>
      <c r="AJ417" s="18">
        <v>0.35</v>
      </c>
      <c r="AK417" s="6">
        <f>ROUND((AD417-(AD417*BG417)),2)</f>
        <v>88.01</v>
      </c>
      <c r="AL417" s="6">
        <f>ROUND((AD417-(AD417*BH417)),2)</f>
        <v>87.12</v>
      </c>
      <c r="AM417" s="6">
        <f>ROUND((AD417-(AD417*BI417)),2)</f>
        <v>86.23</v>
      </c>
      <c r="AN417" s="6">
        <f>ROUND((AD417-(AD417*BJ417)),2)</f>
        <v>86.23</v>
      </c>
      <c r="AO417" s="6">
        <f>ROUND((AD417-(AD417*BK417)),2)</f>
        <v>88.9</v>
      </c>
      <c r="BG417" s="12">
        <v>0.01</v>
      </c>
      <c r="BH417" s="12">
        <v>0.02</v>
      </c>
      <c r="BI417" s="12">
        <v>0.03</v>
      </c>
      <c r="BJ417" s="12">
        <v>0.03</v>
      </c>
      <c r="CC417" s="3" t="str">
        <f>IF(B417&lt;&gt;"",CONCATENATE(SUBSTITUTE(B417," ","-"),".jpg"),"")</f>
        <v>Allied-Moulded-AM664RH.jpg</v>
      </c>
      <c r="CD417" s="16" t="s">
        <v>111</v>
      </c>
      <c r="CE417" s="3"/>
      <c r="CF417" s="3"/>
      <c r="CG417" s="3" t="s">
        <v>112</v>
      </c>
      <c r="CI417" s="3" t="s">
        <v>97</v>
      </c>
      <c r="CJ417" s="3" t="s">
        <v>383</v>
      </c>
      <c r="CK417" s="3" t="s">
        <v>114</v>
      </c>
      <c r="CL417" s="3" t="s">
        <v>115</v>
      </c>
      <c r="CO417" s="3" t="s">
        <v>118</v>
      </c>
      <c r="CP417" s="3" t="s">
        <v>139</v>
      </c>
      <c r="CQ417" s="3" t="s">
        <v>120</v>
      </c>
      <c r="CR417" s="3" t="s">
        <v>140</v>
      </c>
      <c r="CS417" s="3" t="s">
        <v>384</v>
      </c>
      <c r="CT417" s="16" t="s">
        <v>351</v>
      </c>
      <c r="CU417" s="16" t="s">
        <v>351</v>
      </c>
      <c r="CV417" s="16" t="s">
        <v>351</v>
      </c>
    </row>
    <row r="418" spans="1:100" ht="15" customHeight="1">
      <c r="A418" t="s">
        <v>2758</v>
      </c>
      <c r="B418" s="3" t="s">
        <v>2759</v>
      </c>
      <c r="C418" s="16" t="s">
        <v>97</v>
      </c>
      <c r="D418" s="39" t="s">
        <v>2760</v>
      </c>
      <c r="E418" s="16" t="s">
        <v>97</v>
      </c>
      <c r="F418" s="131" t="s">
        <v>2761</v>
      </c>
      <c r="I418" s="100" t="s">
        <v>342</v>
      </c>
      <c r="J418" s="16" t="s">
        <v>101</v>
      </c>
      <c r="K418" s="16"/>
      <c r="L418" s="3" t="s">
        <v>102</v>
      </c>
      <c r="M418" s="3" t="s">
        <v>103</v>
      </c>
      <c r="N418" s="3" t="s">
        <v>104</v>
      </c>
      <c r="O418" s="16" t="s">
        <v>105</v>
      </c>
      <c r="P418" s="3" t="s">
        <v>2762</v>
      </c>
      <c r="Q418" s="3" t="s">
        <v>2762</v>
      </c>
      <c r="R418" s="3" t="s">
        <v>2762</v>
      </c>
      <c r="S418" t="s">
        <v>2758</v>
      </c>
      <c r="T418" s="130" t="s">
        <v>107</v>
      </c>
      <c r="U418" s="50">
        <v>3</v>
      </c>
      <c r="V418" s="54"/>
      <c r="W418" s="54"/>
      <c r="X418" s="59" t="s">
        <v>108</v>
      </c>
      <c r="Y418" s="93">
        <f>IF(AD418=0, 0, IF(OR(H418="", H418&lt;&gt;0), 1, 0))</f>
        <v>1</v>
      </c>
      <c r="Z418" s="3">
        <v>0</v>
      </c>
      <c r="AA418" s="3" t="s">
        <v>2763</v>
      </c>
      <c r="AD418" s="6">
        <f>ROUND((AG418*(1+AJ418)),2)</f>
        <v>106.88</v>
      </c>
      <c r="AE418" s="69">
        <v>121.80518277</v>
      </c>
      <c r="AF418" s="17">
        <f>(AE418*1)</f>
        <v>121.80518277</v>
      </c>
      <c r="AG418" s="6">
        <f>ROUND((AE418*AI418),2)</f>
        <v>79.17</v>
      </c>
      <c r="AH418" s="30" t="s">
        <v>110</v>
      </c>
      <c r="AI418" s="3">
        <v>0.65</v>
      </c>
      <c r="AJ418" s="18">
        <v>0.35</v>
      </c>
      <c r="AK418" s="6">
        <f>ROUND((AD418-(AD418*BG418)),2)</f>
        <v>105.81</v>
      </c>
      <c r="AL418" s="6">
        <f>ROUND((AD418-(AD418*BH418)),2)</f>
        <v>104.74</v>
      </c>
      <c r="AM418" s="6">
        <f>ROUND((AD418-(AD418*BI418)),2)</f>
        <v>103.67</v>
      </c>
      <c r="AN418" s="6">
        <f>ROUND((AD418-(AD418*BJ418)),2)</f>
        <v>103.67</v>
      </c>
      <c r="AO418" s="6">
        <f>ROUND((AD418-(AD418*BK418)),2)</f>
        <v>106.88</v>
      </c>
      <c r="BG418" s="12">
        <v>0.01</v>
      </c>
      <c r="BH418" s="12">
        <v>0.02</v>
      </c>
      <c r="BI418" s="12">
        <v>0.03</v>
      </c>
      <c r="BJ418" s="12">
        <v>0.03</v>
      </c>
      <c r="CC418" s="3" t="str">
        <f>IF(B418&lt;&gt;"",CONCATENATE(SUBSTITUTE(B418," ","-"),".jpg"),"")</f>
        <v>Allied-Moulded-AM664RL.jpg</v>
      </c>
      <c r="CD418" s="16" t="s">
        <v>111</v>
      </c>
      <c r="CE418" s="3"/>
      <c r="CF418" s="3"/>
      <c r="CG418" s="3" t="s">
        <v>112</v>
      </c>
      <c r="CI418" s="3" t="s">
        <v>97</v>
      </c>
      <c r="CJ418" s="3" t="s">
        <v>383</v>
      </c>
      <c r="CK418" s="3" t="s">
        <v>114</v>
      </c>
      <c r="CL418" s="3" t="s">
        <v>115</v>
      </c>
      <c r="CM418" s="3" t="s">
        <v>116</v>
      </c>
      <c r="CN418" t="s">
        <v>117</v>
      </c>
      <c r="CO418" s="3" t="s">
        <v>118</v>
      </c>
      <c r="CP418" s="3" t="s">
        <v>139</v>
      </c>
      <c r="CQ418" s="3" t="s">
        <v>120</v>
      </c>
      <c r="CR418" s="3" t="s">
        <v>140</v>
      </c>
      <c r="CS418" s="16" t="s">
        <v>122</v>
      </c>
      <c r="CT418" s="16" t="s">
        <v>351</v>
      </c>
      <c r="CU418" s="16" t="s">
        <v>351</v>
      </c>
      <c r="CV418" s="16" t="s">
        <v>351</v>
      </c>
    </row>
    <row r="419" spans="1:100" ht="15" customHeight="1">
      <c r="A419" t="s">
        <v>2764</v>
      </c>
      <c r="B419" s="3" t="s">
        <v>2765</v>
      </c>
      <c r="C419" s="16" t="s">
        <v>97</v>
      </c>
      <c r="D419" s="47" t="s">
        <v>2766</v>
      </c>
      <c r="E419" s="16" t="s">
        <v>97</v>
      </c>
      <c r="F419" s="131" t="s">
        <v>2767</v>
      </c>
      <c r="I419" s="100" t="s">
        <v>342</v>
      </c>
      <c r="J419" s="16" t="s">
        <v>101</v>
      </c>
      <c r="K419" s="16"/>
      <c r="L419" s="3" t="s">
        <v>102</v>
      </c>
      <c r="M419" s="3" t="s">
        <v>103</v>
      </c>
      <c r="N419" s="3" t="s">
        <v>104</v>
      </c>
      <c r="O419" s="16" t="s">
        <v>105</v>
      </c>
      <c r="P419" s="3" t="s">
        <v>2768</v>
      </c>
      <c r="Q419" s="3" t="s">
        <v>2768</v>
      </c>
      <c r="R419" s="3" t="s">
        <v>2768</v>
      </c>
      <c r="S419" t="s">
        <v>2764</v>
      </c>
      <c r="T419" s="130" t="s">
        <v>107</v>
      </c>
      <c r="U419" s="50">
        <v>3</v>
      </c>
      <c r="V419" s="54"/>
      <c r="W419" s="54"/>
      <c r="X419" s="59" t="s">
        <v>108</v>
      </c>
      <c r="Y419" s="93">
        <f>IF(AD419=0, 0, IF(OR(H419="", H419&lt;&gt;0), 1, 0))</f>
        <v>1</v>
      </c>
      <c r="Z419" s="3">
        <v>0</v>
      </c>
      <c r="AA419" s="3" t="s">
        <v>2769</v>
      </c>
      <c r="AD419" s="6">
        <f>ROUND((AG419*(1+AJ419)),2)</f>
        <v>106.88</v>
      </c>
      <c r="AE419" s="69">
        <v>121.80518277</v>
      </c>
      <c r="AF419" s="17">
        <f>(AE419*1)</f>
        <v>121.80518277</v>
      </c>
      <c r="AG419" s="6">
        <f>ROUND((AE419*AI419),2)</f>
        <v>79.17</v>
      </c>
      <c r="AH419" s="30" t="s">
        <v>110</v>
      </c>
      <c r="AI419" s="3">
        <v>0.65</v>
      </c>
      <c r="AJ419" s="18">
        <v>0.35</v>
      </c>
      <c r="AK419" s="6">
        <f>ROUND((AD419-(AD419*BG419)),2)</f>
        <v>105.81</v>
      </c>
      <c r="AL419" s="6">
        <f>ROUND((AD419-(AD419*BH419)),2)</f>
        <v>104.74</v>
      </c>
      <c r="AM419" s="6">
        <f>ROUND((AD419-(AD419*BI419)),2)</f>
        <v>103.67</v>
      </c>
      <c r="AN419" s="6">
        <f>ROUND((AD419-(AD419*BJ419)),2)</f>
        <v>103.67</v>
      </c>
      <c r="AO419" s="6">
        <f>ROUND((AD419-(AD419*BK419)),2)</f>
        <v>106.88</v>
      </c>
      <c r="BG419" s="12">
        <v>0.01</v>
      </c>
      <c r="BH419" s="12">
        <v>0.02</v>
      </c>
      <c r="BI419" s="12">
        <v>0.03</v>
      </c>
      <c r="BJ419" s="12">
        <v>0.03</v>
      </c>
      <c r="CC419" s="3" t="str">
        <f>IF(B419&lt;&gt;"",CONCATENATE(SUBSTITUTE(B419," ","-"),".jpg"),"")</f>
        <v>Allied-Moulded-AM664RT.jpg</v>
      </c>
      <c r="CD419" s="16" t="s">
        <v>111</v>
      </c>
      <c r="CE419" s="3"/>
      <c r="CF419" s="3"/>
      <c r="CG419" s="3" t="s">
        <v>112</v>
      </c>
      <c r="CI419" s="3" t="s">
        <v>97</v>
      </c>
      <c r="CJ419" s="3" t="s">
        <v>383</v>
      </c>
      <c r="CK419" s="3" t="s">
        <v>114</v>
      </c>
      <c r="CL419" s="3" t="s">
        <v>115</v>
      </c>
      <c r="CM419" s="3" t="s">
        <v>116</v>
      </c>
      <c r="CN419" s="16" t="s">
        <v>132</v>
      </c>
      <c r="CO419" s="3" t="s">
        <v>118</v>
      </c>
      <c r="CP419" s="3" t="s">
        <v>139</v>
      </c>
      <c r="CQ419" s="3" t="s">
        <v>120</v>
      </c>
      <c r="CR419" s="3" t="s">
        <v>140</v>
      </c>
      <c r="CS419" s="16" t="s">
        <v>122</v>
      </c>
      <c r="CT419" s="16" t="s">
        <v>351</v>
      </c>
      <c r="CU419" s="16" t="s">
        <v>351</v>
      </c>
      <c r="CV419" s="16" t="s">
        <v>351</v>
      </c>
    </row>
    <row r="420" spans="1:100" ht="15" customHeight="1">
      <c r="A420" t="s">
        <v>2770</v>
      </c>
      <c r="B420" s="3" t="s">
        <v>2771</v>
      </c>
      <c r="C420" s="16" t="s">
        <v>97</v>
      </c>
      <c r="D420" s="40" t="s">
        <v>2772</v>
      </c>
      <c r="E420" s="16" t="s">
        <v>97</v>
      </c>
      <c r="F420" s="131" t="s">
        <v>2773</v>
      </c>
      <c r="I420" s="100" t="s">
        <v>342</v>
      </c>
      <c r="J420" s="16" t="s">
        <v>101</v>
      </c>
      <c r="K420" s="16"/>
      <c r="L420" s="3" t="s">
        <v>102</v>
      </c>
      <c r="M420" s="3" t="s">
        <v>103</v>
      </c>
      <c r="N420" s="3" t="s">
        <v>104</v>
      </c>
      <c r="O420" s="16" t="s">
        <v>105</v>
      </c>
      <c r="P420" s="3" t="s">
        <v>2774</v>
      </c>
      <c r="Q420" s="3" t="s">
        <v>2774</v>
      </c>
      <c r="R420" s="3" t="s">
        <v>2774</v>
      </c>
      <c r="S420" t="s">
        <v>2770</v>
      </c>
      <c r="T420" s="130" t="s">
        <v>107</v>
      </c>
      <c r="U420" s="51">
        <v>3</v>
      </c>
      <c r="V420" s="58"/>
      <c r="W420" s="58"/>
      <c r="X420" s="59" t="s">
        <v>108</v>
      </c>
      <c r="Y420" s="93">
        <f>IF(AD420=0, 0, IF(OR(H420="", H420&lt;&gt;0), 1, 0))</f>
        <v>1</v>
      </c>
      <c r="Z420" s="3">
        <v>0</v>
      </c>
      <c r="AA420" s="3" t="s">
        <v>2775</v>
      </c>
      <c r="AD420" s="6">
        <f>ROUND((AG420*(1+AJ420)),2)</f>
        <v>132.18</v>
      </c>
      <c r="AE420" s="69">
        <v>150.62962770999999</v>
      </c>
      <c r="AF420" s="17">
        <f>(AE420*1)</f>
        <v>150.62962770999999</v>
      </c>
      <c r="AG420" s="6">
        <f>ROUND((AE420*AI420),2)</f>
        <v>97.91</v>
      </c>
      <c r="AH420" s="30" t="s">
        <v>110</v>
      </c>
      <c r="AI420" s="3">
        <v>0.65</v>
      </c>
      <c r="AJ420" s="18">
        <v>0.35</v>
      </c>
      <c r="AK420" s="6">
        <f>ROUND((AD420-(AD420*BG420)),2)</f>
        <v>130.86000000000001</v>
      </c>
      <c r="AL420" s="6">
        <f>ROUND((AD420-(AD420*BH420)),2)</f>
        <v>129.54</v>
      </c>
      <c r="AM420" s="6">
        <f>ROUND((AD420-(AD420*BI420)),2)</f>
        <v>128.21</v>
      </c>
      <c r="AN420" s="6">
        <f>ROUND((AD420-(AD420*BJ420)),2)</f>
        <v>128.21</v>
      </c>
      <c r="AO420" s="6">
        <f>ROUND((AD420-(AD420*BK420)),2)</f>
        <v>132.18</v>
      </c>
      <c r="BG420" s="12">
        <v>0.01</v>
      </c>
      <c r="BH420" s="12">
        <v>0.02</v>
      </c>
      <c r="BI420" s="12">
        <v>0.03</v>
      </c>
      <c r="BJ420" s="12">
        <v>0.03</v>
      </c>
      <c r="CC420" s="3" t="str">
        <f>IF(B420&lt;&gt;"",CONCATENATE(SUBSTITUTE(B420," ","-"),".jpg"),"")</f>
        <v>Allied-Moulded-AM664RW.jpg</v>
      </c>
      <c r="CD420" s="16" t="s">
        <v>111</v>
      </c>
      <c r="CE420" s="3"/>
      <c r="CF420" s="3"/>
      <c r="CG420" s="3" t="s">
        <v>112</v>
      </c>
      <c r="CI420" s="3" t="s">
        <v>97</v>
      </c>
      <c r="CJ420" s="3" t="s">
        <v>383</v>
      </c>
      <c r="CK420" s="3" t="s">
        <v>114</v>
      </c>
      <c r="CL420" s="3" t="s">
        <v>115</v>
      </c>
      <c r="CM420" s="16"/>
      <c r="CN420" s="16" t="s">
        <v>349</v>
      </c>
      <c r="CO420" s="3" t="s">
        <v>118</v>
      </c>
      <c r="CP420" s="3" t="s">
        <v>139</v>
      </c>
      <c r="CQ420" s="3" t="s">
        <v>120</v>
      </c>
      <c r="CR420" s="16" t="s">
        <v>121</v>
      </c>
      <c r="CS420" s="3" t="s">
        <v>384</v>
      </c>
      <c r="CT420" s="16" t="s">
        <v>351</v>
      </c>
      <c r="CU420" s="16" t="s">
        <v>351</v>
      </c>
      <c r="CV420" s="16" t="s">
        <v>351</v>
      </c>
    </row>
    <row r="421" spans="1:100" ht="15" customHeight="1">
      <c r="A421" t="s">
        <v>2776</v>
      </c>
      <c r="B421" s="3" t="s">
        <v>2777</v>
      </c>
      <c r="C421" s="16" t="s">
        <v>97</v>
      </c>
      <c r="D421" s="40" t="s">
        <v>2778</v>
      </c>
      <c r="E421" s="16" t="s">
        <v>97</v>
      </c>
      <c r="F421" s="131" t="s">
        <v>2779</v>
      </c>
      <c r="I421" s="100" t="s">
        <v>342</v>
      </c>
      <c r="J421" s="16" t="s">
        <v>101</v>
      </c>
      <c r="K421" s="16"/>
      <c r="L421" s="3" t="s">
        <v>102</v>
      </c>
      <c r="M421" s="3" t="s">
        <v>103</v>
      </c>
      <c r="N421" s="3" t="s">
        <v>104</v>
      </c>
      <c r="O421" s="16" t="s">
        <v>105</v>
      </c>
      <c r="P421" s="3" t="s">
        <v>2780</v>
      </c>
      <c r="Q421" s="3" t="s">
        <v>2780</v>
      </c>
      <c r="R421" s="3" t="s">
        <v>2780</v>
      </c>
      <c r="S421" t="s">
        <v>2776</v>
      </c>
      <c r="T421" s="130" t="s">
        <v>465</v>
      </c>
      <c r="U421" s="35">
        <v>3</v>
      </c>
      <c r="V421" s="40"/>
      <c r="W421" s="40"/>
      <c r="X421" s="59" t="s">
        <v>108</v>
      </c>
      <c r="Y421" s="93">
        <f>IF(AD421=0, 0, IF(OR(H421="", H421&lt;&gt;0), 1, 0))</f>
        <v>1</v>
      </c>
      <c r="Z421" s="3">
        <v>0</v>
      </c>
      <c r="AA421" s="3" t="s">
        <v>2781</v>
      </c>
      <c r="AD421" s="6">
        <f>ROUND((AG421*(1+AJ421)),2)</f>
        <v>82.17</v>
      </c>
      <c r="AE421" s="69">
        <v>93.65027388</v>
      </c>
      <c r="AF421" s="17">
        <f>(AE421*1)</f>
        <v>93.65027388</v>
      </c>
      <c r="AG421" s="6">
        <f>ROUND((AE421*AI421),2)</f>
        <v>60.87</v>
      </c>
      <c r="AH421" s="30" t="s">
        <v>110</v>
      </c>
      <c r="AI421" s="3">
        <v>0.65</v>
      </c>
      <c r="AJ421" s="18">
        <v>0.35</v>
      </c>
      <c r="AK421" s="6">
        <f>ROUND((AD421-(AD421*BG421)),2)</f>
        <v>81.349999999999994</v>
      </c>
      <c r="AL421" s="6">
        <f>ROUND((AD421-(AD421*BH421)),2)</f>
        <v>80.53</v>
      </c>
      <c r="AM421" s="6">
        <f>ROUND((AD421-(AD421*BI421)),2)</f>
        <v>79.7</v>
      </c>
      <c r="AN421" s="6">
        <f>ROUND((AD421-(AD421*BJ421)),2)</f>
        <v>79.7</v>
      </c>
      <c r="AO421" s="6">
        <f>ROUND((AD421-(AD421*BK421)),2)</f>
        <v>82.17</v>
      </c>
      <c r="BG421" s="12">
        <v>0.01</v>
      </c>
      <c r="BH421" s="12">
        <v>0.02</v>
      </c>
      <c r="BI421" s="12">
        <v>0.03</v>
      </c>
      <c r="BJ421" s="12">
        <v>0.03</v>
      </c>
      <c r="CC421" s="3" t="str">
        <f>IF(B421&lt;&gt;"",CONCATENATE(SUBSTITUTE(B421," ","-"),".jpg"),"")</f>
        <v>Allied-Moulded-AMU664.jpg</v>
      </c>
      <c r="CD421" s="16" t="s">
        <v>111</v>
      </c>
      <c r="CE421" s="3"/>
      <c r="CF421" s="3"/>
      <c r="CG421" s="3" t="s">
        <v>112</v>
      </c>
      <c r="CI421" s="3" t="s">
        <v>97</v>
      </c>
      <c r="CJ421" s="3" t="s">
        <v>467</v>
      </c>
      <c r="CK421" s="3" t="s">
        <v>114</v>
      </c>
      <c r="CL421" s="3" t="s">
        <v>115</v>
      </c>
      <c r="CM421" s="16"/>
      <c r="CN421" s="16" t="s">
        <v>349</v>
      </c>
      <c r="CO421" s="3" t="s">
        <v>118</v>
      </c>
      <c r="CP421" s="3" t="s">
        <v>139</v>
      </c>
      <c r="CQ421" s="3" t="s">
        <v>120</v>
      </c>
      <c r="CR421" s="3" t="s">
        <v>140</v>
      </c>
      <c r="CS421" s="3" t="s">
        <v>384</v>
      </c>
      <c r="CT421" s="16" t="s">
        <v>351</v>
      </c>
      <c r="CU421" s="16" t="s">
        <v>351</v>
      </c>
      <c r="CV421" s="16" t="s">
        <v>657</v>
      </c>
    </row>
    <row r="422" spans="1:100" ht="15" customHeight="1">
      <c r="A422" t="s">
        <v>2782</v>
      </c>
      <c r="B422" s="3" t="s">
        <v>2783</v>
      </c>
      <c r="C422" s="16" t="s">
        <v>97</v>
      </c>
      <c r="D422" s="39" t="s">
        <v>2784</v>
      </c>
      <c r="E422" s="16" t="s">
        <v>97</v>
      </c>
      <c r="F422" s="131" t="s">
        <v>2785</v>
      </c>
      <c r="I422" s="100" t="s">
        <v>342</v>
      </c>
      <c r="J422" s="16" t="s">
        <v>101</v>
      </c>
      <c r="K422" s="16"/>
      <c r="L422" s="3" t="s">
        <v>102</v>
      </c>
      <c r="M422" s="3" t="s">
        <v>103</v>
      </c>
      <c r="N422" s="3" t="s">
        <v>104</v>
      </c>
      <c r="O422" s="16" t="s">
        <v>105</v>
      </c>
      <c r="P422" s="3" t="s">
        <v>2786</v>
      </c>
      <c r="Q422" s="3" t="s">
        <v>2786</v>
      </c>
      <c r="R422" s="3" t="s">
        <v>2786</v>
      </c>
      <c r="S422" t="s">
        <v>2782</v>
      </c>
      <c r="T422" s="130" t="s">
        <v>465</v>
      </c>
      <c r="U422" s="34">
        <v>3</v>
      </c>
      <c r="V422" s="39"/>
      <c r="W422" s="39"/>
      <c r="X422" s="59" t="s">
        <v>108</v>
      </c>
      <c r="Y422" s="93">
        <f>IF(AD422=0, 0, IF(OR(H422="", H422&lt;&gt;0), 1, 0))</f>
        <v>1</v>
      </c>
      <c r="Z422" s="3">
        <v>0</v>
      </c>
      <c r="AA422" s="3" t="s">
        <v>2787</v>
      </c>
      <c r="AD422" s="6">
        <f>ROUND((AG422*(1+AJ422)),2)</f>
        <v>84.38</v>
      </c>
      <c r="AE422" s="69">
        <v>96.149020919999984</v>
      </c>
      <c r="AF422" s="17">
        <f>(AE422*1)</f>
        <v>96.149020919999984</v>
      </c>
      <c r="AG422" s="6">
        <f>ROUND((AE422*AI422),2)</f>
        <v>62.5</v>
      </c>
      <c r="AH422" s="30" t="s">
        <v>110</v>
      </c>
      <c r="AI422" s="3">
        <v>0.65</v>
      </c>
      <c r="AJ422" s="18">
        <v>0.35</v>
      </c>
      <c r="AK422" s="6">
        <f>ROUND((AD422-(AD422*BG422)),2)</f>
        <v>83.54</v>
      </c>
      <c r="AL422" s="6">
        <f>ROUND((AD422-(AD422*BH422)),2)</f>
        <v>82.69</v>
      </c>
      <c r="AM422" s="6">
        <f>ROUND((AD422-(AD422*BI422)),2)</f>
        <v>81.849999999999994</v>
      </c>
      <c r="AN422" s="6">
        <f>ROUND((AD422-(AD422*BJ422)),2)</f>
        <v>81.849999999999994</v>
      </c>
      <c r="AO422" s="6">
        <f>ROUND((AD422-(AD422*BK422)),2)</f>
        <v>84.38</v>
      </c>
      <c r="BG422" s="12">
        <v>0.01</v>
      </c>
      <c r="BH422" s="12">
        <v>0.02</v>
      </c>
      <c r="BI422" s="12">
        <v>0.03</v>
      </c>
      <c r="BJ422" s="12">
        <v>0.03</v>
      </c>
      <c r="CC422" s="3" t="str">
        <f>IF(B422&lt;&gt;"",CONCATENATE(SUBSTITUTE(B422," ","-"),".jpg"),"")</f>
        <v>Allied-Moulded-AMU664F.jpg</v>
      </c>
      <c r="CD422" s="16" t="s">
        <v>111</v>
      </c>
      <c r="CE422" s="3"/>
      <c r="CF422" s="3"/>
      <c r="CG422" s="3" t="s">
        <v>112</v>
      </c>
      <c r="CI422" s="3" t="s">
        <v>97</v>
      </c>
      <c r="CJ422" s="3" t="s">
        <v>467</v>
      </c>
      <c r="CK422" s="3" t="s">
        <v>114</v>
      </c>
      <c r="CL422" s="3" t="s">
        <v>115</v>
      </c>
      <c r="CM422" s="16"/>
      <c r="CN422" s="16" t="s">
        <v>349</v>
      </c>
      <c r="CO422" s="3" t="s">
        <v>118</v>
      </c>
      <c r="CP422" s="3" t="s">
        <v>139</v>
      </c>
      <c r="CQ422" s="3" t="s">
        <v>120</v>
      </c>
      <c r="CR422" s="3" t="s">
        <v>140</v>
      </c>
      <c r="CS422" s="3" t="s">
        <v>384</v>
      </c>
      <c r="CT422" s="16" t="s">
        <v>351</v>
      </c>
      <c r="CU422" s="16" t="s">
        <v>351</v>
      </c>
      <c r="CV422" s="16" t="s">
        <v>657</v>
      </c>
    </row>
    <row r="423" spans="1:100" ht="15" customHeight="1">
      <c r="A423" t="s">
        <v>2788</v>
      </c>
      <c r="B423" s="3" t="s">
        <v>2789</v>
      </c>
      <c r="C423" s="16" t="s">
        <v>97</v>
      </c>
      <c r="D423" s="39" t="s">
        <v>2790</v>
      </c>
      <c r="E423" s="16" t="s">
        <v>97</v>
      </c>
      <c r="F423" s="131" t="s">
        <v>2791</v>
      </c>
      <c r="I423" s="100" t="s">
        <v>342</v>
      </c>
      <c r="J423" s="16" t="s">
        <v>101</v>
      </c>
      <c r="K423" s="16"/>
      <c r="L423" s="3" t="s">
        <v>102</v>
      </c>
      <c r="M423" s="3" t="s">
        <v>103</v>
      </c>
      <c r="N423" s="3" t="s">
        <v>104</v>
      </c>
      <c r="O423" s="16" t="s">
        <v>105</v>
      </c>
      <c r="P423" s="3" t="s">
        <v>2792</v>
      </c>
      <c r="Q423" s="3" t="s">
        <v>2792</v>
      </c>
      <c r="R423" s="3" t="s">
        <v>2792</v>
      </c>
      <c r="S423" t="s">
        <v>2788</v>
      </c>
      <c r="T423" s="130" t="s">
        <v>465</v>
      </c>
      <c r="U423" s="34">
        <v>3</v>
      </c>
      <c r="V423" s="39"/>
      <c r="W423" s="39"/>
      <c r="X423" s="59" t="s">
        <v>108</v>
      </c>
      <c r="Y423" s="93">
        <f>IF(AD423=0, 0, IF(OR(H423="", H423&lt;&gt;0), 1, 0))</f>
        <v>1</v>
      </c>
      <c r="Z423" s="3">
        <v>0</v>
      </c>
      <c r="AA423" s="3" t="s">
        <v>2793</v>
      </c>
      <c r="AD423" s="6">
        <f>ROUND((AG423*(1+AJ423)),2)</f>
        <v>89.55</v>
      </c>
      <c r="AE423" s="69">
        <v>102.04395708999999</v>
      </c>
      <c r="AF423" s="17">
        <f>(AE423*1)</f>
        <v>102.04395708999999</v>
      </c>
      <c r="AG423" s="6">
        <f>ROUND((AE423*AI423),2)</f>
        <v>66.33</v>
      </c>
      <c r="AH423" s="30" t="s">
        <v>110</v>
      </c>
      <c r="AI423" s="3">
        <v>0.65</v>
      </c>
      <c r="AJ423" s="18">
        <v>0.35</v>
      </c>
      <c r="AK423" s="6">
        <f>ROUND((AD423-(AD423*BG423)),2)</f>
        <v>88.65</v>
      </c>
      <c r="AL423" s="6">
        <f>ROUND((AD423-(AD423*BH423)),2)</f>
        <v>87.76</v>
      </c>
      <c r="AM423" s="6">
        <f>ROUND((AD423-(AD423*BI423)),2)</f>
        <v>86.86</v>
      </c>
      <c r="AN423" s="6">
        <f>ROUND((AD423-(AD423*BJ423)),2)</f>
        <v>86.86</v>
      </c>
      <c r="AO423" s="6">
        <f>ROUND((AD423-(AD423*BK423)),2)</f>
        <v>89.55</v>
      </c>
      <c r="BG423" s="12">
        <v>0.01</v>
      </c>
      <c r="BH423" s="12">
        <v>0.02</v>
      </c>
      <c r="BI423" s="12">
        <v>0.03</v>
      </c>
      <c r="BJ423" s="12">
        <v>0.03</v>
      </c>
      <c r="CC423" s="3" t="str">
        <f>IF(B423&lt;&gt;"",CONCATENATE(SUBSTITUTE(B423," ","-"),".jpg"),"")</f>
        <v>Allied-Moulded-AMU664H.jpg</v>
      </c>
      <c r="CD423" s="16" t="s">
        <v>111</v>
      </c>
      <c r="CE423" s="3"/>
      <c r="CF423" s="3"/>
      <c r="CG423" s="3" t="s">
        <v>112</v>
      </c>
      <c r="CI423" s="3" t="s">
        <v>97</v>
      </c>
      <c r="CJ423" s="3" t="s">
        <v>467</v>
      </c>
      <c r="CK423" s="3" t="s">
        <v>114</v>
      </c>
      <c r="CL423" s="3" t="s">
        <v>115</v>
      </c>
      <c r="CM423" s="3" t="s">
        <v>116</v>
      </c>
      <c r="CN423" s="16" t="s">
        <v>349</v>
      </c>
      <c r="CO423" s="3" t="s">
        <v>118</v>
      </c>
      <c r="CP423" s="3" t="s">
        <v>139</v>
      </c>
      <c r="CQ423" s="3" t="s">
        <v>120</v>
      </c>
      <c r="CR423" s="3" t="s">
        <v>140</v>
      </c>
      <c r="CS423" s="3" t="s">
        <v>384</v>
      </c>
      <c r="CT423" s="16" t="s">
        <v>351</v>
      </c>
      <c r="CU423" s="16" t="s">
        <v>351</v>
      </c>
      <c r="CV423" s="16" t="s">
        <v>657</v>
      </c>
    </row>
    <row r="424" spans="1:100" ht="15" customHeight="1">
      <c r="A424" t="s">
        <v>2794</v>
      </c>
      <c r="B424" s="3" t="s">
        <v>2795</v>
      </c>
      <c r="C424" s="16" t="s">
        <v>97</v>
      </c>
      <c r="D424" s="40" t="s">
        <v>2796</v>
      </c>
      <c r="E424" s="16" t="s">
        <v>97</v>
      </c>
      <c r="F424" s="131" t="s">
        <v>2797</v>
      </c>
      <c r="I424" s="100" t="s">
        <v>342</v>
      </c>
      <c r="J424" s="16" t="s">
        <v>101</v>
      </c>
      <c r="K424" s="16"/>
      <c r="L424" s="3" t="s">
        <v>102</v>
      </c>
      <c r="M424" s="3" t="s">
        <v>103</v>
      </c>
      <c r="N424" s="3" t="s">
        <v>104</v>
      </c>
      <c r="O424" s="16" t="s">
        <v>105</v>
      </c>
      <c r="P424" s="3" t="s">
        <v>2798</v>
      </c>
      <c r="Q424" s="3" t="s">
        <v>2798</v>
      </c>
      <c r="R424" s="3" t="s">
        <v>2798</v>
      </c>
      <c r="S424" t="s">
        <v>2794</v>
      </c>
      <c r="T424" s="130" t="s">
        <v>465</v>
      </c>
      <c r="U424" s="35">
        <v>3</v>
      </c>
      <c r="V424" s="40"/>
      <c r="W424" s="40"/>
      <c r="X424" s="59" t="s">
        <v>108</v>
      </c>
      <c r="Y424" s="93">
        <f>IF(AD424=0, 0, IF(OR(H424="", H424&lt;&gt;0), 1, 0))</f>
        <v>1</v>
      </c>
      <c r="Z424" s="3">
        <v>0</v>
      </c>
      <c r="AA424" s="3" t="s">
        <v>2799</v>
      </c>
      <c r="AD424" s="6">
        <f>ROUND((AG424*(1+AJ424)),2)</f>
        <v>92.07</v>
      </c>
      <c r="AE424" s="69">
        <v>104.92983375</v>
      </c>
      <c r="AF424" s="17">
        <f>(AE424*1)</f>
        <v>104.92983375</v>
      </c>
      <c r="AG424" s="6">
        <f>ROUND((AE424*AI424),2)</f>
        <v>68.2</v>
      </c>
      <c r="AH424" s="30" t="s">
        <v>110</v>
      </c>
      <c r="AI424" s="3">
        <v>0.65</v>
      </c>
      <c r="AJ424" s="18">
        <v>0.35</v>
      </c>
      <c r="AK424" s="6">
        <f>ROUND((AD424-(AD424*BG424)),2)</f>
        <v>91.15</v>
      </c>
      <c r="AL424" s="6">
        <f>ROUND((AD424-(AD424*BH424)),2)</f>
        <v>90.23</v>
      </c>
      <c r="AM424" s="6">
        <f>ROUND((AD424-(AD424*BI424)),2)</f>
        <v>89.31</v>
      </c>
      <c r="AN424" s="6">
        <f>ROUND((AD424-(AD424*BJ424)),2)</f>
        <v>89.31</v>
      </c>
      <c r="AO424" s="6">
        <f>ROUND((AD424-(AD424*BK424)),2)</f>
        <v>92.07</v>
      </c>
      <c r="BG424" s="12">
        <v>0.01</v>
      </c>
      <c r="BH424" s="12">
        <v>0.02</v>
      </c>
      <c r="BI424" s="12">
        <v>0.03</v>
      </c>
      <c r="BJ424" s="12">
        <v>0.03</v>
      </c>
      <c r="CC424" s="3" t="str">
        <f>IF(B424&lt;&gt;"",CONCATENATE(SUBSTITUTE(B424," ","-"),".jpg"),"")</f>
        <v>Allied-Moulded-AMU664HF.jpg</v>
      </c>
      <c r="CD424" s="16" t="s">
        <v>111</v>
      </c>
      <c r="CE424" s="3"/>
      <c r="CF424" s="3"/>
      <c r="CG424" s="3" t="s">
        <v>112</v>
      </c>
      <c r="CI424" s="3" t="s">
        <v>97</v>
      </c>
      <c r="CJ424" s="3" t="s">
        <v>467</v>
      </c>
      <c r="CK424" s="3" t="s">
        <v>114</v>
      </c>
      <c r="CL424" s="3" t="s">
        <v>115</v>
      </c>
      <c r="CM424" s="3" t="s">
        <v>116</v>
      </c>
      <c r="CN424" s="16" t="s">
        <v>349</v>
      </c>
      <c r="CO424" s="3" t="s">
        <v>118</v>
      </c>
      <c r="CP424" s="3" t="s">
        <v>139</v>
      </c>
      <c r="CQ424" s="3" t="s">
        <v>120</v>
      </c>
      <c r="CR424" s="3" t="s">
        <v>140</v>
      </c>
      <c r="CS424" s="3" t="s">
        <v>384</v>
      </c>
      <c r="CT424" s="16" t="s">
        <v>351</v>
      </c>
      <c r="CU424" s="16" t="s">
        <v>351</v>
      </c>
      <c r="CV424" s="16" t="s">
        <v>657</v>
      </c>
    </row>
    <row r="425" spans="1:100" ht="15" customHeight="1">
      <c r="A425" t="s">
        <v>2800</v>
      </c>
      <c r="B425" s="3" t="s">
        <v>2801</v>
      </c>
      <c r="C425" s="16" t="s">
        <v>97</v>
      </c>
      <c r="D425" s="40" t="s">
        <v>2802</v>
      </c>
      <c r="E425" s="16" t="s">
        <v>97</v>
      </c>
      <c r="F425" s="131" t="s">
        <v>2803</v>
      </c>
      <c r="I425" s="100" t="s">
        <v>342</v>
      </c>
      <c r="J425" s="16" t="s">
        <v>101</v>
      </c>
      <c r="K425" s="16"/>
      <c r="L425" s="3" t="s">
        <v>102</v>
      </c>
      <c r="M425" s="3" t="s">
        <v>103</v>
      </c>
      <c r="N425" s="3" t="s">
        <v>104</v>
      </c>
      <c r="O425" s="16" t="s">
        <v>105</v>
      </c>
      <c r="P425" s="3" t="s">
        <v>2804</v>
      </c>
      <c r="Q425" s="3" t="s">
        <v>2804</v>
      </c>
      <c r="R425" s="3" t="s">
        <v>2804</v>
      </c>
      <c r="S425" t="s">
        <v>2800</v>
      </c>
      <c r="T425" s="130" t="s">
        <v>465</v>
      </c>
      <c r="U425" s="35">
        <v>3</v>
      </c>
      <c r="V425" s="40"/>
      <c r="W425" s="40"/>
      <c r="X425" s="59" t="s">
        <v>108</v>
      </c>
      <c r="Y425" s="93">
        <f>IF(AD425=0, 0, IF(OR(H425="", H425&lt;&gt;0), 1, 0))</f>
        <v>1</v>
      </c>
      <c r="Z425" s="3">
        <v>0</v>
      </c>
      <c r="AA425" s="3" t="s">
        <v>2805</v>
      </c>
      <c r="AD425" s="6">
        <f>ROUND((AG425*(1+AJ425)),2)</f>
        <v>108.5</v>
      </c>
      <c r="AE425" s="69">
        <v>123.65285033000001</v>
      </c>
      <c r="AF425" s="17">
        <f>(AE425*1)</f>
        <v>123.65285033000001</v>
      </c>
      <c r="AG425" s="6">
        <f>ROUND((AE425*AI425),2)</f>
        <v>80.37</v>
      </c>
      <c r="AH425" s="30" t="s">
        <v>110</v>
      </c>
      <c r="AI425" s="3">
        <v>0.65</v>
      </c>
      <c r="AJ425" s="18">
        <v>0.35</v>
      </c>
      <c r="AK425" s="6">
        <f>ROUND((AD425-(AD425*BG425)),2)</f>
        <v>107.42</v>
      </c>
      <c r="AL425" s="6">
        <f>ROUND((AD425-(AD425*BH425)),2)</f>
        <v>106.33</v>
      </c>
      <c r="AM425" s="6">
        <f>ROUND((AD425-(AD425*BI425)),2)</f>
        <v>105.25</v>
      </c>
      <c r="AN425" s="6">
        <f>ROUND((AD425-(AD425*BJ425)),2)</f>
        <v>105.25</v>
      </c>
      <c r="AO425" s="6">
        <f>ROUND((AD425-(AD425*BK425)),2)</f>
        <v>108.5</v>
      </c>
      <c r="BG425" s="12">
        <v>0.01</v>
      </c>
      <c r="BH425" s="12">
        <v>0.02</v>
      </c>
      <c r="BI425" s="12">
        <v>0.03</v>
      </c>
      <c r="BJ425" s="12">
        <v>0.03</v>
      </c>
      <c r="CC425" s="3" t="str">
        <f>IF(B425&lt;&gt;"",CONCATENATE(SUBSTITUTE(B425," ","-"),".jpg"),"")</f>
        <v>Allied-Moulded-AMU664L.jpg</v>
      </c>
      <c r="CD425" s="16" t="s">
        <v>111</v>
      </c>
      <c r="CE425" s="3"/>
      <c r="CF425" s="3"/>
      <c r="CG425" s="3" t="s">
        <v>112</v>
      </c>
      <c r="CI425" s="3" t="s">
        <v>97</v>
      </c>
      <c r="CJ425" s="3" t="s">
        <v>467</v>
      </c>
      <c r="CK425" s="3" t="s">
        <v>114</v>
      </c>
      <c r="CL425" s="3" t="s">
        <v>115</v>
      </c>
      <c r="CM425" s="3" t="s">
        <v>116</v>
      </c>
      <c r="CN425" s="16" t="s">
        <v>349</v>
      </c>
      <c r="CO425" s="3" t="s">
        <v>118</v>
      </c>
      <c r="CP425" s="3" t="s">
        <v>139</v>
      </c>
      <c r="CQ425" s="3" t="s">
        <v>120</v>
      </c>
      <c r="CR425" s="3" t="s">
        <v>140</v>
      </c>
      <c r="CS425" s="16" t="s">
        <v>122</v>
      </c>
      <c r="CT425" s="16" t="s">
        <v>351</v>
      </c>
      <c r="CU425" s="16" t="s">
        <v>351</v>
      </c>
      <c r="CV425" s="16" t="s">
        <v>657</v>
      </c>
    </row>
    <row r="426" spans="1:100" ht="15" customHeight="1">
      <c r="A426" t="s">
        <v>2806</v>
      </c>
      <c r="B426" s="3" t="s">
        <v>2807</v>
      </c>
      <c r="C426" s="16" t="s">
        <v>97</v>
      </c>
      <c r="D426" s="39" t="s">
        <v>2808</v>
      </c>
      <c r="E426" s="16" t="s">
        <v>97</v>
      </c>
      <c r="F426" s="131" t="s">
        <v>2809</v>
      </c>
      <c r="I426" s="100" t="s">
        <v>342</v>
      </c>
      <c r="J426" s="16" t="s">
        <v>101</v>
      </c>
      <c r="K426" s="16"/>
      <c r="L426" s="3" t="s">
        <v>102</v>
      </c>
      <c r="M426" s="3" t="s">
        <v>103</v>
      </c>
      <c r="N426" s="3" t="s">
        <v>104</v>
      </c>
      <c r="O426" s="16" t="s">
        <v>105</v>
      </c>
      <c r="P426" s="3" t="s">
        <v>2810</v>
      </c>
      <c r="Q426" s="3" t="s">
        <v>2810</v>
      </c>
      <c r="R426" s="3" t="s">
        <v>2810</v>
      </c>
      <c r="S426" t="s">
        <v>2806</v>
      </c>
      <c r="T426" s="130" t="s">
        <v>465</v>
      </c>
      <c r="U426" s="34">
        <v>3</v>
      </c>
      <c r="V426" s="39"/>
      <c r="W426" s="39"/>
      <c r="X426" s="59" t="s">
        <v>108</v>
      </c>
      <c r="Y426" s="93">
        <f>IF(AD426=0, 0, IF(OR(H426="", H426&lt;&gt;0), 1, 0))</f>
        <v>1</v>
      </c>
      <c r="Z426" s="3">
        <v>0</v>
      </c>
      <c r="AA426" s="3" t="s">
        <v>2811</v>
      </c>
      <c r="AD426" s="6">
        <f>ROUND((AG426*(1+AJ426)),2)</f>
        <v>111.46</v>
      </c>
      <c r="AE426" s="69">
        <v>127.01384333000001</v>
      </c>
      <c r="AF426" s="17">
        <f>(AE426*1)</f>
        <v>127.01384333000001</v>
      </c>
      <c r="AG426" s="6">
        <f>ROUND((AE426*AI426),2)</f>
        <v>82.56</v>
      </c>
      <c r="AH426" s="30" t="s">
        <v>110</v>
      </c>
      <c r="AI426" s="3">
        <v>0.65</v>
      </c>
      <c r="AJ426" s="18">
        <v>0.35</v>
      </c>
      <c r="AK426" s="6">
        <f>ROUND((AD426-(AD426*BG426)),2)</f>
        <v>110.35</v>
      </c>
      <c r="AL426" s="6">
        <f>ROUND((AD426-(AD426*BH426)),2)</f>
        <v>109.23</v>
      </c>
      <c r="AM426" s="6">
        <f>ROUND((AD426-(AD426*BI426)),2)</f>
        <v>108.12</v>
      </c>
      <c r="AN426" s="6">
        <f>ROUND((AD426-(AD426*BJ426)),2)</f>
        <v>108.12</v>
      </c>
      <c r="AO426" s="6">
        <f>ROUND((AD426-(AD426*BK426)),2)</f>
        <v>111.46</v>
      </c>
      <c r="BG426" s="12">
        <v>0.01</v>
      </c>
      <c r="BH426" s="12">
        <v>0.02</v>
      </c>
      <c r="BI426" s="12">
        <v>0.03</v>
      </c>
      <c r="BJ426" s="12">
        <v>0.03</v>
      </c>
      <c r="CC426" s="3" t="str">
        <f>IF(B426&lt;&gt;"",CONCATENATE(SUBSTITUTE(B426," ","-"),".jpg"),"")</f>
        <v>Allied-Moulded-AMU664LF.jpg</v>
      </c>
      <c r="CD426" s="16" t="s">
        <v>111</v>
      </c>
      <c r="CE426" s="3"/>
      <c r="CF426" s="3"/>
      <c r="CG426" s="3" t="s">
        <v>112</v>
      </c>
      <c r="CI426" s="3" t="s">
        <v>97</v>
      </c>
      <c r="CJ426" s="3" t="s">
        <v>467</v>
      </c>
      <c r="CK426" s="3" t="s">
        <v>114</v>
      </c>
      <c r="CL426" s="3" t="s">
        <v>115</v>
      </c>
      <c r="CM426" s="3" t="s">
        <v>116</v>
      </c>
      <c r="CN426" t="s">
        <v>117</v>
      </c>
      <c r="CO426" s="3" t="s">
        <v>118</v>
      </c>
      <c r="CP426" s="3" t="s">
        <v>139</v>
      </c>
      <c r="CQ426" s="3" t="s">
        <v>120</v>
      </c>
      <c r="CR426" s="3" t="s">
        <v>140</v>
      </c>
      <c r="CS426" s="16" t="s">
        <v>122</v>
      </c>
      <c r="CT426" s="16" t="s">
        <v>351</v>
      </c>
      <c r="CU426" s="16" t="s">
        <v>351</v>
      </c>
      <c r="CV426" s="16" t="s">
        <v>657</v>
      </c>
    </row>
    <row r="427" spans="1:100" ht="15" customHeight="1">
      <c r="A427" t="s">
        <v>2812</v>
      </c>
      <c r="B427" s="3" t="s">
        <v>2813</v>
      </c>
      <c r="C427" s="16" t="s">
        <v>97</v>
      </c>
      <c r="D427" s="39" t="s">
        <v>2814</v>
      </c>
      <c r="E427" s="16" t="s">
        <v>97</v>
      </c>
      <c r="F427" s="131" t="s">
        <v>2815</v>
      </c>
      <c r="I427" s="100" t="s">
        <v>342</v>
      </c>
      <c r="J427" s="16" t="s">
        <v>101</v>
      </c>
      <c r="K427" s="16"/>
      <c r="L427" s="3" t="s">
        <v>102</v>
      </c>
      <c r="M427" s="3" t="s">
        <v>103</v>
      </c>
      <c r="N427" s="3" t="s">
        <v>104</v>
      </c>
      <c r="O427" s="16" t="s">
        <v>105</v>
      </c>
      <c r="P427" s="3" t="s">
        <v>2816</v>
      </c>
      <c r="Q427" s="3" t="s">
        <v>2816</v>
      </c>
      <c r="R427" s="3" t="s">
        <v>2816</v>
      </c>
      <c r="S427" t="s">
        <v>2812</v>
      </c>
      <c r="T427" s="130" t="s">
        <v>465</v>
      </c>
      <c r="U427" s="34">
        <v>3</v>
      </c>
      <c r="V427" s="39"/>
      <c r="W427" s="39"/>
      <c r="X427" s="59" t="s">
        <v>108</v>
      </c>
      <c r="Y427" s="93">
        <f>IF(AD427=0, 0, IF(OR(H427="", H427&lt;&gt;0), 1, 0))</f>
        <v>1</v>
      </c>
      <c r="Z427" s="3">
        <v>0</v>
      </c>
      <c r="AA427" s="3" t="s">
        <v>2817</v>
      </c>
      <c r="AD427" s="6">
        <f>ROUND((AG427*(1+AJ427)),2)</f>
        <v>103.09</v>
      </c>
      <c r="AE427" s="69">
        <v>117.47636778000002</v>
      </c>
      <c r="AF427" s="17">
        <f>(AE427*1)</f>
        <v>117.47636778000002</v>
      </c>
      <c r="AG427" s="6">
        <f>ROUND((AE427*AI427),2)</f>
        <v>76.36</v>
      </c>
      <c r="AH427" s="30" t="s">
        <v>110</v>
      </c>
      <c r="AI427" s="3">
        <v>0.65</v>
      </c>
      <c r="AJ427" s="18">
        <v>0.35</v>
      </c>
      <c r="AK427" s="6">
        <f>ROUND((AD427-(AD427*BG427)),2)</f>
        <v>102.06</v>
      </c>
      <c r="AL427" s="6">
        <f>ROUND((AD427-(AD427*BH427)),2)</f>
        <v>101.03</v>
      </c>
      <c r="AM427" s="6">
        <f>ROUND((AD427-(AD427*BI427)),2)</f>
        <v>100</v>
      </c>
      <c r="AN427" s="6">
        <f>ROUND((AD427-(AD427*BJ427)),2)</f>
        <v>100</v>
      </c>
      <c r="AO427" s="6">
        <f>ROUND((AD427-(AD427*BK427)),2)</f>
        <v>103.09</v>
      </c>
      <c r="BG427" s="12">
        <v>0.01</v>
      </c>
      <c r="BH427" s="12">
        <v>0.02</v>
      </c>
      <c r="BI427" s="12">
        <v>0.03</v>
      </c>
      <c r="BJ427" s="12">
        <v>0.03</v>
      </c>
      <c r="CC427" s="3" t="str">
        <f>IF(B427&lt;&gt;"",CONCATENATE(SUBSTITUTE(B427," ","-"),".jpg"),"")</f>
        <v>Allied-Moulded-AMU664NL.jpg</v>
      </c>
      <c r="CD427" s="16" t="s">
        <v>111</v>
      </c>
      <c r="CE427" s="3"/>
      <c r="CF427" s="3"/>
      <c r="CG427" s="3" t="s">
        <v>112</v>
      </c>
      <c r="CI427" s="3" t="s">
        <v>97</v>
      </c>
      <c r="CJ427" s="3" t="s">
        <v>467</v>
      </c>
      <c r="CK427" s="3" t="s">
        <v>114</v>
      </c>
      <c r="CL427" s="3" t="s">
        <v>115</v>
      </c>
      <c r="CM427" s="3" t="s">
        <v>116</v>
      </c>
      <c r="CN427" t="s">
        <v>117</v>
      </c>
      <c r="CO427" s="3" t="s">
        <v>118</v>
      </c>
      <c r="CP427" s="3" t="s">
        <v>139</v>
      </c>
      <c r="CQ427" s="3" t="s">
        <v>120</v>
      </c>
      <c r="CR427" s="3" t="s">
        <v>140</v>
      </c>
      <c r="CS427" s="16" t="s">
        <v>122</v>
      </c>
      <c r="CT427" s="16" t="s">
        <v>351</v>
      </c>
      <c r="CU427" s="16" t="s">
        <v>351</v>
      </c>
      <c r="CV427" s="16" t="s">
        <v>657</v>
      </c>
    </row>
    <row r="428" spans="1:100" ht="15" customHeight="1">
      <c r="A428" t="s">
        <v>2818</v>
      </c>
      <c r="B428" s="3" t="s">
        <v>2819</v>
      </c>
      <c r="C428" s="16" t="s">
        <v>97</v>
      </c>
      <c r="D428" s="38" t="s">
        <v>2820</v>
      </c>
      <c r="E428" s="16" t="s">
        <v>97</v>
      </c>
      <c r="F428" s="131" t="s">
        <v>2821</v>
      </c>
      <c r="I428" s="100" t="s">
        <v>342</v>
      </c>
      <c r="J428" s="16" t="s">
        <v>101</v>
      </c>
      <c r="K428" s="16"/>
      <c r="L428" s="3" t="s">
        <v>102</v>
      </c>
      <c r="M428" s="3" t="s">
        <v>103</v>
      </c>
      <c r="N428" s="3" t="s">
        <v>104</v>
      </c>
      <c r="O428" s="16" t="s">
        <v>105</v>
      </c>
      <c r="P428" s="3" t="s">
        <v>2822</v>
      </c>
      <c r="Q428" s="3" t="s">
        <v>2822</v>
      </c>
      <c r="R428" s="3" t="s">
        <v>2822</v>
      </c>
      <c r="S428" t="s">
        <v>2818</v>
      </c>
      <c r="T428" s="130" t="s">
        <v>465</v>
      </c>
      <c r="U428" s="33">
        <v>3</v>
      </c>
      <c r="V428" s="40"/>
      <c r="W428" s="40"/>
      <c r="X428" s="59" t="s">
        <v>108</v>
      </c>
      <c r="Y428" s="93">
        <f>IF(AD428=0, 0, IF(OR(H428="", H428&lt;&gt;0), 1, 0))</f>
        <v>1</v>
      </c>
      <c r="Z428" s="3">
        <v>0</v>
      </c>
      <c r="AA428" s="3" t="s">
        <v>2823</v>
      </c>
      <c r="AD428" s="6">
        <f>ROUND((AG428*(1+AJ428)),2)</f>
        <v>105.89</v>
      </c>
      <c r="AE428" s="68">
        <v>120.67898901</v>
      </c>
      <c r="AF428" s="17">
        <f>(AE428*1)</f>
        <v>120.67898901</v>
      </c>
      <c r="AG428" s="6">
        <f>ROUND((AE428*AI428),2)</f>
        <v>78.44</v>
      </c>
      <c r="AH428" s="30" t="s">
        <v>110</v>
      </c>
      <c r="AI428" s="3">
        <v>0.65</v>
      </c>
      <c r="AJ428" s="18">
        <v>0.35</v>
      </c>
      <c r="AK428" s="6">
        <f>ROUND((AD428-(AD428*BG428)),2)</f>
        <v>104.83</v>
      </c>
      <c r="AL428" s="6">
        <f>ROUND((AD428-(AD428*BH428)),2)</f>
        <v>103.77</v>
      </c>
      <c r="AM428" s="6">
        <f>ROUND((AD428-(AD428*BI428)),2)</f>
        <v>102.71</v>
      </c>
      <c r="AN428" s="6">
        <f>ROUND((AD428-(AD428*BJ428)),2)</f>
        <v>102.71</v>
      </c>
      <c r="AO428" s="6">
        <f>ROUND((AD428-(AD428*BK428)),2)</f>
        <v>105.89</v>
      </c>
      <c r="BG428" s="12">
        <v>0.01</v>
      </c>
      <c r="BH428" s="12">
        <v>0.02</v>
      </c>
      <c r="BI428" s="12">
        <v>0.03</v>
      </c>
      <c r="BJ428" s="12">
        <v>0.03</v>
      </c>
      <c r="CC428" s="3" t="str">
        <f>IF(B428&lt;&gt;"",CONCATENATE(SUBSTITUTE(B428," ","-"),".jpg"),"")</f>
        <v>Allied-Moulded-AMU664NLF.jpg</v>
      </c>
      <c r="CD428" s="16" t="s">
        <v>111</v>
      </c>
      <c r="CE428" s="3"/>
      <c r="CF428" s="3"/>
      <c r="CG428" s="3" t="s">
        <v>112</v>
      </c>
      <c r="CI428" s="3" t="s">
        <v>97</v>
      </c>
      <c r="CJ428" s="3" t="s">
        <v>467</v>
      </c>
      <c r="CK428" s="3" t="s">
        <v>114</v>
      </c>
      <c r="CL428" s="3" t="s">
        <v>115</v>
      </c>
      <c r="CM428" s="3" t="s">
        <v>116</v>
      </c>
      <c r="CN428" t="s">
        <v>117</v>
      </c>
      <c r="CO428" s="3" t="s">
        <v>118</v>
      </c>
      <c r="CP428" s="3" t="s">
        <v>139</v>
      </c>
      <c r="CQ428" s="3" t="s">
        <v>120</v>
      </c>
      <c r="CR428" s="3" t="s">
        <v>140</v>
      </c>
      <c r="CS428" s="16" t="s">
        <v>122</v>
      </c>
      <c r="CT428" s="16" t="s">
        <v>351</v>
      </c>
      <c r="CU428" s="16" t="s">
        <v>351</v>
      </c>
      <c r="CV428" s="16" t="s">
        <v>657</v>
      </c>
    </row>
    <row r="429" spans="1:100" ht="15" customHeight="1">
      <c r="A429" t="s">
        <v>2824</v>
      </c>
      <c r="B429" s="3" t="s">
        <v>2825</v>
      </c>
      <c r="C429" s="16" t="s">
        <v>97</v>
      </c>
      <c r="D429" s="40" t="s">
        <v>2826</v>
      </c>
      <c r="E429" s="16" t="s">
        <v>97</v>
      </c>
      <c r="F429" s="131" t="s">
        <v>2827</v>
      </c>
      <c r="I429" s="100" t="s">
        <v>342</v>
      </c>
      <c r="J429" s="16" t="s">
        <v>101</v>
      </c>
      <c r="K429" s="16"/>
      <c r="L429" s="3" t="s">
        <v>102</v>
      </c>
      <c r="M429" s="3" t="s">
        <v>103</v>
      </c>
      <c r="N429" s="3" t="s">
        <v>104</v>
      </c>
      <c r="O429" s="16" t="s">
        <v>105</v>
      </c>
      <c r="P429" s="3" t="s">
        <v>2828</v>
      </c>
      <c r="Q429" s="3" t="s">
        <v>2828</v>
      </c>
      <c r="R429" s="3" t="s">
        <v>2828</v>
      </c>
      <c r="S429" t="s">
        <v>2824</v>
      </c>
      <c r="T429" s="130" t="s">
        <v>465</v>
      </c>
      <c r="U429" s="51">
        <v>3</v>
      </c>
      <c r="V429" s="58"/>
      <c r="W429" s="58"/>
      <c r="X429" s="59" t="s">
        <v>108</v>
      </c>
      <c r="Y429" s="93">
        <f>IF(AD429=0, 0, IF(OR(H429="", H429&lt;&gt;0), 1, 0))</f>
        <v>1</v>
      </c>
      <c r="Z429" s="3">
        <v>0</v>
      </c>
      <c r="AA429" s="3" t="s">
        <v>2829</v>
      </c>
      <c r="AD429" s="6">
        <f>ROUND((AG429*(1+AJ429)),2)</f>
        <v>108.5</v>
      </c>
      <c r="AE429" s="69">
        <v>123.65285033000001</v>
      </c>
      <c r="AF429" s="17">
        <f>(AE429*1)</f>
        <v>123.65285033000001</v>
      </c>
      <c r="AG429" s="6">
        <f>ROUND((AE429*AI429),2)</f>
        <v>80.37</v>
      </c>
      <c r="AH429" s="30" t="s">
        <v>110</v>
      </c>
      <c r="AI429" s="3">
        <v>0.65</v>
      </c>
      <c r="AJ429" s="18">
        <v>0.35</v>
      </c>
      <c r="AK429" s="6">
        <f>ROUND((AD429-(AD429*BG429)),2)</f>
        <v>107.42</v>
      </c>
      <c r="AL429" s="6">
        <f>ROUND((AD429-(AD429*BH429)),2)</f>
        <v>106.33</v>
      </c>
      <c r="AM429" s="6">
        <f>ROUND((AD429-(AD429*BI429)),2)</f>
        <v>105.25</v>
      </c>
      <c r="AN429" s="6">
        <f>ROUND((AD429-(AD429*BJ429)),2)</f>
        <v>105.25</v>
      </c>
      <c r="AO429" s="6">
        <f>ROUND((AD429-(AD429*BK429)),2)</f>
        <v>108.5</v>
      </c>
      <c r="BG429" s="12">
        <v>0.01</v>
      </c>
      <c r="BH429" s="12">
        <v>0.02</v>
      </c>
      <c r="BI429" s="12">
        <v>0.03</v>
      </c>
      <c r="BJ429" s="12">
        <v>0.03</v>
      </c>
      <c r="CC429" s="3" t="str">
        <f>IF(B429&lt;&gt;"",CONCATENATE(SUBSTITUTE(B429," ","-"),".jpg"),"")</f>
        <v>Allied-Moulded-AMU664T.jpg</v>
      </c>
      <c r="CD429" s="16" t="s">
        <v>111</v>
      </c>
      <c r="CE429" s="3"/>
      <c r="CF429" s="3"/>
      <c r="CG429" s="3" t="s">
        <v>112</v>
      </c>
      <c r="CI429" s="3" t="s">
        <v>97</v>
      </c>
      <c r="CJ429" s="3" t="s">
        <v>467</v>
      </c>
      <c r="CK429" s="3" t="s">
        <v>114</v>
      </c>
      <c r="CL429" s="3" t="s">
        <v>115</v>
      </c>
      <c r="CM429" s="3" t="s">
        <v>116</v>
      </c>
      <c r="CN429" s="16" t="s">
        <v>132</v>
      </c>
      <c r="CO429" s="3" t="s">
        <v>118</v>
      </c>
      <c r="CP429" s="3" t="s">
        <v>139</v>
      </c>
      <c r="CQ429" s="3" t="s">
        <v>120</v>
      </c>
      <c r="CR429" s="3" t="s">
        <v>140</v>
      </c>
      <c r="CS429" s="16" t="s">
        <v>122</v>
      </c>
      <c r="CT429" s="16" t="s">
        <v>351</v>
      </c>
      <c r="CU429" s="16" t="s">
        <v>351</v>
      </c>
      <c r="CV429" s="16" t="s">
        <v>657</v>
      </c>
    </row>
    <row r="430" spans="1:100" ht="15" customHeight="1">
      <c r="A430" t="s">
        <v>2830</v>
      </c>
      <c r="B430" s="3" t="s">
        <v>2831</v>
      </c>
      <c r="C430" s="16" t="s">
        <v>97</v>
      </c>
      <c r="D430" s="39" t="s">
        <v>2832</v>
      </c>
      <c r="E430" s="16" t="s">
        <v>97</v>
      </c>
      <c r="F430" s="131" t="s">
        <v>2833</v>
      </c>
      <c r="I430" s="100" t="s">
        <v>342</v>
      </c>
      <c r="J430" s="16" t="s">
        <v>101</v>
      </c>
      <c r="K430" s="16"/>
      <c r="L430" s="3" t="s">
        <v>102</v>
      </c>
      <c r="M430" s="3" t="s">
        <v>103</v>
      </c>
      <c r="N430" s="3" t="s">
        <v>104</v>
      </c>
      <c r="O430" s="16" t="s">
        <v>105</v>
      </c>
      <c r="P430" s="3" t="s">
        <v>2834</v>
      </c>
      <c r="Q430" s="3" t="s">
        <v>2834</v>
      </c>
      <c r="R430" s="3" t="s">
        <v>2834</v>
      </c>
      <c r="S430" t="s">
        <v>2830</v>
      </c>
      <c r="T430" s="130" t="s">
        <v>465</v>
      </c>
      <c r="U430" s="50">
        <v>3</v>
      </c>
      <c r="V430" s="54"/>
      <c r="W430" s="54"/>
      <c r="X430" s="59" t="s">
        <v>108</v>
      </c>
      <c r="Y430" s="93">
        <f>IF(AD430=0, 0, IF(OR(H430="", H430&lt;&gt;0), 1, 0))</f>
        <v>1</v>
      </c>
      <c r="Z430" s="3">
        <v>0</v>
      </c>
      <c r="AA430" s="3" t="s">
        <v>2835</v>
      </c>
      <c r="AD430" s="6">
        <f>ROUND((AG430*(1+AJ430)),2)</f>
        <v>111.47</v>
      </c>
      <c r="AE430" s="69">
        <v>127.03143881999998</v>
      </c>
      <c r="AF430" s="17">
        <f>(AE430*1)</f>
        <v>127.03143881999998</v>
      </c>
      <c r="AG430" s="6">
        <f>ROUND((AE430*AI430),2)</f>
        <v>82.57</v>
      </c>
      <c r="AH430" s="30" t="s">
        <v>110</v>
      </c>
      <c r="AI430" s="3">
        <v>0.65</v>
      </c>
      <c r="AJ430" s="18">
        <v>0.35</v>
      </c>
      <c r="AK430" s="6">
        <f>ROUND((AD430-(AD430*BG430)),2)</f>
        <v>110.36</v>
      </c>
      <c r="AL430" s="6">
        <f>ROUND((AD430-(AD430*BH430)),2)</f>
        <v>109.24</v>
      </c>
      <c r="AM430" s="6">
        <f>ROUND((AD430-(AD430*BI430)),2)</f>
        <v>108.13</v>
      </c>
      <c r="AN430" s="6">
        <f>ROUND((AD430-(AD430*BJ430)),2)</f>
        <v>108.13</v>
      </c>
      <c r="AO430" s="6">
        <f>ROUND((AD430-(AD430*BK430)),2)</f>
        <v>111.47</v>
      </c>
      <c r="BG430" s="12">
        <v>0.01</v>
      </c>
      <c r="BH430" s="12">
        <v>0.02</v>
      </c>
      <c r="BI430" s="12">
        <v>0.03</v>
      </c>
      <c r="BJ430" s="12">
        <v>0.03</v>
      </c>
      <c r="CC430" s="3" t="str">
        <f>IF(B430&lt;&gt;"",CONCATENATE(SUBSTITUTE(B430," ","-"),".jpg"),"")</f>
        <v>Allied-Moulded-AMU664TF.jpg</v>
      </c>
      <c r="CD430" s="16" t="s">
        <v>111</v>
      </c>
      <c r="CE430" s="3"/>
      <c r="CF430" s="3"/>
      <c r="CG430" s="3" t="s">
        <v>112</v>
      </c>
      <c r="CI430" s="3" t="s">
        <v>97</v>
      </c>
      <c r="CJ430" s="3" t="s">
        <v>467</v>
      </c>
      <c r="CK430" s="3" t="s">
        <v>114</v>
      </c>
      <c r="CL430" s="3" t="s">
        <v>115</v>
      </c>
      <c r="CM430" s="3" t="s">
        <v>116</v>
      </c>
      <c r="CN430" s="16" t="s">
        <v>132</v>
      </c>
      <c r="CO430" s="3" t="s">
        <v>118</v>
      </c>
      <c r="CP430" s="3" t="s">
        <v>139</v>
      </c>
      <c r="CQ430" s="3" t="s">
        <v>120</v>
      </c>
      <c r="CR430" s="3" t="s">
        <v>140</v>
      </c>
      <c r="CS430" s="16" t="s">
        <v>122</v>
      </c>
      <c r="CT430" s="16" t="s">
        <v>351</v>
      </c>
      <c r="CU430" s="16" t="s">
        <v>351</v>
      </c>
      <c r="CV430" s="16" t="s">
        <v>657</v>
      </c>
    </row>
    <row r="431" spans="1:100" ht="15" customHeight="1">
      <c r="A431" t="s">
        <v>2836</v>
      </c>
      <c r="B431" s="3" t="s">
        <v>2837</v>
      </c>
      <c r="C431" s="16" t="s">
        <v>97</v>
      </c>
      <c r="D431" s="40" t="s">
        <v>2838</v>
      </c>
      <c r="E431" s="16" t="s">
        <v>97</v>
      </c>
      <c r="F431" s="131" t="s">
        <v>2839</v>
      </c>
      <c r="I431" s="100" t="s">
        <v>342</v>
      </c>
      <c r="J431" s="16" t="s">
        <v>101</v>
      </c>
      <c r="K431" s="16"/>
      <c r="L431" s="3" t="s">
        <v>102</v>
      </c>
      <c r="M431" s="3" t="s">
        <v>103</v>
      </c>
      <c r="N431" s="3" t="s">
        <v>104</v>
      </c>
      <c r="O431" s="16" t="s">
        <v>105</v>
      </c>
      <c r="P431" s="3" t="s">
        <v>2840</v>
      </c>
      <c r="Q431" s="3" t="s">
        <v>2840</v>
      </c>
      <c r="R431" s="3" t="s">
        <v>2840</v>
      </c>
      <c r="S431" t="s">
        <v>2836</v>
      </c>
      <c r="T431" s="130" t="s">
        <v>465</v>
      </c>
      <c r="U431" s="51">
        <v>3</v>
      </c>
      <c r="V431" s="58"/>
      <c r="W431" s="58"/>
      <c r="X431" s="59" t="s">
        <v>108</v>
      </c>
      <c r="Y431" s="93">
        <f>IF(AD431=0, 0, IF(OR(H431="", H431&lt;&gt;0), 1, 0))</f>
        <v>1</v>
      </c>
      <c r="Z431" s="3">
        <v>0</v>
      </c>
      <c r="AA431" s="3" t="s">
        <v>2841</v>
      </c>
      <c r="AD431" s="6">
        <f>ROUND((AG431*(1+AJ431)),2)</f>
        <v>136.08000000000001</v>
      </c>
      <c r="AE431" s="69">
        <v>155.08077065000001</v>
      </c>
      <c r="AF431" s="17">
        <f>(AE431*1)</f>
        <v>155.08077065000001</v>
      </c>
      <c r="AG431" s="6">
        <f>ROUND((AE431*AI431),2)</f>
        <v>100.8</v>
      </c>
      <c r="AH431" s="30" t="s">
        <v>110</v>
      </c>
      <c r="AI431" s="3">
        <v>0.65</v>
      </c>
      <c r="AJ431" s="18">
        <v>0.35</v>
      </c>
      <c r="AK431" s="6">
        <f>ROUND((AD431-(AD431*BG431)),2)</f>
        <v>134.72</v>
      </c>
      <c r="AL431" s="6">
        <f>ROUND((AD431-(AD431*BH431)),2)</f>
        <v>133.36000000000001</v>
      </c>
      <c r="AM431" s="6">
        <f>ROUND((AD431-(AD431*BI431)),2)</f>
        <v>132</v>
      </c>
      <c r="AN431" s="6">
        <f>ROUND((AD431-(AD431*BJ431)),2)</f>
        <v>132</v>
      </c>
      <c r="AO431" s="6">
        <f>ROUND((AD431-(AD431*BK431)),2)</f>
        <v>136.08000000000001</v>
      </c>
      <c r="BG431" s="12">
        <v>0.01</v>
      </c>
      <c r="BH431" s="12">
        <v>0.02</v>
      </c>
      <c r="BI431" s="12">
        <v>0.03</v>
      </c>
      <c r="BJ431" s="12">
        <v>0.03</v>
      </c>
      <c r="CC431" s="3" t="str">
        <f>IF(B431&lt;&gt;"",CONCATENATE(SUBSTITUTE(B431," ","-"),".jpg"),"")</f>
        <v>Allied-Moulded-AMU664W.jpg</v>
      </c>
      <c r="CD431" s="16" t="s">
        <v>111</v>
      </c>
      <c r="CE431" s="3"/>
      <c r="CF431" s="3"/>
      <c r="CG431" s="3" t="s">
        <v>112</v>
      </c>
      <c r="CI431" s="3" t="s">
        <v>97</v>
      </c>
      <c r="CJ431" s="3" t="s">
        <v>467</v>
      </c>
      <c r="CK431" s="3" t="s">
        <v>114</v>
      </c>
      <c r="CL431" s="3" t="s">
        <v>115</v>
      </c>
      <c r="CM431" s="16"/>
      <c r="CN431" s="16" t="s">
        <v>349</v>
      </c>
      <c r="CO431" s="3" t="s">
        <v>118</v>
      </c>
      <c r="CP431" s="3" t="s">
        <v>139</v>
      </c>
      <c r="CQ431" s="3" t="s">
        <v>120</v>
      </c>
      <c r="CR431" s="3" t="s">
        <v>140</v>
      </c>
      <c r="CS431" s="3" t="s">
        <v>384</v>
      </c>
      <c r="CT431" s="16" t="s">
        <v>351</v>
      </c>
      <c r="CU431" s="16" t="s">
        <v>351</v>
      </c>
      <c r="CV431" s="16" t="s">
        <v>657</v>
      </c>
    </row>
    <row r="432" spans="1:100" ht="15" customHeight="1">
      <c r="A432" t="s">
        <v>2842</v>
      </c>
      <c r="B432" s="3" t="s">
        <v>2843</v>
      </c>
      <c r="C432" s="16" t="s">
        <v>97</v>
      </c>
      <c r="D432" s="39" t="s">
        <v>2844</v>
      </c>
      <c r="E432" s="16" t="s">
        <v>97</v>
      </c>
      <c r="F432" s="131" t="s">
        <v>2845</v>
      </c>
      <c r="I432" s="100" t="s">
        <v>342</v>
      </c>
      <c r="J432" s="16" t="s">
        <v>101</v>
      </c>
      <c r="K432" s="16"/>
      <c r="L432" s="3" t="s">
        <v>102</v>
      </c>
      <c r="M432" s="3" t="s">
        <v>103</v>
      </c>
      <c r="N432" s="3" t="s">
        <v>104</v>
      </c>
      <c r="O432" s="16" t="s">
        <v>105</v>
      </c>
      <c r="P432" s="3" t="s">
        <v>2846</v>
      </c>
      <c r="Q432" s="3" t="s">
        <v>2846</v>
      </c>
      <c r="R432" s="3" t="s">
        <v>2846</v>
      </c>
      <c r="S432" t="s">
        <v>2842</v>
      </c>
      <c r="T432" s="130" t="s">
        <v>465</v>
      </c>
      <c r="U432" s="50">
        <v>3</v>
      </c>
      <c r="V432" s="54"/>
      <c r="W432" s="54"/>
      <c r="X432" s="59" t="s">
        <v>108</v>
      </c>
      <c r="Y432" s="93">
        <f>IF(AD432=0, 0, IF(OR(H432="", H432&lt;&gt;0), 1, 0))</f>
        <v>1</v>
      </c>
      <c r="Z432" s="3">
        <v>0</v>
      </c>
      <c r="AA432" s="3" t="s">
        <v>2847</v>
      </c>
      <c r="AD432" s="6">
        <f>ROUND((AG432*(1+AJ432)),2)</f>
        <v>139.79</v>
      </c>
      <c r="AE432" s="69">
        <v>159.30400549000001</v>
      </c>
      <c r="AF432" s="17">
        <f>(AE432*1)</f>
        <v>159.30400549000001</v>
      </c>
      <c r="AG432" s="6">
        <f>ROUND((AE432*AI432),2)</f>
        <v>103.55</v>
      </c>
      <c r="AH432" s="30" t="s">
        <v>110</v>
      </c>
      <c r="AI432" s="3">
        <v>0.65</v>
      </c>
      <c r="AJ432" s="18">
        <v>0.35</v>
      </c>
      <c r="AK432" s="6">
        <f>ROUND((AD432-(AD432*BG432)),2)</f>
        <v>138.38999999999999</v>
      </c>
      <c r="AL432" s="6">
        <f>ROUND((AD432-(AD432*BH432)),2)</f>
        <v>136.99</v>
      </c>
      <c r="AM432" s="6">
        <f>ROUND((AD432-(AD432*BI432)),2)</f>
        <v>135.6</v>
      </c>
      <c r="AN432" s="6">
        <f>ROUND((AD432-(AD432*BJ432)),2)</f>
        <v>135.6</v>
      </c>
      <c r="AO432" s="6">
        <f>ROUND((AD432-(AD432*BK432)),2)</f>
        <v>139.79</v>
      </c>
      <c r="BG432" s="12">
        <v>0.01</v>
      </c>
      <c r="BH432" s="12">
        <v>0.02</v>
      </c>
      <c r="BI432" s="12">
        <v>0.03</v>
      </c>
      <c r="BJ432" s="12">
        <v>0.03</v>
      </c>
      <c r="CC432" s="3" t="str">
        <f>IF(B432&lt;&gt;"",CONCATENATE(SUBSTITUTE(B432," ","-"),".jpg"),"")</f>
        <v>Allied-Moulded-AMU664WF.jpg</v>
      </c>
      <c r="CD432" s="16" t="s">
        <v>111</v>
      </c>
      <c r="CE432" s="3"/>
      <c r="CF432" s="3"/>
      <c r="CG432" s="3" t="s">
        <v>112</v>
      </c>
      <c r="CI432" s="3" t="s">
        <v>97</v>
      </c>
      <c r="CJ432" s="3" t="s">
        <v>467</v>
      </c>
      <c r="CK432" s="3" t="s">
        <v>114</v>
      </c>
      <c r="CL432" s="3" t="s">
        <v>115</v>
      </c>
      <c r="CM432" s="16"/>
      <c r="CN432" s="16" t="s">
        <v>349</v>
      </c>
      <c r="CO432" s="3" t="s">
        <v>118</v>
      </c>
      <c r="CP432" s="3" t="s">
        <v>139</v>
      </c>
      <c r="CQ432" s="3" t="s">
        <v>120</v>
      </c>
      <c r="CR432" s="3" t="s">
        <v>140</v>
      </c>
      <c r="CS432" s="3" t="s">
        <v>384</v>
      </c>
      <c r="CT432" s="16" t="s">
        <v>351</v>
      </c>
      <c r="CU432" s="16" t="s">
        <v>351</v>
      </c>
      <c r="CV432" s="16" t="s">
        <v>657</v>
      </c>
    </row>
    <row r="433" spans="1:100" ht="15" customHeight="1">
      <c r="A433" t="s">
        <v>2848</v>
      </c>
      <c r="B433" s="3" t="s">
        <v>2849</v>
      </c>
      <c r="C433" s="16" t="s">
        <v>97</v>
      </c>
      <c r="D433" s="40" t="s">
        <v>2850</v>
      </c>
      <c r="E433" s="16" t="s">
        <v>97</v>
      </c>
      <c r="F433" s="131" t="s">
        <v>2851</v>
      </c>
      <c r="I433" s="100" t="s">
        <v>342</v>
      </c>
      <c r="J433" s="16" t="s">
        <v>101</v>
      </c>
      <c r="K433" s="16"/>
      <c r="L433" s="3" t="s">
        <v>102</v>
      </c>
      <c r="M433" s="3" t="s">
        <v>103</v>
      </c>
      <c r="N433" s="3" t="s">
        <v>104</v>
      </c>
      <c r="O433" s="16" t="s">
        <v>105</v>
      </c>
      <c r="P433" s="3" t="s">
        <v>2852</v>
      </c>
      <c r="Q433" s="3" t="s">
        <v>2852</v>
      </c>
      <c r="R433" s="3" t="s">
        <v>2852</v>
      </c>
      <c r="S433" t="s">
        <v>2848</v>
      </c>
      <c r="T433" s="130" t="s">
        <v>465</v>
      </c>
      <c r="U433" s="35">
        <v>3</v>
      </c>
      <c r="V433" s="40"/>
      <c r="W433" s="40"/>
      <c r="X433" s="59" t="s">
        <v>108</v>
      </c>
      <c r="Y433" s="93">
        <f>IF(AD433=0, 0, IF(OR(H433="", H433&lt;&gt;0), 1, 0))</f>
        <v>1</v>
      </c>
      <c r="Z433" s="3">
        <v>0</v>
      </c>
      <c r="AA433" s="3" t="s">
        <v>2853</v>
      </c>
      <c r="AD433" s="6">
        <f>ROUND((AG433*(1+AJ433)),2)</f>
        <v>139.46</v>
      </c>
      <c r="AE433" s="69">
        <v>158.91687690000001</v>
      </c>
      <c r="AF433" s="17">
        <f>(AE433*1)</f>
        <v>158.91687690000001</v>
      </c>
      <c r="AG433" s="6">
        <f>ROUND((AE433*AI433),2)</f>
        <v>103.3</v>
      </c>
      <c r="AH433" s="30" t="s">
        <v>110</v>
      </c>
      <c r="AI433" s="3">
        <v>0.65</v>
      </c>
      <c r="AJ433" s="18">
        <v>0.35</v>
      </c>
      <c r="AK433" s="6">
        <f>ROUND((AD433-(AD433*BG433)),2)</f>
        <v>138.07</v>
      </c>
      <c r="AL433" s="6">
        <f>ROUND((AD433-(AD433*BH433)),2)</f>
        <v>136.66999999999999</v>
      </c>
      <c r="AM433" s="6">
        <f>ROUND((AD433-(AD433*BI433)),2)</f>
        <v>135.28</v>
      </c>
      <c r="AN433" s="6">
        <f>ROUND((AD433-(AD433*BJ433)),2)</f>
        <v>135.28</v>
      </c>
      <c r="AO433" s="6">
        <f>ROUND((AD433-(AD433*BK433)),2)</f>
        <v>139.46</v>
      </c>
      <c r="BG433" s="12">
        <v>0.01</v>
      </c>
      <c r="BH433" s="12">
        <v>0.02</v>
      </c>
      <c r="BI433" s="12">
        <v>0.03</v>
      </c>
      <c r="BJ433" s="12">
        <v>0.03</v>
      </c>
      <c r="CC433" s="3" t="str">
        <f>IF(B433&lt;&gt;"",CONCATENATE(SUBSTITUTE(B433," ","-"),".jpg"),"")</f>
        <v>Allied-Moulded-AMU664HW.jpg</v>
      </c>
      <c r="CD433" s="16" t="s">
        <v>111</v>
      </c>
      <c r="CE433" s="3"/>
      <c r="CF433" s="3"/>
      <c r="CG433" s="3" t="s">
        <v>112</v>
      </c>
      <c r="CI433" s="3" t="s">
        <v>97</v>
      </c>
      <c r="CJ433" s="3" t="s">
        <v>467</v>
      </c>
      <c r="CK433" s="3" t="s">
        <v>114</v>
      </c>
      <c r="CL433" s="3" t="s">
        <v>115</v>
      </c>
      <c r="CM433" s="3" t="s">
        <v>116</v>
      </c>
      <c r="CN433" s="16" t="s">
        <v>349</v>
      </c>
      <c r="CO433" s="3" t="s">
        <v>118</v>
      </c>
      <c r="CP433" s="3" t="s">
        <v>139</v>
      </c>
      <c r="CQ433" s="3" t="s">
        <v>120</v>
      </c>
      <c r="CR433" s="3" t="s">
        <v>140</v>
      </c>
      <c r="CS433" s="3" t="s">
        <v>384</v>
      </c>
      <c r="CT433" s="16" t="s">
        <v>351</v>
      </c>
      <c r="CU433" s="16" t="s">
        <v>351</v>
      </c>
      <c r="CV433" s="16" t="s">
        <v>657</v>
      </c>
    </row>
    <row r="434" spans="1:100" ht="15" customHeight="1">
      <c r="A434" t="s">
        <v>2854</v>
      </c>
      <c r="B434" s="3" t="s">
        <v>2855</v>
      </c>
      <c r="C434" s="16" t="s">
        <v>97</v>
      </c>
      <c r="D434" s="39" t="s">
        <v>2856</v>
      </c>
      <c r="E434" s="16" t="s">
        <v>97</v>
      </c>
      <c r="F434" s="131" t="s">
        <v>2857</v>
      </c>
      <c r="I434" s="100" t="s">
        <v>342</v>
      </c>
      <c r="J434" s="16" t="s">
        <v>101</v>
      </c>
      <c r="K434" s="16"/>
      <c r="L434" s="3" t="s">
        <v>102</v>
      </c>
      <c r="M434" s="3" t="s">
        <v>103</v>
      </c>
      <c r="N434" s="3" t="s">
        <v>104</v>
      </c>
      <c r="O434" s="16" t="s">
        <v>105</v>
      </c>
      <c r="P434" s="3" t="s">
        <v>2858</v>
      </c>
      <c r="Q434" s="3" t="s">
        <v>2858</v>
      </c>
      <c r="R434" s="3" t="s">
        <v>2858</v>
      </c>
      <c r="S434" t="s">
        <v>2854</v>
      </c>
      <c r="T434" s="130" t="s">
        <v>465</v>
      </c>
      <c r="U434" s="34">
        <v>3</v>
      </c>
      <c r="V434" s="39"/>
      <c r="W434" s="39"/>
      <c r="X434" s="59" t="s">
        <v>108</v>
      </c>
      <c r="Y434" s="93">
        <f>IF(AD434=0, 0, IF(OR(H434="", H434&lt;&gt;0), 1, 0))</f>
        <v>1</v>
      </c>
      <c r="Z434" s="3">
        <v>0</v>
      </c>
      <c r="AA434" s="3" t="s">
        <v>2859</v>
      </c>
      <c r="AD434" s="6">
        <f>ROUND((AG434*(1+AJ434)),2)</f>
        <v>143.34</v>
      </c>
      <c r="AE434" s="69">
        <v>163.35127410000001</v>
      </c>
      <c r="AF434" s="17">
        <f>(AE434*1)</f>
        <v>163.35127410000001</v>
      </c>
      <c r="AG434" s="6">
        <f>ROUND((AE434*AI434),2)</f>
        <v>106.18</v>
      </c>
      <c r="AH434" s="30" t="s">
        <v>110</v>
      </c>
      <c r="AI434" s="3">
        <v>0.65</v>
      </c>
      <c r="AJ434" s="18">
        <v>0.35</v>
      </c>
      <c r="AK434" s="6">
        <f>ROUND((AD434-(AD434*BG434)),2)</f>
        <v>141.91</v>
      </c>
      <c r="AL434" s="6">
        <f>ROUND((AD434-(AD434*BH434)),2)</f>
        <v>140.47</v>
      </c>
      <c r="AM434" s="6">
        <f>ROUND((AD434-(AD434*BI434)),2)</f>
        <v>139.04</v>
      </c>
      <c r="AN434" s="6">
        <f>ROUND((AD434-(AD434*BJ434)),2)</f>
        <v>139.04</v>
      </c>
      <c r="AO434" s="6">
        <f>ROUND((AD434-(AD434*BK434)),2)</f>
        <v>143.34</v>
      </c>
      <c r="BG434" s="12">
        <v>0.01</v>
      </c>
      <c r="BH434" s="12">
        <v>0.02</v>
      </c>
      <c r="BI434" s="12">
        <v>0.03</v>
      </c>
      <c r="BJ434" s="12">
        <v>0.03</v>
      </c>
      <c r="CC434" s="3" t="str">
        <f>IF(B434&lt;&gt;"",CONCATENATE(SUBSTITUTE(B434," ","-"),".jpg"),"")</f>
        <v>Allied-Moulded-AMU664HWF.jpg</v>
      </c>
      <c r="CD434" s="16" t="s">
        <v>111</v>
      </c>
      <c r="CE434" s="3"/>
      <c r="CF434" s="3"/>
      <c r="CG434" s="3" t="s">
        <v>112</v>
      </c>
      <c r="CI434" s="3" t="s">
        <v>97</v>
      </c>
      <c r="CJ434" s="3" t="s">
        <v>467</v>
      </c>
      <c r="CK434" s="3" t="s">
        <v>114</v>
      </c>
      <c r="CL434" s="3" t="s">
        <v>115</v>
      </c>
      <c r="CM434" s="3" t="s">
        <v>116</v>
      </c>
      <c r="CN434" s="16" t="s">
        <v>349</v>
      </c>
      <c r="CO434" s="3" t="s">
        <v>118</v>
      </c>
      <c r="CP434" s="3" t="s">
        <v>139</v>
      </c>
      <c r="CQ434" s="3" t="s">
        <v>120</v>
      </c>
      <c r="CR434" s="3" t="s">
        <v>140</v>
      </c>
      <c r="CS434" s="3" t="s">
        <v>384</v>
      </c>
      <c r="CT434" s="16" t="s">
        <v>351</v>
      </c>
      <c r="CU434" s="16" t="s">
        <v>351</v>
      </c>
      <c r="CV434" s="16" t="s">
        <v>657</v>
      </c>
    </row>
    <row r="435" spans="1:100" ht="15" customHeight="1">
      <c r="A435" t="s">
        <v>2860</v>
      </c>
      <c r="B435" s="3" t="s">
        <v>2861</v>
      </c>
      <c r="C435" s="16" t="s">
        <v>97</v>
      </c>
      <c r="D435" s="39" t="s">
        <v>2862</v>
      </c>
      <c r="E435" s="16" t="s">
        <v>97</v>
      </c>
      <c r="F435" s="131" t="s">
        <v>2863</v>
      </c>
      <c r="I435" s="100" t="s">
        <v>342</v>
      </c>
      <c r="J435" s="16" t="s">
        <v>101</v>
      </c>
      <c r="K435" s="16"/>
      <c r="L435" s="3" t="s">
        <v>102</v>
      </c>
      <c r="M435" s="3" t="s">
        <v>103</v>
      </c>
      <c r="N435" s="3" t="s">
        <v>104</v>
      </c>
      <c r="O435" s="16" t="s">
        <v>105</v>
      </c>
      <c r="P435" s="3" t="s">
        <v>2864</v>
      </c>
      <c r="Q435" s="3" t="s">
        <v>2864</v>
      </c>
      <c r="R435" s="3" t="s">
        <v>2864</v>
      </c>
      <c r="S435" t="s">
        <v>2860</v>
      </c>
      <c r="T435" s="130" t="s">
        <v>465</v>
      </c>
      <c r="U435" s="34">
        <v>3</v>
      </c>
      <c r="V435" s="39"/>
      <c r="W435" s="39"/>
      <c r="X435" s="59" t="s">
        <v>108</v>
      </c>
      <c r="Y435" s="93">
        <f>IF(AD435=0, 0, IF(OR(H435="", H435&lt;&gt;0), 1, 0))</f>
        <v>1</v>
      </c>
      <c r="Z435" s="3">
        <v>0</v>
      </c>
      <c r="AA435" s="3" t="s">
        <v>2865</v>
      </c>
      <c r="AD435" s="6">
        <f>ROUND((AG435*(1+AJ435)),2)</f>
        <v>155.05000000000001</v>
      </c>
      <c r="AE435" s="69">
        <v>176.68966286</v>
      </c>
      <c r="AF435" s="17">
        <f>(AE435*1)</f>
        <v>176.68966286</v>
      </c>
      <c r="AG435" s="6">
        <f>ROUND((AE435*AI435),2)</f>
        <v>114.85</v>
      </c>
      <c r="AH435" s="30" t="s">
        <v>110</v>
      </c>
      <c r="AI435" s="3">
        <v>0.65</v>
      </c>
      <c r="AJ435" s="18">
        <v>0.35</v>
      </c>
      <c r="AK435" s="6">
        <f>ROUND((AD435-(AD435*BG435)),2)</f>
        <v>153.5</v>
      </c>
      <c r="AL435" s="6">
        <f>ROUND((AD435-(AD435*BH435)),2)</f>
        <v>151.94999999999999</v>
      </c>
      <c r="AM435" s="6">
        <f>ROUND((AD435-(AD435*BI435)),2)</f>
        <v>150.4</v>
      </c>
      <c r="AN435" s="6">
        <f>ROUND((AD435-(AD435*BJ435)),2)</f>
        <v>150.4</v>
      </c>
      <c r="AO435" s="6">
        <f>ROUND((AD435-(AD435*BK435)),2)</f>
        <v>155.05000000000001</v>
      </c>
      <c r="BG435" s="12">
        <v>0.01</v>
      </c>
      <c r="BH435" s="12">
        <v>0.02</v>
      </c>
      <c r="BI435" s="12">
        <v>0.03</v>
      </c>
      <c r="BJ435" s="12">
        <v>0.03</v>
      </c>
      <c r="CC435" s="3" t="str">
        <f>IF(B435&lt;&gt;"",CONCATENATE(SUBSTITUTE(B435," ","-"),".jpg"),"")</f>
        <v>Allied-Moulded-AMU664LW.jpg</v>
      </c>
      <c r="CD435" s="16" t="s">
        <v>111</v>
      </c>
      <c r="CE435" s="3"/>
      <c r="CF435" s="3"/>
      <c r="CG435" s="3" t="s">
        <v>112</v>
      </c>
      <c r="CI435" s="3" t="s">
        <v>97</v>
      </c>
      <c r="CJ435" s="3" t="s">
        <v>467</v>
      </c>
      <c r="CK435" s="3" t="s">
        <v>114</v>
      </c>
      <c r="CL435" s="3" t="s">
        <v>115</v>
      </c>
      <c r="CM435" s="3" t="s">
        <v>116</v>
      </c>
      <c r="CN435" t="s">
        <v>117</v>
      </c>
      <c r="CO435" s="3" t="s">
        <v>118</v>
      </c>
      <c r="CP435" s="3" t="s">
        <v>139</v>
      </c>
      <c r="CQ435" s="3" t="s">
        <v>120</v>
      </c>
      <c r="CR435" s="3" t="s">
        <v>140</v>
      </c>
      <c r="CS435" s="16" t="s">
        <v>122</v>
      </c>
      <c r="CT435" s="16" t="s">
        <v>351</v>
      </c>
      <c r="CU435" s="16" t="s">
        <v>351</v>
      </c>
      <c r="CV435" s="16" t="s">
        <v>657</v>
      </c>
    </row>
    <row r="436" spans="1:100" ht="15" customHeight="1">
      <c r="A436" t="s">
        <v>2866</v>
      </c>
      <c r="B436" s="3" t="s">
        <v>2867</v>
      </c>
      <c r="C436" s="16" t="s">
        <v>97</v>
      </c>
      <c r="D436" s="40" t="s">
        <v>2868</v>
      </c>
      <c r="E436" s="16" t="s">
        <v>97</v>
      </c>
      <c r="F436" s="131" t="s">
        <v>2869</v>
      </c>
      <c r="I436" s="100" t="s">
        <v>342</v>
      </c>
      <c r="J436" s="16" t="s">
        <v>101</v>
      </c>
      <c r="K436" s="16"/>
      <c r="L436" s="3" t="s">
        <v>102</v>
      </c>
      <c r="M436" s="3" t="s">
        <v>103</v>
      </c>
      <c r="N436" s="3" t="s">
        <v>104</v>
      </c>
      <c r="O436" s="16" t="s">
        <v>105</v>
      </c>
      <c r="P436" s="3" t="s">
        <v>2870</v>
      </c>
      <c r="Q436" s="3" t="s">
        <v>2870</v>
      </c>
      <c r="R436" s="3" t="s">
        <v>2870</v>
      </c>
      <c r="S436" t="s">
        <v>2866</v>
      </c>
      <c r="T436" s="130" t="s">
        <v>465</v>
      </c>
      <c r="U436" s="35">
        <v>3</v>
      </c>
      <c r="V436" s="40"/>
      <c r="W436" s="40"/>
      <c r="X436" s="59" t="s">
        <v>108</v>
      </c>
      <c r="Y436" s="93">
        <f>IF(AD436=0, 0, IF(OR(H436="", H436&lt;&gt;0), 1, 0))</f>
        <v>1</v>
      </c>
      <c r="Z436" s="3">
        <v>0</v>
      </c>
      <c r="AA436" s="3" t="s">
        <v>2871</v>
      </c>
      <c r="AD436" s="6">
        <f>ROUND((AG436*(1+AJ436)),2)</f>
        <v>159.27000000000001</v>
      </c>
      <c r="AE436" s="69">
        <v>181.51119174000004</v>
      </c>
      <c r="AF436" s="17">
        <f>(AE436*1)</f>
        <v>181.51119174000004</v>
      </c>
      <c r="AG436" s="6">
        <f>ROUND((AE436*AI436),2)</f>
        <v>117.98</v>
      </c>
      <c r="AH436" s="30" t="s">
        <v>110</v>
      </c>
      <c r="AI436" s="3">
        <v>0.65</v>
      </c>
      <c r="AJ436" s="18">
        <v>0.35</v>
      </c>
      <c r="AK436" s="6">
        <f>ROUND((AD436-(AD436*BG436)),2)</f>
        <v>157.68</v>
      </c>
      <c r="AL436" s="6">
        <f>ROUND((AD436-(AD436*BH436)),2)</f>
        <v>156.08000000000001</v>
      </c>
      <c r="AM436" s="6">
        <f>ROUND((AD436-(AD436*BI436)),2)</f>
        <v>154.49</v>
      </c>
      <c r="AN436" s="6">
        <f>ROUND((AD436-(AD436*BJ436)),2)</f>
        <v>154.49</v>
      </c>
      <c r="AO436" s="6">
        <f>ROUND((AD436-(AD436*BK436)),2)</f>
        <v>159.27000000000001</v>
      </c>
      <c r="BG436" s="12">
        <v>0.01</v>
      </c>
      <c r="BH436" s="12">
        <v>0.02</v>
      </c>
      <c r="BI436" s="12">
        <v>0.03</v>
      </c>
      <c r="BJ436" s="12">
        <v>0.03</v>
      </c>
      <c r="CC436" s="3" t="str">
        <f>IF(B436&lt;&gt;"",CONCATENATE(SUBSTITUTE(B436," ","-"),".jpg"),"")</f>
        <v>Allied-Moulded-AMU664LWF.jpg</v>
      </c>
      <c r="CD436" s="16" t="s">
        <v>111</v>
      </c>
      <c r="CE436" s="3"/>
      <c r="CF436" s="3"/>
      <c r="CG436" s="3" t="s">
        <v>112</v>
      </c>
      <c r="CI436" s="3" t="s">
        <v>97</v>
      </c>
      <c r="CJ436" s="3" t="s">
        <v>467</v>
      </c>
      <c r="CK436" s="3" t="s">
        <v>114</v>
      </c>
      <c r="CL436" s="3" t="s">
        <v>115</v>
      </c>
      <c r="CM436" s="3" t="s">
        <v>116</v>
      </c>
      <c r="CN436" t="s">
        <v>117</v>
      </c>
      <c r="CO436" s="3" t="s">
        <v>118</v>
      </c>
      <c r="CP436" s="3" t="s">
        <v>139</v>
      </c>
      <c r="CQ436" s="3" t="s">
        <v>120</v>
      </c>
      <c r="CR436" s="3" t="s">
        <v>140</v>
      </c>
      <c r="CS436" s="16" t="s">
        <v>122</v>
      </c>
      <c r="CT436" s="16" t="s">
        <v>351</v>
      </c>
      <c r="CU436" s="16" t="s">
        <v>351</v>
      </c>
      <c r="CV436" s="16" t="s">
        <v>657</v>
      </c>
    </row>
    <row r="437" spans="1:100" ht="15" customHeight="1">
      <c r="A437" t="s">
        <v>2872</v>
      </c>
      <c r="B437" s="3" t="s">
        <v>2873</v>
      </c>
      <c r="C437" s="16" t="s">
        <v>97</v>
      </c>
      <c r="D437" s="40" t="s">
        <v>2874</v>
      </c>
      <c r="E437" s="16" t="s">
        <v>97</v>
      </c>
      <c r="F437" s="131" t="s">
        <v>2875</v>
      </c>
      <c r="I437" s="100" t="s">
        <v>342</v>
      </c>
      <c r="J437" s="16" t="s">
        <v>101</v>
      </c>
      <c r="K437" s="16"/>
      <c r="L437" s="3" t="s">
        <v>102</v>
      </c>
      <c r="M437" s="3" t="s">
        <v>103</v>
      </c>
      <c r="N437" s="3" t="s">
        <v>104</v>
      </c>
      <c r="O437" s="16" t="s">
        <v>105</v>
      </c>
      <c r="P437" s="3" t="s">
        <v>2876</v>
      </c>
      <c r="Q437" s="3" t="s">
        <v>2876</v>
      </c>
      <c r="R437" s="3" t="s">
        <v>2876</v>
      </c>
      <c r="S437" t="s">
        <v>2872</v>
      </c>
      <c r="T437" s="130" t="s">
        <v>465</v>
      </c>
      <c r="U437" s="35">
        <v>3</v>
      </c>
      <c r="V437" s="40"/>
      <c r="W437" s="40"/>
      <c r="X437" s="59" t="s">
        <v>108</v>
      </c>
      <c r="Y437" s="93">
        <f>IF(AD437=0, 0, IF(OR(H437="", H437&lt;&gt;0), 1, 0))</f>
        <v>1</v>
      </c>
      <c r="Z437" s="3">
        <v>0</v>
      </c>
      <c r="AA437" s="3" t="s">
        <v>2877</v>
      </c>
      <c r="AD437" s="6">
        <f>ROUND((AG437*(1+AJ437)),2)</f>
        <v>147.31</v>
      </c>
      <c r="AE437" s="69">
        <v>167.87365801999999</v>
      </c>
      <c r="AF437" s="17">
        <f>(AE437*1)</f>
        <v>167.87365801999999</v>
      </c>
      <c r="AG437" s="6">
        <f>ROUND((AE437*AI437),2)</f>
        <v>109.12</v>
      </c>
      <c r="AH437" s="30" t="s">
        <v>110</v>
      </c>
      <c r="AI437" s="3">
        <v>0.65</v>
      </c>
      <c r="AJ437" s="18">
        <v>0.35</v>
      </c>
      <c r="AK437" s="6">
        <f>ROUND((AD437-(AD437*BG437)),2)</f>
        <v>145.84</v>
      </c>
      <c r="AL437" s="6">
        <f>ROUND((AD437-(AD437*BH437)),2)</f>
        <v>144.36000000000001</v>
      </c>
      <c r="AM437" s="6">
        <f>ROUND((AD437-(AD437*BI437)),2)</f>
        <v>142.88999999999999</v>
      </c>
      <c r="AN437" s="6">
        <f>ROUND((AD437-(AD437*BJ437)),2)</f>
        <v>142.88999999999999</v>
      </c>
      <c r="AO437" s="6">
        <f>ROUND((AD437-(AD437*BK437)),2)</f>
        <v>147.31</v>
      </c>
      <c r="BG437" s="12">
        <v>0.01</v>
      </c>
      <c r="BH437" s="12">
        <v>0.02</v>
      </c>
      <c r="BI437" s="12">
        <v>0.03</v>
      </c>
      <c r="BJ437" s="12">
        <v>0.03</v>
      </c>
      <c r="CC437" s="3" t="str">
        <f>IF(B437&lt;&gt;"",CONCATENATE(SUBSTITUTE(B437," ","-"),".jpg"),"")</f>
        <v>Allied-Moulded-AMU664NLW.jpg</v>
      </c>
      <c r="CD437" s="16" t="s">
        <v>111</v>
      </c>
      <c r="CE437" s="3"/>
      <c r="CF437" s="3"/>
      <c r="CG437" s="3" t="s">
        <v>112</v>
      </c>
      <c r="CI437" s="3" t="s">
        <v>97</v>
      </c>
      <c r="CJ437" s="3" t="s">
        <v>467</v>
      </c>
      <c r="CK437" s="3" t="s">
        <v>114</v>
      </c>
      <c r="CL437" s="3" t="s">
        <v>115</v>
      </c>
      <c r="CM437" s="3" t="s">
        <v>116</v>
      </c>
      <c r="CN437" t="s">
        <v>117</v>
      </c>
      <c r="CO437" s="3" t="s">
        <v>118</v>
      </c>
      <c r="CP437" s="3" t="s">
        <v>139</v>
      </c>
      <c r="CQ437" s="3" t="s">
        <v>120</v>
      </c>
      <c r="CR437" s="16" t="s">
        <v>121</v>
      </c>
      <c r="CS437" s="16" t="s">
        <v>122</v>
      </c>
      <c r="CT437" s="16" t="s">
        <v>351</v>
      </c>
      <c r="CU437" s="16" t="s">
        <v>351</v>
      </c>
      <c r="CV437" s="16" t="s">
        <v>657</v>
      </c>
    </row>
    <row r="438" spans="1:100" ht="15" customHeight="1">
      <c r="A438" t="s">
        <v>2878</v>
      </c>
      <c r="B438" s="3" t="s">
        <v>2879</v>
      </c>
      <c r="C438" s="16" t="s">
        <v>97</v>
      </c>
      <c r="D438" s="39" t="s">
        <v>2880</v>
      </c>
      <c r="E438" s="16" t="s">
        <v>97</v>
      </c>
      <c r="F438" s="131" t="s">
        <v>2881</v>
      </c>
      <c r="I438" s="100" t="s">
        <v>342</v>
      </c>
      <c r="J438" s="16" t="s">
        <v>101</v>
      </c>
      <c r="K438" s="16"/>
      <c r="L438" s="3" t="s">
        <v>102</v>
      </c>
      <c r="M438" s="3" t="s">
        <v>103</v>
      </c>
      <c r="N438" s="3" t="s">
        <v>104</v>
      </c>
      <c r="O438" s="16" t="s">
        <v>105</v>
      </c>
      <c r="P438" s="3" t="s">
        <v>2882</v>
      </c>
      <c r="Q438" s="3" t="s">
        <v>2882</v>
      </c>
      <c r="R438" s="3" t="s">
        <v>2882</v>
      </c>
      <c r="S438" t="s">
        <v>2878</v>
      </c>
      <c r="T438" s="130" t="s">
        <v>465</v>
      </c>
      <c r="U438" s="34">
        <v>3</v>
      </c>
      <c r="V438" s="39"/>
      <c r="W438" s="39"/>
      <c r="X438" s="59" t="s">
        <v>108</v>
      </c>
      <c r="Y438" s="93">
        <f>IF(AD438=0, 0, IF(OR(H438="", H438&lt;&gt;0), 1, 0))</f>
        <v>1</v>
      </c>
      <c r="Z438" s="3">
        <v>0</v>
      </c>
      <c r="AA438" s="3" t="s">
        <v>2883</v>
      </c>
      <c r="AD438" s="6">
        <f>ROUND((AG438*(1+AJ438)),2)</f>
        <v>151.32</v>
      </c>
      <c r="AE438" s="69">
        <v>172.44883046999999</v>
      </c>
      <c r="AF438" s="17">
        <f>(AE438*1)</f>
        <v>172.44883046999999</v>
      </c>
      <c r="AG438" s="6">
        <f>ROUND((AE438*AI438),2)</f>
        <v>112.09</v>
      </c>
      <c r="AH438" s="30" t="s">
        <v>110</v>
      </c>
      <c r="AI438" s="3">
        <v>0.65</v>
      </c>
      <c r="AJ438" s="18">
        <v>0.35</v>
      </c>
      <c r="AK438" s="6">
        <f>ROUND((AD438-(AD438*BG438)),2)</f>
        <v>149.81</v>
      </c>
      <c r="AL438" s="6">
        <f>ROUND((AD438-(AD438*BH438)),2)</f>
        <v>148.29</v>
      </c>
      <c r="AM438" s="6">
        <f>ROUND((AD438-(AD438*BI438)),2)</f>
        <v>146.78</v>
      </c>
      <c r="AN438" s="6">
        <f>ROUND((AD438-(AD438*BJ438)),2)</f>
        <v>146.78</v>
      </c>
      <c r="AO438" s="6">
        <f>ROUND((AD438-(AD438*BK438)),2)</f>
        <v>151.32</v>
      </c>
      <c r="BG438" s="12">
        <v>0.01</v>
      </c>
      <c r="BH438" s="12">
        <v>0.02</v>
      </c>
      <c r="BI438" s="12">
        <v>0.03</v>
      </c>
      <c r="BJ438" s="12">
        <v>0.03</v>
      </c>
      <c r="CC438" s="3" t="str">
        <f>IF(B438&lt;&gt;"",CONCATENATE(SUBSTITUTE(B438," ","-"),".jpg"),"")</f>
        <v>Allied-Moulded-AMU664NLWF.jpg</v>
      </c>
      <c r="CD438" s="16" t="s">
        <v>111</v>
      </c>
      <c r="CE438" s="3"/>
      <c r="CF438" s="3"/>
      <c r="CG438" s="3" t="s">
        <v>112</v>
      </c>
      <c r="CI438" s="3" t="s">
        <v>97</v>
      </c>
      <c r="CJ438" s="3" t="s">
        <v>467</v>
      </c>
      <c r="CK438" s="3" t="s">
        <v>114</v>
      </c>
      <c r="CL438" s="3" t="s">
        <v>115</v>
      </c>
      <c r="CM438" s="3" t="s">
        <v>116</v>
      </c>
      <c r="CN438" t="s">
        <v>117</v>
      </c>
      <c r="CO438" s="3" t="s">
        <v>118</v>
      </c>
      <c r="CP438" s="3" t="s">
        <v>139</v>
      </c>
      <c r="CQ438" s="3" t="s">
        <v>120</v>
      </c>
      <c r="CR438" s="16" t="s">
        <v>121</v>
      </c>
      <c r="CS438" s="16" t="s">
        <v>122</v>
      </c>
      <c r="CT438" s="16" t="s">
        <v>351</v>
      </c>
      <c r="CU438" s="16" t="s">
        <v>351</v>
      </c>
      <c r="CV438" s="16" t="s">
        <v>657</v>
      </c>
    </row>
    <row r="439" spans="1:100" ht="15" customHeight="1">
      <c r="A439" t="s">
        <v>2884</v>
      </c>
      <c r="B439" s="3" t="s">
        <v>2885</v>
      </c>
      <c r="C439" s="16" t="s">
        <v>97</v>
      </c>
      <c r="D439" s="39" t="s">
        <v>2886</v>
      </c>
      <c r="E439" s="16" t="s">
        <v>97</v>
      </c>
      <c r="F439" s="131" t="s">
        <v>2887</v>
      </c>
      <c r="I439" s="100" t="s">
        <v>342</v>
      </c>
      <c r="J439" s="16" t="s">
        <v>101</v>
      </c>
      <c r="K439" s="16"/>
      <c r="L439" s="3" t="s">
        <v>102</v>
      </c>
      <c r="M439" s="3" t="s">
        <v>103</v>
      </c>
      <c r="N439" s="3" t="s">
        <v>104</v>
      </c>
      <c r="O439" s="16" t="s">
        <v>105</v>
      </c>
      <c r="P439" s="3" t="s">
        <v>2888</v>
      </c>
      <c r="Q439" s="3" t="s">
        <v>2888</v>
      </c>
      <c r="R439" s="3" t="s">
        <v>2888</v>
      </c>
      <c r="S439" t="s">
        <v>2884</v>
      </c>
      <c r="T439" s="130" t="s">
        <v>465</v>
      </c>
      <c r="U439" s="34">
        <v>3</v>
      </c>
      <c r="V439" s="39"/>
      <c r="W439" s="39"/>
      <c r="X439" s="59" t="s">
        <v>108</v>
      </c>
      <c r="Y439" s="93">
        <f>IF(AD439=0, 0, IF(OR(H439="", H439&lt;&gt;0), 1, 0))</f>
        <v>1</v>
      </c>
      <c r="Z439" s="3">
        <v>0</v>
      </c>
      <c r="AA439" s="3" t="s">
        <v>2889</v>
      </c>
      <c r="AD439" s="6">
        <f>ROUND((AG439*(1+AJ439)),2)</f>
        <v>155.05000000000001</v>
      </c>
      <c r="AE439" s="69">
        <v>176.68966286</v>
      </c>
      <c r="AF439" s="17">
        <f>(AE439*1)</f>
        <v>176.68966286</v>
      </c>
      <c r="AG439" s="6">
        <f>ROUND((AE439*AI439),2)</f>
        <v>114.85</v>
      </c>
      <c r="AH439" s="30" t="s">
        <v>110</v>
      </c>
      <c r="AI439" s="3">
        <v>0.65</v>
      </c>
      <c r="AJ439" s="18">
        <v>0.35</v>
      </c>
      <c r="AK439" s="6">
        <f>ROUND((AD439-(AD439*BG439)),2)</f>
        <v>153.5</v>
      </c>
      <c r="AL439" s="6">
        <f>ROUND((AD439-(AD439*BH439)),2)</f>
        <v>151.94999999999999</v>
      </c>
      <c r="AM439" s="6">
        <f>ROUND((AD439-(AD439*BI439)),2)</f>
        <v>150.4</v>
      </c>
      <c r="AN439" s="6">
        <f>ROUND((AD439-(AD439*BJ439)),2)</f>
        <v>150.4</v>
      </c>
      <c r="AO439" s="6">
        <f>ROUND((AD439-(AD439*BK439)),2)</f>
        <v>155.05000000000001</v>
      </c>
      <c r="BG439" s="12">
        <v>0.01</v>
      </c>
      <c r="BH439" s="12">
        <v>0.02</v>
      </c>
      <c r="BI439" s="12">
        <v>0.03</v>
      </c>
      <c r="BJ439" s="12">
        <v>0.03</v>
      </c>
      <c r="CC439" s="3" t="str">
        <f>IF(B439&lt;&gt;"",CONCATENATE(SUBSTITUTE(B439," ","-"),".jpg"),"")</f>
        <v>Allied-Moulded-AMU664TW.jpg</v>
      </c>
      <c r="CD439" s="16" t="s">
        <v>111</v>
      </c>
      <c r="CE439" s="3"/>
      <c r="CF439" s="3"/>
      <c r="CG439" s="3" t="s">
        <v>112</v>
      </c>
      <c r="CI439" s="3" t="s">
        <v>97</v>
      </c>
      <c r="CJ439" s="3" t="s">
        <v>467</v>
      </c>
      <c r="CK439" s="3" t="s">
        <v>114</v>
      </c>
      <c r="CL439" s="3" t="s">
        <v>115</v>
      </c>
      <c r="CM439" s="3" t="s">
        <v>116</v>
      </c>
      <c r="CN439" s="16" t="s">
        <v>132</v>
      </c>
      <c r="CO439" s="3" t="s">
        <v>118</v>
      </c>
      <c r="CP439" s="3" t="s">
        <v>139</v>
      </c>
      <c r="CQ439" s="3" t="s">
        <v>120</v>
      </c>
      <c r="CR439" s="16" t="s">
        <v>121</v>
      </c>
      <c r="CS439" s="16" t="s">
        <v>122</v>
      </c>
      <c r="CT439" s="16" t="s">
        <v>351</v>
      </c>
      <c r="CU439" s="16" t="s">
        <v>351</v>
      </c>
      <c r="CV439" s="16" t="s">
        <v>657</v>
      </c>
    </row>
    <row r="440" spans="1:100" ht="15" customHeight="1">
      <c r="A440" t="s">
        <v>2890</v>
      </c>
      <c r="B440" s="3" t="s">
        <v>2891</v>
      </c>
      <c r="C440" s="16" t="s">
        <v>97</v>
      </c>
      <c r="D440" s="40" t="s">
        <v>2892</v>
      </c>
      <c r="E440" s="16" t="s">
        <v>97</v>
      </c>
      <c r="F440" s="131" t="s">
        <v>2893</v>
      </c>
      <c r="I440" s="100" t="s">
        <v>342</v>
      </c>
      <c r="J440" s="16" t="s">
        <v>101</v>
      </c>
      <c r="K440" s="16"/>
      <c r="L440" s="3" t="s">
        <v>102</v>
      </c>
      <c r="M440" s="3" t="s">
        <v>103</v>
      </c>
      <c r="N440" s="3" t="s">
        <v>104</v>
      </c>
      <c r="O440" s="16" t="s">
        <v>105</v>
      </c>
      <c r="P440" s="3" t="s">
        <v>2894</v>
      </c>
      <c r="Q440" s="3" t="s">
        <v>2894</v>
      </c>
      <c r="R440" s="3" t="s">
        <v>2894</v>
      </c>
      <c r="S440" t="s">
        <v>2890</v>
      </c>
      <c r="T440" s="130" t="s">
        <v>465</v>
      </c>
      <c r="U440" s="35">
        <v>3</v>
      </c>
      <c r="V440" s="40"/>
      <c r="W440" s="40"/>
      <c r="X440" s="59" t="s">
        <v>108</v>
      </c>
      <c r="Y440" s="93">
        <f>IF(AD440=0, 0, IF(OR(H440="", H440&lt;&gt;0), 1, 0))</f>
        <v>1</v>
      </c>
      <c r="Z440" s="3">
        <v>0</v>
      </c>
      <c r="AA440" s="3" t="s">
        <v>2895</v>
      </c>
      <c r="AD440" s="6">
        <f>ROUND((AG440*(1+AJ440)),2)</f>
        <v>159.27000000000001</v>
      </c>
      <c r="AE440" s="69">
        <v>181.51119174000004</v>
      </c>
      <c r="AF440" s="17">
        <f>(AE440*1)</f>
        <v>181.51119174000004</v>
      </c>
      <c r="AG440" s="6">
        <f>ROUND((AE440*AI440),2)</f>
        <v>117.98</v>
      </c>
      <c r="AH440" s="30" t="s">
        <v>110</v>
      </c>
      <c r="AI440" s="3">
        <v>0.65</v>
      </c>
      <c r="AJ440" s="18">
        <v>0.35</v>
      </c>
      <c r="AK440" s="6">
        <f>ROUND((AD440-(AD440*BG440)),2)</f>
        <v>157.68</v>
      </c>
      <c r="AL440" s="6">
        <f>ROUND((AD440-(AD440*BH440)),2)</f>
        <v>156.08000000000001</v>
      </c>
      <c r="AM440" s="6">
        <f>ROUND((AD440-(AD440*BI440)),2)</f>
        <v>154.49</v>
      </c>
      <c r="AN440" s="6">
        <f>ROUND((AD440-(AD440*BJ440)),2)</f>
        <v>154.49</v>
      </c>
      <c r="AO440" s="6">
        <f>ROUND((AD440-(AD440*BK440)),2)</f>
        <v>159.27000000000001</v>
      </c>
      <c r="BG440" s="12">
        <v>0.01</v>
      </c>
      <c r="BH440" s="12">
        <v>0.02</v>
      </c>
      <c r="BI440" s="12">
        <v>0.03</v>
      </c>
      <c r="BJ440" s="12">
        <v>0.03</v>
      </c>
      <c r="CC440" s="3" t="str">
        <f>IF(B440&lt;&gt;"",CONCATENATE(SUBSTITUTE(B440," ","-"),".jpg"),"")</f>
        <v>Allied-Moulded-AMU664TWF.jpg</v>
      </c>
      <c r="CD440" s="16" t="s">
        <v>111</v>
      </c>
      <c r="CE440" s="3"/>
      <c r="CF440" s="3"/>
      <c r="CG440" s="3" t="s">
        <v>112</v>
      </c>
      <c r="CI440" s="3" t="s">
        <v>97</v>
      </c>
      <c r="CJ440" s="3" t="s">
        <v>467</v>
      </c>
      <c r="CK440" s="3" t="s">
        <v>114</v>
      </c>
      <c r="CL440" s="3" t="s">
        <v>115</v>
      </c>
      <c r="CM440" s="3" t="s">
        <v>116</v>
      </c>
      <c r="CN440" s="16" t="s">
        <v>132</v>
      </c>
      <c r="CO440" s="3" t="s">
        <v>118</v>
      </c>
      <c r="CP440" s="3" t="s">
        <v>139</v>
      </c>
      <c r="CQ440" s="3" t="s">
        <v>120</v>
      </c>
      <c r="CR440" s="16" t="s">
        <v>121</v>
      </c>
      <c r="CS440" s="16" t="s">
        <v>122</v>
      </c>
      <c r="CT440" s="16" t="s">
        <v>351</v>
      </c>
      <c r="CU440" s="16" t="s">
        <v>351</v>
      </c>
      <c r="CV440" s="16" t="s">
        <v>657</v>
      </c>
    </row>
    <row r="441" spans="1:100" ht="15" customHeight="1">
      <c r="A441" t="s">
        <v>2896</v>
      </c>
      <c r="B441" s="3" t="s">
        <v>2897</v>
      </c>
      <c r="C441" s="16" t="s">
        <v>97</v>
      </c>
      <c r="D441" s="40" t="s">
        <v>2898</v>
      </c>
      <c r="E441" s="16" t="s">
        <v>97</v>
      </c>
      <c r="F441" s="131" t="s">
        <v>2899</v>
      </c>
      <c r="I441" s="100" t="s">
        <v>342</v>
      </c>
      <c r="J441" s="16" t="s">
        <v>101</v>
      </c>
      <c r="K441" s="16"/>
      <c r="L441" s="3" t="s">
        <v>102</v>
      </c>
      <c r="M441" s="3" t="s">
        <v>103</v>
      </c>
      <c r="N441" s="3" t="s">
        <v>104</v>
      </c>
      <c r="O441" s="16" t="s">
        <v>105</v>
      </c>
      <c r="P441" s="3" t="s">
        <v>2900</v>
      </c>
      <c r="Q441" s="3" t="s">
        <v>2900</v>
      </c>
      <c r="R441" s="3" t="s">
        <v>2900</v>
      </c>
      <c r="S441" t="s">
        <v>2896</v>
      </c>
      <c r="T441" s="130" t="s">
        <v>465</v>
      </c>
      <c r="U441" s="35">
        <v>3</v>
      </c>
      <c r="V441" s="40"/>
      <c r="W441" s="40"/>
      <c r="X441" s="59" t="s">
        <v>108</v>
      </c>
      <c r="Y441" s="93">
        <f>IF(AD441=0, 0, IF(OR(H441="", H441&lt;&gt;0), 1, 0))</f>
        <v>1</v>
      </c>
      <c r="Z441" s="3">
        <v>0</v>
      </c>
      <c r="AA441" s="3" t="s">
        <v>2901</v>
      </c>
      <c r="AD441" s="6">
        <f>ROUND((AG441*(1+AJ441)),2)</f>
        <v>91.33</v>
      </c>
      <c r="AE441" s="69">
        <v>104.07749948</v>
      </c>
      <c r="AF441" s="17">
        <f>(AE441*1)</f>
        <v>104.07749948</v>
      </c>
      <c r="AG441" s="6">
        <f>ROUND((AE441*AI441),2)</f>
        <v>67.650000000000006</v>
      </c>
      <c r="AH441" s="30" t="s">
        <v>110</v>
      </c>
      <c r="AI441" s="3">
        <v>0.65</v>
      </c>
      <c r="AJ441" s="18">
        <v>0.35</v>
      </c>
      <c r="AK441" s="6">
        <f>ROUND((AD441-(AD441*BG441)),2)</f>
        <v>90.42</v>
      </c>
      <c r="AL441" s="6">
        <f>ROUND((AD441-(AD441*BH441)),2)</f>
        <v>89.5</v>
      </c>
      <c r="AM441" s="6">
        <f>ROUND((AD441-(AD441*BI441)),2)</f>
        <v>88.59</v>
      </c>
      <c r="AN441" s="6">
        <f>ROUND((AD441-(AD441*BJ441)),2)</f>
        <v>88.59</v>
      </c>
      <c r="AO441" s="6">
        <f>ROUND((AD441-(AD441*BK441)),2)</f>
        <v>91.33</v>
      </c>
      <c r="BG441" s="12">
        <v>0.01</v>
      </c>
      <c r="BH441" s="12">
        <v>0.02</v>
      </c>
      <c r="BI441" s="12">
        <v>0.03</v>
      </c>
      <c r="BJ441" s="12">
        <v>0.03</v>
      </c>
      <c r="CC441" s="3" t="str">
        <f>IF(B441&lt;&gt;"",CONCATENATE(SUBSTITUTE(B441," ","-"),".jpg"),"")</f>
        <v>Allied-Moulded-AMU664CC.jpg</v>
      </c>
      <c r="CD441" s="16" t="s">
        <v>111</v>
      </c>
      <c r="CE441" s="3"/>
      <c r="CF441" s="3"/>
      <c r="CG441" s="3" t="s">
        <v>112</v>
      </c>
      <c r="CI441" s="3" t="s">
        <v>97</v>
      </c>
      <c r="CJ441" s="3" t="s">
        <v>467</v>
      </c>
      <c r="CK441" s="3" t="s">
        <v>114</v>
      </c>
      <c r="CL441" s="3" t="s">
        <v>115</v>
      </c>
      <c r="CM441" s="16"/>
      <c r="CN441" s="16" t="s">
        <v>349</v>
      </c>
      <c r="CO441" s="3" t="s">
        <v>118</v>
      </c>
      <c r="CP441" s="3" t="s">
        <v>139</v>
      </c>
      <c r="CQ441" s="3" t="s">
        <v>120</v>
      </c>
      <c r="CR441" s="16" t="s">
        <v>121</v>
      </c>
      <c r="CS441" s="3" t="s">
        <v>384</v>
      </c>
      <c r="CT441" s="16" t="s">
        <v>351</v>
      </c>
      <c r="CU441" s="16" t="s">
        <v>351</v>
      </c>
      <c r="CV441" s="16" t="s">
        <v>657</v>
      </c>
    </row>
    <row r="442" spans="1:100" ht="15" customHeight="1">
      <c r="A442" t="s">
        <v>2902</v>
      </c>
      <c r="B442" s="3" t="s">
        <v>2903</v>
      </c>
      <c r="C442" s="16" t="s">
        <v>97</v>
      </c>
      <c r="D442" s="39" t="s">
        <v>2904</v>
      </c>
      <c r="E442" s="16" t="s">
        <v>97</v>
      </c>
      <c r="F442" s="131" t="s">
        <v>2905</v>
      </c>
      <c r="I442" s="100" t="s">
        <v>342</v>
      </c>
      <c r="J442" s="16" t="s">
        <v>101</v>
      </c>
      <c r="K442" s="16"/>
      <c r="L442" s="3" t="s">
        <v>102</v>
      </c>
      <c r="M442" s="3" t="s">
        <v>103</v>
      </c>
      <c r="N442" s="3" t="s">
        <v>104</v>
      </c>
      <c r="O442" s="16" t="s">
        <v>105</v>
      </c>
      <c r="P442" s="3" t="s">
        <v>2906</v>
      </c>
      <c r="Q442" s="3" t="s">
        <v>2906</v>
      </c>
      <c r="R442" s="3" t="s">
        <v>2906</v>
      </c>
      <c r="S442" t="s">
        <v>2902</v>
      </c>
      <c r="T442" s="130" t="s">
        <v>465</v>
      </c>
      <c r="U442" s="34">
        <v>3</v>
      </c>
      <c r="V442" s="39"/>
      <c r="W442" s="39"/>
      <c r="X442" s="59" t="s">
        <v>108</v>
      </c>
      <c r="Y442" s="93">
        <f>IF(AD442=0, 0, IF(OR(H442="", H442&lt;&gt;0), 1, 0))</f>
        <v>1</v>
      </c>
      <c r="Z442" s="3">
        <v>0</v>
      </c>
      <c r="AA442" s="3" t="s">
        <v>2907</v>
      </c>
      <c r="AD442" s="6">
        <f>ROUND((AG442*(1+AJ442)),2)</f>
        <v>93.38</v>
      </c>
      <c r="AE442" s="69">
        <v>106.41804573</v>
      </c>
      <c r="AF442" s="17">
        <f>(AE442*1)</f>
        <v>106.41804573</v>
      </c>
      <c r="AG442" s="6">
        <f>ROUND((AE442*AI442),2)</f>
        <v>69.17</v>
      </c>
      <c r="AH442" s="30" t="s">
        <v>110</v>
      </c>
      <c r="AI442" s="3">
        <v>0.65</v>
      </c>
      <c r="AJ442" s="18">
        <v>0.35</v>
      </c>
      <c r="AK442" s="6">
        <f>ROUND((AD442-(AD442*BG442)),2)</f>
        <v>92.45</v>
      </c>
      <c r="AL442" s="6">
        <f>ROUND((AD442-(AD442*BH442)),2)</f>
        <v>91.51</v>
      </c>
      <c r="AM442" s="6">
        <f>ROUND((AD442-(AD442*BI442)),2)</f>
        <v>90.58</v>
      </c>
      <c r="AN442" s="6">
        <f>ROUND((AD442-(AD442*BJ442)),2)</f>
        <v>90.58</v>
      </c>
      <c r="AO442" s="6">
        <f>ROUND((AD442-(AD442*BK442)),2)</f>
        <v>93.38</v>
      </c>
      <c r="BG442" s="12">
        <v>0.01</v>
      </c>
      <c r="BH442" s="12">
        <v>0.02</v>
      </c>
      <c r="BI442" s="12">
        <v>0.03</v>
      </c>
      <c r="BJ442" s="12">
        <v>0.03</v>
      </c>
      <c r="CC442" s="3" t="str">
        <f>IF(B442&lt;&gt;"",CONCATENATE(SUBSTITUTE(B442," ","-"),".jpg"),"")</f>
        <v>Allied-Moulded-AMU664CCF.jpg</v>
      </c>
      <c r="CD442" s="16" t="s">
        <v>111</v>
      </c>
      <c r="CE442" s="3"/>
      <c r="CF442" s="3"/>
      <c r="CG442" s="3" t="s">
        <v>112</v>
      </c>
      <c r="CI442" s="3" t="s">
        <v>97</v>
      </c>
      <c r="CJ442" s="3" t="s">
        <v>467</v>
      </c>
      <c r="CK442" s="3" t="s">
        <v>114</v>
      </c>
      <c r="CL442" s="3" t="s">
        <v>115</v>
      </c>
      <c r="CM442" s="16"/>
      <c r="CN442" s="16" t="s">
        <v>349</v>
      </c>
      <c r="CO442" s="3" t="s">
        <v>118</v>
      </c>
      <c r="CP442" s="3" t="s">
        <v>139</v>
      </c>
      <c r="CQ442" s="3" t="s">
        <v>120</v>
      </c>
      <c r="CR442" s="16" t="s">
        <v>121</v>
      </c>
      <c r="CS442" s="3" t="s">
        <v>384</v>
      </c>
      <c r="CT442" s="16" t="s">
        <v>351</v>
      </c>
      <c r="CU442" s="16" t="s">
        <v>351</v>
      </c>
      <c r="CV442" s="16" t="s">
        <v>657</v>
      </c>
    </row>
    <row r="443" spans="1:100" ht="15" customHeight="1">
      <c r="A443" t="s">
        <v>2908</v>
      </c>
      <c r="B443" s="3" t="s">
        <v>2909</v>
      </c>
      <c r="C443" s="16" t="s">
        <v>97</v>
      </c>
      <c r="D443" s="39" t="s">
        <v>2910</v>
      </c>
      <c r="E443" s="16" t="s">
        <v>97</v>
      </c>
      <c r="F443" s="131" t="s">
        <v>2911</v>
      </c>
      <c r="I443" s="100" t="s">
        <v>342</v>
      </c>
      <c r="J443" s="16" t="s">
        <v>101</v>
      </c>
      <c r="K443" s="16"/>
      <c r="L443" s="3" t="s">
        <v>102</v>
      </c>
      <c r="M443" s="3" t="s">
        <v>103</v>
      </c>
      <c r="N443" s="3" t="s">
        <v>104</v>
      </c>
      <c r="O443" s="16" t="s">
        <v>105</v>
      </c>
      <c r="P443" s="3" t="s">
        <v>2912</v>
      </c>
      <c r="Q443" s="3" t="s">
        <v>2912</v>
      </c>
      <c r="R443" s="3" t="s">
        <v>2912</v>
      </c>
      <c r="S443" t="s">
        <v>2908</v>
      </c>
      <c r="T443" s="130" t="s">
        <v>465</v>
      </c>
      <c r="U443" s="39">
        <v>3</v>
      </c>
      <c r="V443" s="39"/>
      <c r="W443" s="39"/>
      <c r="X443" s="59" t="s">
        <v>108</v>
      </c>
      <c r="Y443" s="93">
        <f>IF(AD443=0, 0, IF(OR(H443="", H443&lt;&gt;0), 1, 0))</f>
        <v>1</v>
      </c>
      <c r="Z443" s="3">
        <v>0</v>
      </c>
      <c r="AA443" s="3" t="s">
        <v>2913</v>
      </c>
      <c r="AD443" s="6">
        <f>ROUND((AG443*(1+AJ443)),2)</f>
        <v>99.56</v>
      </c>
      <c r="AE443" s="74">
        <v>113.45677424000002</v>
      </c>
      <c r="AF443" s="17">
        <f>(AE443*1)</f>
        <v>113.45677424000002</v>
      </c>
      <c r="AG443" s="6">
        <f>ROUND((AE443*AI443),2)</f>
        <v>73.75</v>
      </c>
      <c r="AH443" s="30" t="s">
        <v>110</v>
      </c>
      <c r="AI443" s="3">
        <v>0.65</v>
      </c>
      <c r="AJ443" s="18">
        <v>0.35</v>
      </c>
      <c r="AK443" s="6">
        <f>ROUND((AD443-(AD443*BG443)),2)</f>
        <v>98.56</v>
      </c>
      <c r="AL443" s="6">
        <f>ROUND((AD443-(AD443*BH443)),2)</f>
        <v>97.57</v>
      </c>
      <c r="AM443" s="6">
        <f>ROUND((AD443-(AD443*BI443)),2)</f>
        <v>96.57</v>
      </c>
      <c r="AN443" s="6">
        <f>ROUND((AD443-(AD443*BJ443)),2)</f>
        <v>96.57</v>
      </c>
      <c r="AO443" s="6">
        <f>ROUND((AD443-(AD443*BK443)),2)</f>
        <v>99.56</v>
      </c>
      <c r="BG443" s="12">
        <v>0.01</v>
      </c>
      <c r="BH443" s="12">
        <v>0.02</v>
      </c>
      <c r="BI443" s="12">
        <v>0.03</v>
      </c>
      <c r="BJ443" s="12">
        <v>0.03</v>
      </c>
      <c r="CC443" s="3" t="str">
        <f>IF(B443&lt;&gt;"",CONCATENATE(SUBSTITUTE(B443," ","-"),".jpg"),"")</f>
        <v>Allied-Moulded-AMU664CCH.jpg</v>
      </c>
      <c r="CD443" s="16" t="s">
        <v>111</v>
      </c>
      <c r="CE443" s="3"/>
      <c r="CF443" s="3"/>
      <c r="CG443" s="3" t="s">
        <v>112</v>
      </c>
      <c r="CI443" s="3" t="s">
        <v>97</v>
      </c>
      <c r="CJ443" s="3" t="s">
        <v>467</v>
      </c>
      <c r="CK443" s="3" t="s">
        <v>114</v>
      </c>
      <c r="CL443" s="3" t="s">
        <v>115</v>
      </c>
      <c r="CM443" s="3" t="s">
        <v>116</v>
      </c>
      <c r="CN443" s="16" t="s">
        <v>349</v>
      </c>
      <c r="CO443" s="3" t="s">
        <v>118</v>
      </c>
      <c r="CP443" s="3" t="s">
        <v>139</v>
      </c>
      <c r="CQ443" s="3" t="s">
        <v>120</v>
      </c>
      <c r="CR443" s="16" t="s">
        <v>121</v>
      </c>
      <c r="CS443" s="3" t="s">
        <v>384</v>
      </c>
      <c r="CT443" s="16" t="s">
        <v>351</v>
      </c>
      <c r="CU443" s="16" t="s">
        <v>351</v>
      </c>
      <c r="CV443" s="16" t="s">
        <v>657</v>
      </c>
    </row>
    <row r="444" spans="1:100" ht="15" customHeight="1">
      <c r="A444" t="s">
        <v>2914</v>
      </c>
      <c r="B444" s="3" t="s">
        <v>2915</v>
      </c>
      <c r="C444" s="16" t="s">
        <v>97</v>
      </c>
      <c r="D444" s="38" t="s">
        <v>2916</v>
      </c>
      <c r="E444" s="16" t="s">
        <v>97</v>
      </c>
      <c r="F444" s="131" t="s">
        <v>2917</v>
      </c>
      <c r="I444" s="100" t="s">
        <v>342</v>
      </c>
      <c r="J444" s="16" t="s">
        <v>101</v>
      </c>
      <c r="K444" s="16"/>
      <c r="L444" s="3" t="s">
        <v>102</v>
      </c>
      <c r="M444" s="3" t="s">
        <v>103</v>
      </c>
      <c r="N444" s="3" t="s">
        <v>104</v>
      </c>
      <c r="O444" s="16" t="s">
        <v>105</v>
      </c>
      <c r="P444" s="3" t="s">
        <v>2918</v>
      </c>
      <c r="Q444" s="3" t="s">
        <v>2918</v>
      </c>
      <c r="R444" s="3" t="s">
        <v>2918</v>
      </c>
      <c r="S444" t="s">
        <v>2914</v>
      </c>
      <c r="T444" s="130" t="s">
        <v>465</v>
      </c>
      <c r="U444" s="33">
        <v>3</v>
      </c>
      <c r="V444" s="40"/>
      <c r="W444" s="40"/>
      <c r="X444" s="59" t="s">
        <v>108</v>
      </c>
      <c r="Y444" s="93">
        <f>IF(AD444=0, 0, IF(OR(H444="", H444&lt;&gt;0), 1, 0))</f>
        <v>1</v>
      </c>
      <c r="Z444" s="3">
        <v>0</v>
      </c>
      <c r="AA444" s="3" t="s">
        <v>2919</v>
      </c>
      <c r="AD444" s="6">
        <f>ROUND((AG444*(1+AJ444)),2)</f>
        <v>101.91</v>
      </c>
      <c r="AE444" s="68">
        <v>116.13900857</v>
      </c>
      <c r="AF444" s="17">
        <f>(AE444*1)</f>
        <v>116.13900857</v>
      </c>
      <c r="AG444" s="6">
        <f>ROUND((AE444*AI444),2)</f>
        <v>75.489999999999995</v>
      </c>
      <c r="AH444" s="30" t="s">
        <v>110</v>
      </c>
      <c r="AI444" s="3">
        <v>0.65</v>
      </c>
      <c r="AJ444" s="18">
        <v>0.35</v>
      </c>
      <c r="AK444" s="6">
        <f>ROUND((AD444-(AD444*BG444)),2)</f>
        <v>100.89</v>
      </c>
      <c r="AL444" s="6">
        <f>ROUND((AD444-(AD444*BH444)),2)</f>
        <v>99.87</v>
      </c>
      <c r="AM444" s="6">
        <f>ROUND((AD444-(AD444*BI444)),2)</f>
        <v>98.85</v>
      </c>
      <c r="AN444" s="6">
        <f>ROUND((AD444-(AD444*BJ444)),2)</f>
        <v>98.85</v>
      </c>
      <c r="AO444" s="6">
        <f>ROUND((AD444-(AD444*BK444)),2)</f>
        <v>101.91</v>
      </c>
      <c r="BG444" s="12">
        <v>0.01</v>
      </c>
      <c r="BH444" s="12">
        <v>0.02</v>
      </c>
      <c r="BI444" s="12">
        <v>0.03</v>
      </c>
      <c r="BJ444" s="12">
        <v>0.03</v>
      </c>
      <c r="CC444" s="3" t="str">
        <f>IF(B444&lt;&gt;"",CONCATENATE(SUBSTITUTE(B444," ","-"),".jpg"),"")</f>
        <v>Allied-Moulded-AMU664CCHF.jpg</v>
      </c>
      <c r="CD444" s="16" t="s">
        <v>111</v>
      </c>
      <c r="CE444" s="3"/>
      <c r="CF444" s="3"/>
      <c r="CG444" s="3" t="s">
        <v>112</v>
      </c>
      <c r="CI444" s="3" t="s">
        <v>97</v>
      </c>
      <c r="CJ444" s="3" t="s">
        <v>467</v>
      </c>
      <c r="CK444" s="3" t="s">
        <v>114</v>
      </c>
      <c r="CL444" s="3" t="s">
        <v>115</v>
      </c>
      <c r="CM444" s="3" t="s">
        <v>116</v>
      </c>
      <c r="CN444" s="16" t="s">
        <v>349</v>
      </c>
      <c r="CO444" s="3" t="s">
        <v>118</v>
      </c>
      <c r="CP444" s="3" t="s">
        <v>139</v>
      </c>
      <c r="CQ444" s="3" t="s">
        <v>120</v>
      </c>
      <c r="CR444" s="16" t="s">
        <v>121</v>
      </c>
      <c r="CS444" s="3" t="s">
        <v>384</v>
      </c>
      <c r="CT444" s="16" t="s">
        <v>351</v>
      </c>
      <c r="CU444" s="16" t="s">
        <v>351</v>
      </c>
      <c r="CV444" s="16" t="s">
        <v>657</v>
      </c>
    </row>
    <row r="445" spans="1:100" ht="15" customHeight="1">
      <c r="A445" t="s">
        <v>2920</v>
      </c>
      <c r="B445" s="3" t="s">
        <v>2921</v>
      </c>
      <c r="C445" s="16" t="s">
        <v>97</v>
      </c>
      <c r="D445" s="40" t="s">
        <v>2922</v>
      </c>
      <c r="E445" s="16" t="s">
        <v>97</v>
      </c>
      <c r="F445" s="131" t="s">
        <v>2923</v>
      </c>
      <c r="I445" s="100" t="s">
        <v>342</v>
      </c>
      <c r="J445" s="16" t="s">
        <v>101</v>
      </c>
      <c r="K445" s="16"/>
      <c r="L445" s="3" t="s">
        <v>102</v>
      </c>
      <c r="M445" s="3" t="s">
        <v>103</v>
      </c>
      <c r="N445" s="3" t="s">
        <v>104</v>
      </c>
      <c r="O445" s="16" t="s">
        <v>105</v>
      </c>
      <c r="P445" s="3" t="s">
        <v>2924</v>
      </c>
      <c r="Q445" s="3" t="s">
        <v>2924</v>
      </c>
      <c r="R445" s="3" t="s">
        <v>2924</v>
      </c>
      <c r="S445" t="s">
        <v>2920</v>
      </c>
      <c r="T445" s="130" t="s">
        <v>465</v>
      </c>
      <c r="U445" s="35">
        <v>3</v>
      </c>
      <c r="V445" s="40"/>
      <c r="W445" s="40"/>
      <c r="X445" s="59" t="s">
        <v>108</v>
      </c>
      <c r="Y445" s="93">
        <f>IF(AD445=0, 0, IF(OR(H445="", H445&lt;&gt;0), 1, 0))</f>
        <v>1</v>
      </c>
      <c r="Z445" s="3">
        <v>0</v>
      </c>
      <c r="AA445" s="3" t="s">
        <v>2925</v>
      </c>
      <c r="AD445" s="6">
        <f>ROUND((AG445*(1+AJ445)),2)</f>
        <v>120.66</v>
      </c>
      <c r="AE445" s="69">
        <v>137.51145604000001</v>
      </c>
      <c r="AF445" s="17">
        <f>(AE445*1)</f>
        <v>137.51145604000001</v>
      </c>
      <c r="AG445" s="6">
        <f>ROUND((AE445*AI445),2)</f>
        <v>89.38</v>
      </c>
      <c r="AH445" s="30" t="s">
        <v>110</v>
      </c>
      <c r="AI445" s="3">
        <v>0.65</v>
      </c>
      <c r="AJ445" s="18">
        <v>0.35</v>
      </c>
      <c r="AK445" s="6">
        <f>ROUND((AD445-(AD445*BG445)),2)</f>
        <v>119.45</v>
      </c>
      <c r="AL445" s="6">
        <f>ROUND((AD445-(AD445*BH445)),2)</f>
        <v>118.25</v>
      </c>
      <c r="AM445" s="6">
        <f>ROUND((AD445-(AD445*BI445)),2)</f>
        <v>117.04</v>
      </c>
      <c r="AN445" s="6">
        <f>ROUND((AD445-(AD445*BJ445)),2)</f>
        <v>117.04</v>
      </c>
      <c r="AO445" s="6">
        <f>ROUND((AD445-(AD445*BK445)),2)</f>
        <v>120.66</v>
      </c>
      <c r="BG445" s="12">
        <v>0.01</v>
      </c>
      <c r="BH445" s="12">
        <v>0.02</v>
      </c>
      <c r="BI445" s="12">
        <v>0.03</v>
      </c>
      <c r="BJ445" s="12">
        <v>0.03</v>
      </c>
      <c r="CC445" s="3" t="str">
        <f>IF(B445&lt;&gt;"",CONCATENATE(SUBSTITUTE(B445," ","-"),".jpg"),"")</f>
        <v>Allied-Moulded-AMU664CCL.jpg</v>
      </c>
      <c r="CD445" s="16" t="s">
        <v>111</v>
      </c>
      <c r="CE445" s="3"/>
      <c r="CF445" s="3"/>
      <c r="CG445" s="3" t="s">
        <v>112</v>
      </c>
      <c r="CI445" s="3" t="s">
        <v>97</v>
      </c>
      <c r="CJ445" s="3" t="s">
        <v>467</v>
      </c>
      <c r="CK445" s="3" t="s">
        <v>114</v>
      </c>
      <c r="CL445" s="3" t="s">
        <v>115</v>
      </c>
      <c r="CM445" s="3" t="s">
        <v>116</v>
      </c>
      <c r="CN445" t="s">
        <v>117</v>
      </c>
      <c r="CO445" s="3" t="s">
        <v>118</v>
      </c>
      <c r="CP445" s="3" t="s">
        <v>139</v>
      </c>
      <c r="CQ445" s="3" t="s">
        <v>120</v>
      </c>
      <c r="CR445" s="16" t="s">
        <v>121</v>
      </c>
      <c r="CS445" s="16" t="s">
        <v>122</v>
      </c>
      <c r="CT445" s="16" t="s">
        <v>351</v>
      </c>
      <c r="CU445" s="16" t="s">
        <v>351</v>
      </c>
      <c r="CV445" s="16" t="s">
        <v>657</v>
      </c>
    </row>
    <row r="446" spans="1:100" ht="15" customHeight="1">
      <c r="A446" t="s">
        <v>2926</v>
      </c>
      <c r="B446" s="3" t="s">
        <v>2927</v>
      </c>
      <c r="C446" s="16" t="s">
        <v>97</v>
      </c>
      <c r="D446" s="39" t="s">
        <v>2928</v>
      </c>
      <c r="E446" s="16" t="s">
        <v>97</v>
      </c>
      <c r="F446" s="131" t="s">
        <v>2929</v>
      </c>
      <c r="I446" s="100" t="s">
        <v>342</v>
      </c>
      <c r="J446" s="16" t="s">
        <v>101</v>
      </c>
      <c r="K446" s="16"/>
      <c r="L446" s="3" t="s">
        <v>102</v>
      </c>
      <c r="M446" s="3" t="s">
        <v>103</v>
      </c>
      <c r="N446" s="3" t="s">
        <v>104</v>
      </c>
      <c r="O446" s="16" t="s">
        <v>105</v>
      </c>
      <c r="P446" s="3" t="s">
        <v>2930</v>
      </c>
      <c r="Q446" s="3" t="s">
        <v>2930</v>
      </c>
      <c r="R446" s="3" t="s">
        <v>2930</v>
      </c>
      <c r="S446" t="s">
        <v>2926</v>
      </c>
      <c r="T446" s="130" t="s">
        <v>465</v>
      </c>
      <c r="U446" s="34">
        <v>3</v>
      </c>
      <c r="V446" s="39"/>
      <c r="W446" s="39"/>
      <c r="X446" s="59" t="s">
        <v>108</v>
      </c>
      <c r="Y446" s="93">
        <f>IF(AD446=0, 0, IF(OR(H446="", H446&lt;&gt;0), 1, 0))</f>
        <v>1</v>
      </c>
      <c r="Z446" s="3">
        <v>0</v>
      </c>
      <c r="AA446" s="3" t="s">
        <v>2931</v>
      </c>
      <c r="AD446" s="6">
        <f>ROUND((AG446*(1+AJ446)),2)</f>
        <v>123.4</v>
      </c>
      <c r="AE446" s="69">
        <v>140.63788095999999</v>
      </c>
      <c r="AF446" s="17">
        <f>(AE446*1)</f>
        <v>140.63788095999999</v>
      </c>
      <c r="AG446" s="6">
        <f>ROUND((AE446*AI446),2)</f>
        <v>91.41</v>
      </c>
      <c r="AH446" s="30" t="s">
        <v>110</v>
      </c>
      <c r="AI446" s="3">
        <v>0.65</v>
      </c>
      <c r="AJ446" s="18">
        <v>0.35</v>
      </c>
      <c r="AK446" s="6">
        <f>ROUND((AD446-(AD446*BG446)),2)</f>
        <v>122.17</v>
      </c>
      <c r="AL446" s="6">
        <f>ROUND((AD446-(AD446*BH446)),2)</f>
        <v>120.93</v>
      </c>
      <c r="AM446" s="6">
        <f>ROUND((AD446-(AD446*BI446)),2)</f>
        <v>119.7</v>
      </c>
      <c r="AN446" s="6">
        <f>ROUND((AD446-(AD446*BJ446)),2)</f>
        <v>119.7</v>
      </c>
      <c r="AO446" s="6">
        <f>ROUND((AD446-(AD446*BK446)),2)</f>
        <v>123.4</v>
      </c>
      <c r="BG446" s="12">
        <v>0.01</v>
      </c>
      <c r="BH446" s="12">
        <v>0.02</v>
      </c>
      <c r="BI446" s="12">
        <v>0.03</v>
      </c>
      <c r="BJ446" s="12">
        <v>0.03</v>
      </c>
      <c r="CC446" s="3" t="str">
        <f>IF(B446&lt;&gt;"",CONCATENATE(SUBSTITUTE(B446," ","-"),".jpg"),"")</f>
        <v>Allied-Moulded-AMU664CCLF.jpg</v>
      </c>
      <c r="CD446" s="16" t="s">
        <v>111</v>
      </c>
      <c r="CE446" s="3"/>
      <c r="CF446" s="3"/>
      <c r="CG446" s="3" t="s">
        <v>112</v>
      </c>
      <c r="CI446" s="3" t="s">
        <v>97</v>
      </c>
      <c r="CJ446" s="3" t="s">
        <v>467</v>
      </c>
      <c r="CK446" s="3" t="s">
        <v>114</v>
      </c>
      <c r="CL446" s="3" t="s">
        <v>115</v>
      </c>
      <c r="CM446" s="3" t="s">
        <v>116</v>
      </c>
      <c r="CN446" t="s">
        <v>117</v>
      </c>
      <c r="CO446" s="3" t="s">
        <v>118</v>
      </c>
      <c r="CP446" s="3" t="s">
        <v>139</v>
      </c>
      <c r="CQ446" s="3" t="s">
        <v>120</v>
      </c>
      <c r="CR446" s="16" t="s">
        <v>121</v>
      </c>
      <c r="CS446" s="16" t="s">
        <v>122</v>
      </c>
      <c r="CT446" s="16" t="s">
        <v>351</v>
      </c>
      <c r="CU446" s="16" t="s">
        <v>351</v>
      </c>
      <c r="CV446" s="16" t="s">
        <v>657</v>
      </c>
    </row>
    <row r="447" spans="1:100" ht="15" customHeight="1">
      <c r="A447" t="s">
        <v>2932</v>
      </c>
      <c r="B447" s="3" t="s">
        <v>2933</v>
      </c>
      <c r="C447" s="16" t="s">
        <v>97</v>
      </c>
      <c r="D447" s="39" t="s">
        <v>2934</v>
      </c>
      <c r="E447" s="16" t="s">
        <v>97</v>
      </c>
      <c r="F447" s="131" t="s">
        <v>2935</v>
      </c>
      <c r="I447" s="100" t="s">
        <v>342</v>
      </c>
      <c r="J447" s="16" t="s">
        <v>101</v>
      </c>
      <c r="K447" s="16"/>
      <c r="L447" s="3" t="s">
        <v>102</v>
      </c>
      <c r="M447" s="3" t="s">
        <v>103</v>
      </c>
      <c r="N447" s="3" t="s">
        <v>104</v>
      </c>
      <c r="O447" s="16" t="s">
        <v>105</v>
      </c>
      <c r="P447" s="3" t="s">
        <v>2936</v>
      </c>
      <c r="Q447" s="3" t="s">
        <v>2936</v>
      </c>
      <c r="R447" s="3" t="s">
        <v>2936</v>
      </c>
      <c r="S447" t="s">
        <v>2932</v>
      </c>
      <c r="T447" s="130" t="s">
        <v>465</v>
      </c>
      <c r="U447" s="34">
        <v>3</v>
      </c>
      <c r="V447" s="39"/>
      <c r="W447" s="39"/>
      <c r="X447" s="59" t="s">
        <v>108</v>
      </c>
      <c r="Y447" s="93">
        <f>IF(AD447=0, 0, IF(OR(H447="", H447&lt;&gt;0), 1, 0))</f>
        <v>1</v>
      </c>
      <c r="Z447" s="3">
        <v>0</v>
      </c>
      <c r="AA447" s="3" t="s">
        <v>2937</v>
      </c>
      <c r="AD447" s="6">
        <f>ROUND((AG447*(1+AJ447)),2)</f>
        <v>114.63</v>
      </c>
      <c r="AE447" s="69">
        <v>130.62648695999999</v>
      </c>
      <c r="AF447" s="17">
        <f>(AE447*1)</f>
        <v>130.62648695999999</v>
      </c>
      <c r="AG447" s="6">
        <f>ROUND((AE447*AI447),2)</f>
        <v>84.91</v>
      </c>
      <c r="AH447" s="30" t="s">
        <v>110</v>
      </c>
      <c r="AI447" s="3">
        <v>0.65</v>
      </c>
      <c r="AJ447" s="18">
        <v>0.35</v>
      </c>
      <c r="AK447" s="6">
        <f>ROUND((AD447-(AD447*BG447)),2)</f>
        <v>113.48</v>
      </c>
      <c r="AL447" s="6">
        <f>ROUND((AD447-(AD447*BH447)),2)</f>
        <v>112.34</v>
      </c>
      <c r="AM447" s="6">
        <f>ROUND((AD447-(AD447*BI447)),2)</f>
        <v>111.19</v>
      </c>
      <c r="AN447" s="6">
        <f>ROUND((AD447-(AD447*BJ447)),2)</f>
        <v>111.19</v>
      </c>
      <c r="AO447" s="6">
        <f>ROUND((AD447-(AD447*BK447)),2)</f>
        <v>114.63</v>
      </c>
      <c r="BG447" s="12">
        <v>0.01</v>
      </c>
      <c r="BH447" s="12">
        <v>0.02</v>
      </c>
      <c r="BI447" s="12">
        <v>0.03</v>
      </c>
      <c r="BJ447" s="12">
        <v>0.03</v>
      </c>
      <c r="CC447" s="3" t="str">
        <f>IF(B447&lt;&gt;"",CONCATENATE(SUBSTITUTE(B447," ","-"),".jpg"),"")</f>
        <v>Allied-Moulded-AMU664CCNL.jpg</v>
      </c>
      <c r="CD447" s="16" t="s">
        <v>111</v>
      </c>
      <c r="CE447" s="3"/>
      <c r="CF447" s="3"/>
      <c r="CG447" s="3" t="s">
        <v>112</v>
      </c>
      <c r="CI447" s="3" t="s">
        <v>97</v>
      </c>
      <c r="CJ447" s="3" t="s">
        <v>467</v>
      </c>
      <c r="CK447" s="3" t="s">
        <v>114</v>
      </c>
      <c r="CL447" s="3" t="s">
        <v>115</v>
      </c>
      <c r="CM447" s="3" t="s">
        <v>116</v>
      </c>
      <c r="CN447" t="s">
        <v>117</v>
      </c>
      <c r="CO447" s="3" t="s">
        <v>118</v>
      </c>
      <c r="CP447" s="3" t="s">
        <v>139</v>
      </c>
      <c r="CQ447" s="3" t="s">
        <v>120</v>
      </c>
      <c r="CR447" s="16" t="s">
        <v>121</v>
      </c>
      <c r="CS447" s="16" t="s">
        <v>122</v>
      </c>
      <c r="CT447" s="16" t="s">
        <v>351</v>
      </c>
      <c r="CU447" s="16" t="s">
        <v>351</v>
      </c>
      <c r="CV447" s="16" t="s">
        <v>657</v>
      </c>
    </row>
    <row r="448" spans="1:100" ht="15" customHeight="1">
      <c r="A448" t="s">
        <v>2938</v>
      </c>
      <c r="B448" s="3" t="s">
        <v>2939</v>
      </c>
      <c r="C448" s="16" t="s">
        <v>97</v>
      </c>
      <c r="D448" s="40" t="s">
        <v>2940</v>
      </c>
      <c r="E448" s="16" t="s">
        <v>97</v>
      </c>
      <c r="F448" s="131" t="s">
        <v>2941</v>
      </c>
      <c r="I448" s="100" t="s">
        <v>342</v>
      </c>
      <c r="J448" s="16" t="s">
        <v>101</v>
      </c>
      <c r="K448" s="16"/>
      <c r="L448" s="3" t="s">
        <v>102</v>
      </c>
      <c r="M448" s="3" t="s">
        <v>103</v>
      </c>
      <c r="N448" s="3" t="s">
        <v>104</v>
      </c>
      <c r="O448" s="16" t="s">
        <v>105</v>
      </c>
      <c r="P448" s="3" t="s">
        <v>2942</v>
      </c>
      <c r="Q448" s="3" t="s">
        <v>2942</v>
      </c>
      <c r="R448" s="3" t="s">
        <v>2942</v>
      </c>
      <c r="S448" t="s">
        <v>2938</v>
      </c>
      <c r="T448" s="130" t="s">
        <v>465</v>
      </c>
      <c r="U448" s="35">
        <v>3</v>
      </c>
      <c r="V448" s="40"/>
      <c r="W448" s="40"/>
      <c r="X448" s="59" t="s">
        <v>108</v>
      </c>
      <c r="Y448" s="93">
        <f>IF(AD448=0, 0, IF(OR(H448="", H448&lt;&gt;0), 1, 0))</f>
        <v>1</v>
      </c>
      <c r="Z448" s="3">
        <v>0</v>
      </c>
      <c r="AA448" s="3" t="s">
        <v>2943</v>
      </c>
      <c r="AD448" s="6">
        <f>ROUND((AG448*(1+AJ448)),2)</f>
        <v>117.23</v>
      </c>
      <c r="AE448" s="69">
        <v>133.59915348000001</v>
      </c>
      <c r="AF448" s="17">
        <f>(AE448*1)</f>
        <v>133.59915348000001</v>
      </c>
      <c r="AG448" s="6">
        <f>ROUND((AE448*AI448),2)</f>
        <v>86.84</v>
      </c>
      <c r="AH448" s="30" t="s">
        <v>110</v>
      </c>
      <c r="AI448" s="3">
        <v>0.65</v>
      </c>
      <c r="AJ448" s="18">
        <v>0.35</v>
      </c>
      <c r="AK448" s="6">
        <f>ROUND((AD448-(AD448*BG448)),2)</f>
        <v>116.06</v>
      </c>
      <c r="AL448" s="6">
        <f>ROUND((AD448-(AD448*BH448)),2)</f>
        <v>114.89</v>
      </c>
      <c r="AM448" s="6">
        <f>ROUND((AD448-(AD448*BI448)),2)</f>
        <v>113.71</v>
      </c>
      <c r="AN448" s="6">
        <f>ROUND((AD448-(AD448*BJ448)),2)</f>
        <v>113.71</v>
      </c>
      <c r="AO448" s="6">
        <f>ROUND((AD448-(AD448*BK448)),2)</f>
        <v>117.23</v>
      </c>
      <c r="BG448" s="12">
        <v>0.01</v>
      </c>
      <c r="BH448" s="12">
        <v>0.02</v>
      </c>
      <c r="BI448" s="12">
        <v>0.03</v>
      </c>
      <c r="BJ448" s="12">
        <v>0.03</v>
      </c>
      <c r="CC448" s="3" t="str">
        <f>IF(B448&lt;&gt;"",CONCATENATE(SUBSTITUTE(B448," ","-"),".jpg"),"")</f>
        <v>Allied-Moulded-AMU664CCNLF.jpg</v>
      </c>
      <c r="CD448" s="16" t="s">
        <v>111</v>
      </c>
      <c r="CE448" s="3"/>
      <c r="CF448" s="3"/>
      <c r="CG448" s="3" t="s">
        <v>112</v>
      </c>
      <c r="CI448" s="3" t="s">
        <v>97</v>
      </c>
      <c r="CJ448" s="3" t="s">
        <v>467</v>
      </c>
      <c r="CK448" s="3" t="s">
        <v>114</v>
      </c>
      <c r="CL448" s="3" t="s">
        <v>115</v>
      </c>
      <c r="CM448" s="3" t="s">
        <v>116</v>
      </c>
      <c r="CN448" t="s">
        <v>117</v>
      </c>
      <c r="CO448" s="3" t="s">
        <v>118</v>
      </c>
      <c r="CP448" s="3" t="s">
        <v>139</v>
      </c>
      <c r="CQ448" s="3" t="s">
        <v>120</v>
      </c>
      <c r="CR448" s="16" t="s">
        <v>121</v>
      </c>
      <c r="CS448" s="16" t="s">
        <v>122</v>
      </c>
      <c r="CT448" s="16" t="s">
        <v>351</v>
      </c>
      <c r="CU448" s="16" t="s">
        <v>351</v>
      </c>
      <c r="CV448" s="16" t="s">
        <v>657</v>
      </c>
    </row>
    <row r="449" spans="1:100" ht="15" customHeight="1">
      <c r="A449" t="s">
        <v>2944</v>
      </c>
      <c r="B449" s="3" t="s">
        <v>2945</v>
      </c>
      <c r="C449" s="16" t="s">
        <v>97</v>
      </c>
      <c r="D449" s="40" t="s">
        <v>2946</v>
      </c>
      <c r="E449" s="16" t="s">
        <v>97</v>
      </c>
      <c r="F449" s="131" t="s">
        <v>2947</v>
      </c>
      <c r="I449" s="100" t="s">
        <v>342</v>
      </c>
      <c r="J449" s="16" t="s">
        <v>101</v>
      </c>
      <c r="K449" s="16"/>
      <c r="L449" s="3" t="s">
        <v>102</v>
      </c>
      <c r="M449" s="3" t="s">
        <v>103</v>
      </c>
      <c r="N449" s="3" t="s">
        <v>104</v>
      </c>
      <c r="O449" s="16" t="s">
        <v>105</v>
      </c>
      <c r="P449" s="3" t="s">
        <v>2948</v>
      </c>
      <c r="Q449" s="3" t="s">
        <v>2948</v>
      </c>
      <c r="R449" s="3" t="s">
        <v>2948</v>
      </c>
      <c r="S449" t="s">
        <v>2944</v>
      </c>
      <c r="T449" s="130" t="s">
        <v>465</v>
      </c>
      <c r="U449" s="51">
        <v>3</v>
      </c>
      <c r="V449" s="58"/>
      <c r="W449" s="58"/>
      <c r="X449" s="59" t="s">
        <v>108</v>
      </c>
      <c r="Y449" s="93">
        <f>IF(AD449=0, 0, IF(OR(H449="", H449&lt;&gt;0), 1, 0))</f>
        <v>1</v>
      </c>
      <c r="Z449" s="3">
        <v>0</v>
      </c>
      <c r="AA449" s="3" t="s">
        <v>2949</v>
      </c>
      <c r="AD449" s="6">
        <f>ROUND((AG449*(1+AJ449)),2)</f>
        <v>120.66</v>
      </c>
      <c r="AE449" s="69">
        <v>137.51145604000001</v>
      </c>
      <c r="AF449" s="17">
        <f>(AE449*1)</f>
        <v>137.51145604000001</v>
      </c>
      <c r="AG449" s="6">
        <f>ROUND((AE449*AI449),2)</f>
        <v>89.38</v>
      </c>
      <c r="AH449" s="30" t="s">
        <v>110</v>
      </c>
      <c r="AI449" s="3">
        <v>0.65</v>
      </c>
      <c r="AJ449" s="18">
        <v>0.35</v>
      </c>
      <c r="AK449" s="6">
        <f>ROUND((AD449-(AD449*BG449)),2)</f>
        <v>119.45</v>
      </c>
      <c r="AL449" s="6">
        <f>ROUND((AD449-(AD449*BH449)),2)</f>
        <v>118.25</v>
      </c>
      <c r="AM449" s="6">
        <f>ROUND((AD449-(AD449*BI449)),2)</f>
        <v>117.04</v>
      </c>
      <c r="AN449" s="6">
        <f>ROUND((AD449-(AD449*BJ449)),2)</f>
        <v>117.04</v>
      </c>
      <c r="AO449" s="6">
        <f>ROUND((AD449-(AD449*BK449)),2)</f>
        <v>120.66</v>
      </c>
      <c r="BG449" s="12">
        <v>0.01</v>
      </c>
      <c r="BH449" s="12">
        <v>0.02</v>
      </c>
      <c r="BI449" s="12">
        <v>0.03</v>
      </c>
      <c r="BJ449" s="12">
        <v>0.03</v>
      </c>
      <c r="CC449" s="3" t="str">
        <f>IF(B449&lt;&gt;"",CONCATENATE(SUBSTITUTE(B449," ","-"),".jpg"),"")</f>
        <v>Allied-Moulded-AMU664CCT.jpg</v>
      </c>
      <c r="CD449" s="16" t="s">
        <v>111</v>
      </c>
      <c r="CE449" s="3"/>
      <c r="CF449" s="3"/>
      <c r="CG449" s="3" t="s">
        <v>112</v>
      </c>
      <c r="CI449" s="3" t="s">
        <v>97</v>
      </c>
      <c r="CJ449" s="3" t="s">
        <v>467</v>
      </c>
      <c r="CK449" s="3" t="s">
        <v>114</v>
      </c>
      <c r="CL449" s="3" t="s">
        <v>115</v>
      </c>
      <c r="CM449" s="3" t="s">
        <v>116</v>
      </c>
      <c r="CN449" s="16" t="s">
        <v>132</v>
      </c>
      <c r="CO449" s="3" t="s">
        <v>118</v>
      </c>
      <c r="CP449" s="3" t="s">
        <v>139</v>
      </c>
      <c r="CQ449" s="3" t="s">
        <v>120</v>
      </c>
      <c r="CR449" s="16" t="s">
        <v>121</v>
      </c>
      <c r="CS449" s="16" t="s">
        <v>122</v>
      </c>
      <c r="CT449" s="16" t="s">
        <v>351</v>
      </c>
      <c r="CU449" s="16" t="s">
        <v>351</v>
      </c>
      <c r="CV449" s="16" t="s">
        <v>657</v>
      </c>
    </row>
    <row r="450" spans="1:100" ht="15" customHeight="1">
      <c r="A450" t="s">
        <v>2950</v>
      </c>
      <c r="B450" s="3" t="s">
        <v>2951</v>
      </c>
      <c r="C450" s="16" t="s">
        <v>97</v>
      </c>
      <c r="D450" s="39" t="s">
        <v>2952</v>
      </c>
      <c r="E450" s="16" t="s">
        <v>97</v>
      </c>
      <c r="F450" s="131" t="s">
        <v>2953</v>
      </c>
      <c r="I450" s="100" t="s">
        <v>342</v>
      </c>
      <c r="J450" s="16" t="s">
        <v>101</v>
      </c>
      <c r="K450" s="16"/>
      <c r="L450" s="3" t="s">
        <v>102</v>
      </c>
      <c r="M450" s="3" t="s">
        <v>103</v>
      </c>
      <c r="N450" s="3" t="s">
        <v>104</v>
      </c>
      <c r="O450" s="16" t="s">
        <v>105</v>
      </c>
      <c r="P450" s="3" t="s">
        <v>2954</v>
      </c>
      <c r="Q450" s="3" t="s">
        <v>2954</v>
      </c>
      <c r="R450" s="3" t="s">
        <v>2954</v>
      </c>
      <c r="S450" t="s">
        <v>2950</v>
      </c>
      <c r="T450" s="130" t="s">
        <v>465</v>
      </c>
      <c r="U450" s="50">
        <v>3</v>
      </c>
      <c r="V450" s="54"/>
      <c r="W450" s="54"/>
      <c r="X450" s="59" t="s">
        <v>108</v>
      </c>
      <c r="Y450" s="93">
        <f>IF(AD450=0, 0, IF(OR(H450="", H450&lt;&gt;0), 1, 0))</f>
        <v>1</v>
      </c>
      <c r="Z450" s="3">
        <v>0</v>
      </c>
      <c r="AA450" s="3" t="s">
        <v>2955</v>
      </c>
      <c r="AD450" s="6">
        <f>ROUND((AG450*(1+AJ450)),2)</f>
        <v>123.4</v>
      </c>
      <c r="AE450" s="69">
        <v>140.63788095999999</v>
      </c>
      <c r="AF450" s="17">
        <f>(AE450*1)</f>
        <v>140.63788095999999</v>
      </c>
      <c r="AG450" s="6">
        <f>ROUND((AE450*AI450),2)</f>
        <v>91.41</v>
      </c>
      <c r="AH450" s="30" t="s">
        <v>110</v>
      </c>
      <c r="AI450" s="3">
        <v>0.65</v>
      </c>
      <c r="AJ450" s="18">
        <v>0.35</v>
      </c>
      <c r="AK450" s="6">
        <f>ROUND((AD450-(AD450*BG450)),2)</f>
        <v>122.17</v>
      </c>
      <c r="AL450" s="6">
        <f>ROUND((AD450-(AD450*BH450)),2)</f>
        <v>120.93</v>
      </c>
      <c r="AM450" s="6">
        <f>ROUND((AD450-(AD450*BI450)),2)</f>
        <v>119.7</v>
      </c>
      <c r="AN450" s="6">
        <f>ROUND((AD450-(AD450*BJ450)),2)</f>
        <v>119.7</v>
      </c>
      <c r="AO450" s="6">
        <f>ROUND((AD450-(AD450*BK450)),2)</f>
        <v>123.4</v>
      </c>
      <c r="BG450" s="12">
        <v>0.01</v>
      </c>
      <c r="BH450" s="12">
        <v>0.02</v>
      </c>
      <c r="BI450" s="12">
        <v>0.03</v>
      </c>
      <c r="BJ450" s="12">
        <v>0.03</v>
      </c>
      <c r="CC450" s="3" t="str">
        <f>IF(B450&lt;&gt;"",CONCATENATE(SUBSTITUTE(B450," ","-"),".jpg"),"")</f>
        <v>Allied-Moulded-AMU664CCTF.jpg</v>
      </c>
      <c r="CD450" s="16" t="s">
        <v>111</v>
      </c>
      <c r="CE450" s="3"/>
      <c r="CF450" s="3"/>
      <c r="CG450" s="3" t="s">
        <v>112</v>
      </c>
      <c r="CI450" s="3" t="s">
        <v>97</v>
      </c>
      <c r="CJ450" s="3" t="s">
        <v>467</v>
      </c>
      <c r="CK450" s="3" t="s">
        <v>114</v>
      </c>
      <c r="CL450" s="3" t="s">
        <v>115</v>
      </c>
      <c r="CM450" s="3" t="s">
        <v>116</v>
      </c>
      <c r="CN450" s="16" t="s">
        <v>132</v>
      </c>
      <c r="CO450" s="3" t="s">
        <v>118</v>
      </c>
      <c r="CP450" s="3" t="s">
        <v>139</v>
      </c>
      <c r="CQ450" s="3" t="s">
        <v>120</v>
      </c>
      <c r="CR450" s="16" t="s">
        <v>121</v>
      </c>
      <c r="CS450" s="16" t="s">
        <v>122</v>
      </c>
      <c r="CT450" s="16" t="s">
        <v>351</v>
      </c>
      <c r="CU450" s="16" t="s">
        <v>351</v>
      </c>
      <c r="CV450" s="16" t="s">
        <v>657</v>
      </c>
    </row>
    <row r="451" spans="1:100" ht="15" customHeight="1">
      <c r="A451" t="s">
        <v>2956</v>
      </c>
      <c r="B451" s="3" t="s">
        <v>2957</v>
      </c>
      <c r="C451" s="16" t="s">
        <v>97</v>
      </c>
      <c r="D451" s="39" t="s">
        <v>2958</v>
      </c>
      <c r="E451" s="16" t="s">
        <v>97</v>
      </c>
      <c r="F451" s="131" t="s">
        <v>2959</v>
      </c>
      <c r="I451" s="100" t="s">
        <v>342</v>
      </c>
      <c r="J451" s="16" t="s">
        <v>101</v>
      </c>
      <c r="K451" s="16"/>
      <c r="L451" s="3" t="s">
        <v>102</v>
      </c>
      <c r="M451" s="3" t="s">
        <v>103</v>
      </c>
      <c r="N451" s="3" t="s">
        <v>104</v>
      </c>
      <c r="O451" s="16" t="s">
        <v>478</v>
      </c>
      <c r="P451" s="3" t="s">
        <v>2960</v>
      </c>
      <c r="Q451" s="3" t="s">
        <v>2960</v>
      </c>
      <c r="R451" s="3" t="s">
        <v>2960</v>
      </c>
      <c r="S451" t="s">
        <v>2956</v>
      </c>
      <c r="T451" s="130" t="s">
        <v>465</v>
      </c>
      <c r="U451" s="50">
        <v>2</v>
      </c>
      <c r="V451" s="54"/>
      <c r="W451" s="54"/>
      <c r="X451" s="59" t="s">
        <v>108</v>
      </c>
      <c r="Y451" s="93">
        <f>IF(AD451=0, 0, IF(OR(H451="", H451&lt;&gt;0), 1, 0))</f>
        <v>1</v>
      </c>
      <c r="Z451" s="3">
        <v>0</v>
      </c>
      <c r="AA451" s="3" t="s">
        <v>2961</v>
      </c>
      <c r="AD451" s="6">
        <f>ROUND((AG451*(1+AJ451)),2)</f>
        <v>54.34</v>
      </c>
      <c r="AE451" s="69">
        <v>61.929259350000002</v>
      </c>
      <c r="AF451" s="17">
        <f>(AE451*1)</f>
        <v>61.929259350000002</v>
      </c>
      <c r="AG451" s="6">
        <f>ROUND((AE451*AI451),2)</f>
        <v>40.25</v>
      </c>
      <c r="AH451" s="30" t="s">
        <v>110</v>
      </c>
      <c r="AI451" s="3">
        <v>0.65</v>
      </c>
      <c r="AJ451" s="18">
        <v>0.35</v>
      </c>
      <c r="AK451" s="6">
        <f>ROUND((AD451-(AD451*BG451)),2)</f>
        <v>53.8</v>
      </c>
      <c r="AL451" s="6">
        <f>ROUND((AD451-(AD451*BH451)),2)</f>
        <v>53.25</v>
      </c>
      <c r="AM451" s="6">
        <f>ROUND((AD451-(AD451*BI451)),2)</f>
        <v>52.71</v>
      </c>
      <c r="AN451" s="6">
        <f>ROUND((AD451-(AD451*BJ451)),2)</f>
        <v>52.71</v>
      </c>
      <c r="AO451" s="6">
        <f>ROUND((AD451-(AD451*BK451)),2)</f>
        <v>54.34</v>
      </c>
      <c r="BG451" s="12">
        <v>0.01</v>
      </c>
      <c r="BH451" s="12">
        <v>0.02</v>
      </c>
      <c r="BI451" s="12">
        <v>0.03</v>
      </c>
      <c r="BJ451" s="12">
        <v>0.03</v>
      </c>
      <c r="CC451" s="3" t="str">
        <f>IF(B451&lt;&gt;"",CONCATENATE(SUBSTITUTE(B451," ","-"),".jpg"),"")</f>
        <v>Allied-Moulded-AMP664CC.jpg</v>
      </c>
      <c r="CD451" s="16" t="s">
        <v>111</v>
      </c>
      <c r="CE451" s="3"/>
      <c r="CF451" s="3"/>
      <c r="CG451" s="3" t="s">
        <v>112</v>
      </c>
      <c r="CI451" s="3" t="s">
        <v>97</v>
      </c>
      <c r="CJ451" s="3" t="s">
        <v>481</v>
      </c>
      <c r="CK451" s="3" t="s">
        <v>114</v>
      </c>
      <c r="CL451" s="3" t="s">
        <v>115</v>
      </c>
      <c r="CM451" s="16"/>
      <c r="CN451" s="16" t="s">
        <v>349</v>
      </c>
      <c r="CO451" s="3" t="s">
        <v>482</v>
      </c>
      <c r="CP451" s="3" t="s">
        <v>139</v>
      </c>
      <c r="CQ451" s="3" t="s">
        <v>120</v>
      </c>
      <c r="CR451" s="16" t="s">
        <v>121</v>
      </c>
      <c r="CS451" s="3" t="s">
        <v>384</v>
      </c>
      <c r="CT451" s="16" t="s">
        <v>351</v>
      </c>
      <c r="CU451" s="16" t="s">
        <v>351</v>
      </c>
      <c r="CV451" s="16" t="s">
        <v>657</v>
      </c>
    </row>
    <row r="452" spans="1:100" ht="15" customHeight="1">
      <c r="A452" t="s">
        <v>2962</v>
      </c>
      <c r="B452" s="3" t="s">
        <v>2963</v>
      </c>
      <c r="C452" s="16" t="s">
        <v>97</v>
      </c>
      <c r="D452" s="40" t="s">
        <v>2964</v>
      </c>
      <c r="E452" s="16" t="s">
        <v>97</v>
      </c>
      <c r="F452" s="131" t="s">
        <v>2965</v>
      </c>
      <c r="I452" s="100" t="s">
        <v>342</v>
      </c>
      <c r="J452" s="16" t="s">
        <v>101</v>
      </c>
      <c r="K452" s="16"/>
      <c r="L452" s="3" t="s">
        <v>102</v>
      </c>
      <c r="M452" s="3" t="s">
        <v>103</v>
      </c>
      <c r="N452" s="3" t="s">
        <v>104</v>
      </c>
      <c r="O452" s="16" t="s">
        <v>478</v>
      </c>
      <c r="P452" s="3" t="s">
        <v>2966</v>
      </c>
      <c r="Q452" s="3" t="s">
        <v>2966</v>
      </c>
      <c r="R452" s="3" t="s">
        <v>2966</v>
      </c>
      <c r="S452" t="s">
        <v>2962</v>
      </c>
      <c r="T452" s="130" t="s">
        <v>465</v>
      </c>
      <c r="U452" s="51">
        <v>2</v>
      </c>
      <c r="V452" s="58"/>
      <c r="W452" s="58"/>
      <c r="X452" s="59" t="s">
        <v>108</v>
      </c>
      <c r="Y452" s="93">
        <f>IF(AD452=0, 0, IF(OR(H452="", H452&lt;&gt;0), 1, 0))</f>
        <v>1</v>
      </c>
      <c r="Z452" s="3">
        <v>0</v>
      </c>
      <c r="AA452" s="3" t="s">
        <v>2967</v>
      </c>
      <c r="AD452" s="6">
        <f>ROUND((AG452*(1+AJ452)),2)</f>
        <v>57.05</v>
      </c>
      <c r="AE452" s="69">
        <v>65.009842800000001</v>
      </c>
      <c r="AF452" s="17">
        <f>(AE452*1)</f>
        <v>65.009842800000001</v>
      </c>
      <c r="AG452" s="6">
        <f>ROUND((AE452*AI452),2)</f>
        <v>42.26</v>
      </c>
      <c r="AH452" s="30" t="s">
        <v>110</v>
      </c>
      <c r="AI452" s="3">
        <v>0.65</v>
      </c>
      <c r="AJ452" s="18">
        <v>0.35</v>
      </c>
      <c r="AK452" s="6">
        <f>ROUND((AD452-(AD452*BG452)),2)</f>
        <v>56.48</v>
      </c>
      <c r="AL452" s="6">
        <f>ROUND((AD452-(AD452*BH452)),2)</f>
        <v>55.91</v>
      </c>
      <c r="AM452" s="6">
        <f>ROUND((AD452-(AD452*BI452)),2)</f>
        <v>55.34</v>
      </c>
      <c r="AN452" s="6">
        <f>ROUND((AD452-(AD452*BJ452)),2)</f>
        <v>55.34</v>
      </c>
      <c r="AO452" s="6">
        <f>ROUND((AD452-(AD452*BK452)),2)</f>
        <v>57.05</v>
      </c>
      <c r="BG452" s="12">
        <v>0.01</v>
      </c>
      <c r="BH452" s="12">
        <v>0.02</v>
      </c>
      <c r="BI452" s="12">
        <v>0.03</v>
      </c>
      <c r="BJ452" s="12">
        <v>0.03</v>
      </c>
      <c r="CC452" s="3" t="str">
        <f>IF(B452&lt;&gt;"",CONCATENATE(SUBSTITUTE(B452," ","-"),".jpg"),"")</f>
        <v>Allied-Moulded-AMP664CCF.jpg</v>
      </c>
      <c r="CD452" s="16" t="s">
        <v>111</v>
      </c>
      <c r="CE452" s="3"/>
      <c r="CF452" s="3"/>
      <c r="CG452" s="3" t="s">
        <v>112</v>
      </c>
      <c r="CI452" s="3" t="s">
        <v>97</v>
      </c>
      <c r="CJ452" s="3" t="s">
        <v>481</v>
      </c>
      <c r="CK452" s="3" t="s">
        <v>114</v>
      </c>
      <c r="CL452" s="3" t="s">
        <v>115</v>
      </c>
      <c r="CM452" s="16"/>
      <c r="CN452" s="16" t="s">
        <v>349</v>
      </c>
      <c r="CO452" s="3" t="s">
        <v>482</v>
      </c>
      <c r="CP452" s="3" t="s">
        <v>139</v>
      </c>
      <c r="CQ452" s="3" t="s">
        <v>120</v>
      </c>
      <c r="CR452" s="16" t="s">
        <v>121</v>
      </c>
      <c r="CS452" s="3" t="s">
        <v>384</v>
      </c>
      <c r="CT452" s="16" t="s">
        <v>351</v>
      </c>
      <c r="CU452" s="16" t="s">
        <v>351</v>
      </c>
      <c r="CV452" s="16" t="s">
        <v>657</v>
      </c>
    </row>
    <row r="453" spans="1:100" ht="15" customHeight="1">
      <c r="A453" t="s">
        <v>2968</v>
      </c>
      <c r="B453" s="3" t="s">
        <v>2969</v>
      </c>
      <c r="C453" s="16" t="s">
        <v>97</v>
      </c>
      <c r="D453" s="40" t="s">
        <v>2970</v>
      </c>
      <c r="E453" s="16" t="s">
        <v>97</v>
      </c>
      <c r="F453" s="131" t="s">
        <v>2971</v>
      </c>
      <c r="I453" s="100" t="s">
        <v>342</v>
      </c>
      <c r="J453" s="16" t="s">
        <v>101</v>
      </c>
      <c r="K453" s="16"/>
      <c r="L453" s="3" t="s">
        <v>102</v>
      </c>
      <c r="M453" s="3" t="s">
        <v>103</v>
      </c>
      <c r="N453" s="3" t="s">
        <v>104</v>
      </c>
      <c r="O453" s="16" t="s">
        <v>478</v>
      </c>
      <c r="P453" s="3" t="s">
        <v>2972</v>
      </c>
      <c r="Q453" s="3" t="s">
        <v>2972</v>
      </c>
      <c r="R453" s="3" t="s">
        <v>2972</v>
      </c>
      <c r="S453" t="s">
        <v>2968</v>
      </c>
      <c r="T453" s="130" t="s">
        <v>465</v>
      </c>
      <c r="U453" s="51">
        <v>2</v>
      </c>
      <c r="V453" s="58"/>
      <c r="W453" s="58"/>
      <c r="X453" s="59" t="s">
        <v>108</v>
      </c>
      <c r="Y453" s="93">
        <f>IF(AD453=0, 0, IF(OR(H453="", H453&lt;&gt;0), 1, 0))</f>
        <v>1</v>
      </c>
      <c r="Z453" s="3">
        <v>0</v>
      </c>
      <c r="AA453" s="3" t="s">
        <v>2973</v>
      </c>
      <c r="AD453" s="6">
        <f>ROUND((AG453*(1+AJ453)),2)</f>
        <v>59.29</v>
      </c>
      <c r="AE453" s="69">
        <v>67.566410099999999</v>
      </c>
      <c r="AF453" s="17">
        <f>(AE453*1)</f>
        <v>67.566410099999999</v>
      </c>
      <c r="AG453" s="6">
        <f>ROUND((AE453*AI453),2)</f>
        <v>43.92</v>
      </c>
      <c r="AH453" s="30" t="s">
        <v>110</v>
      </c>
      <c r="AI453" s="3">
        <v>0.65</v>
      </c>
      <c r="AJ453" s="18">
        <v>0.35</v>
      </c>
      <c r="AK453" s="6">
        <f>ROUND((AD453-(AD453*BG453)),2)</f>
        <v>58.7</v>
      </c>
      <c r="AL453" s="6">
        <f>ROUND((AD453-(AD453*BH453)),2)</f>
        <v>58.1</v>
      </c>
      <c r="AM453" s="6">
        <f>ROUND((AD453-(AD453*BI453)),2)</f>
        <v>57.51</v>
      </c>
      <c r="AN453" s="6">
        <f>ROUND((AD453-(AD453*BJ453)),2)</f>
        <v>57.51</v>
      </c>
      <c r="AO453" s="6">
        <f>ROUND((AD453-(AD453*BK453)),2)</f>
        <v>59.29</v>
      </c>
      <c r="BG453" s="12">
        <v>0.01</v>
      </c>
      <c r="BH453" s="12">
        <v>0.02</v>
      </c>
      <c r="BI453" s="12">
        <v>0.03</v>
      </c>
      <c r="BJ453" s="12">
        <v>0.03</v>
      </c>
      <c r="CC453" s="3" t="str">
        <f>IF(B453&lt;&gt;"",CONCATENATE(SUBSTITUTE(B453," ","-"),".jpg"),"")</f>
        <v>Allied-Moulded-AMP664CCH.jpg</v>
      </c>
      <c r="CD453" s="16" t="s">
        <v>111</v>
      </c>
      <c r="CE453" s="3"/>
      <c r="CF453" s="3"/>
      <c r="CG453" s="3" t="s">
        <v>112</v>
      </c>
      <c r="CI453" s="3" t="s">
        <v>97</v>
      </c>
      <c r="CJ453" s="3" t="s">
        <v>481</v>
      </c>
      <c r="CK453" s="3" t="s">
        <v>114</v>
      </c>
      <c r="CL453" s="3" t="s">
        <v>115</v>
      </c>
      <c r="CM453" s="3" t="s">
        <v>116</v>
      </c>
      <c r="CN453" s="16" t="s">
        <v>349</v>
      </c>
      <c r="CO453" s="3" t="s">
        <v>482</v>
      </c>
      <c r="CP453" s="3" t="s">
        <v>139</v>
      </c>
      <c r="CQ453" s="3" t="s">
        <v>120</v>
      </c>
      <c r="CR453" s="16" t="s">
        <v>121</v>
      </c>
      <c r="CS453" s="3" t="s">
        <v>384</v>
      </c>
      <c r="CT453" s="16" t="s">
        <v>351</v>
      </c>
      <c r="CU453" s="16" t="s">
        <v>351</v>
      </c>
      <c r="CV453" s="16" t="s">
        <v>657</v>
      </c>
    </row>
    <row r="454" spans="1:100" ht="15" customHeight="1">
      <c r="A454" t="s">
        <v>2974</v>
      </c>
      <c r="B454" s="3" t="s">
        <v>2975</v>
      </c>
      <c r="C454" s="16" t="s">
        <v>97</v>
      </c>
      <c r="D454" s="39" t="s">
        <v>2976</v>
      </c>
      <c r="E454" s="16" t="s">
        <v>97</v>
      </c>
      <c r="F454" s="131" t="s">
        <v>2977</v>
      </c>
      <c r="I454" s="100" t="s">
        <v>342</v>
      </c>
      <c r="J454" s="16" t="s">
        <v>101</v>
      </c>
      <c r="K454" s="16"/>
      <c r="L454" s="3" t="s">
        <v>102</v>
      </c>
      <c r="M454" s="3" t="s">
        <v>103</v>
      </c>
      <c r="N454" s="3" t="s">
        <v>104</v>
      </c>
      <c r="O454" s="16" t="s">
        <v>478</v>
      </c>
      <c r="P454" s="3" t="s">
        <v>2978</v>
      </c>
      <c r="Q454" s="3" t="s">
        <v>2978</v>
      </c>
      <c r="R454" s="3" t="s">
        <v>2978</v>
      </c>
      <c r="S454" t="s">
        <v>2974</v>
      </c>
      <c r="T454" s="130" t="s">
        <v>465</v>
      </c>
      <c r="U454" s="50">
        <v>2</v>
      </c>
      <c r="V454" s="54"/>
      <c r="W454" s="54"/>
      <c r="X454" s="59" t="s">
        <v>108</v>
      </c>
      <c r="Y454" s="93">
        <f>IF(AD454=0, 0, IF(OR(H454="", H454&lt;&gt;0), 1, 0))</f>
        <v>1</v>
      </c>
      <c r="Z454" s="3">
        <v>0</v>
      </c>
      <c r="AA454" s="3" t="s">
        <v>2979</v>
      </c>
      <c r="AD454" s="6">
        <f>ROUND((AG454*(1+AJ454)),2)</f>
        <v>62.26</v>
      </c>
      <c r="AE454" s="69">
        <v>70.948700549999998</v>
      </c>
      <c r="AF454" s="17">
        <f>(AE454*1)</f>
        <v>70.948700549999998</v>
      </c>
      <c r="AG454" s="6">
        <f>ROUND((AE454*AI454),2)</f>
        <v>46.12</v>
      </c>
      <c r="AH454" s="30" t="s">
        <v>110</v>
      </c>
      <c r="AI454" s="3">
        <v>0.65</v>
      </c>
      <c r="AJ454" s="18">
        <v>0.35</v>
      </c>
      <c r="AK454" s="6">
        <f>ROUND((AD454-(AD454*BG454)),2)</f>
        <v>61.64</v>
      </c>
      <c r="AL454" s="6">
        <f>ROUND((AD454-(AD454*BH454)),2)</f>
        <v>61.01</v>
      </c>
      <c r="AM454" s="6">
        <f>ROUND((AD454-(AD454*BI454)),2)</f>
        <v>60.39</v>
      </c>
      <c r="AN454" s="6">
        <f>ROUND((AD454-(AD454*BJ454)),2)</f>
        <v>60.39</v>
      </c>
      <c r="AO454" s="6">
        <f>ROUND((AD454-(AD454*BK454)),2)</f>
        <v>62.26</v>
      </c>
      <c r="BG454" s="12">
        <v>0.01</v>
      </c>
      <c r="BH454" s="12">
        <v>0.02</v>
      </c>
      <c r="BI454" s="12">
        <v>0.03</v>
      </c>
      <c r="BJ454" s="12">
        <v>0.03</v>
      </c>
      <c r="CC454" s="3" t="str">
        <f>IF(B454&lt;&gt;"",CONCATENATE(SUBSTITUTE(B454," ","-"),".jpg"),"")</f>
        <v>Allied-Moulded-AMP664CCHF.jpg</v>
      </c>
      <c r="CD454" s="16" t="s">
        <v>111</v>
      </c>
      <c r="CE454" s="3"/>
      <c r="CF454" s="3"/>
      <c r="CG454" s="3" t="s">
        <v>112</v>
      </c>
      <c r="CI454" s="3" t="s">
        <v>97</v>
      </c>
      <c r="CJ454" s="3" t="s">
        <v>481</v>
      </c>
      <c r="CK454" s="3" t="s">
        <v>114</v>
      </c>
      <c r="CL454" s="3" t="s">
        <v>115</v>
      </c>
      <c r="CM454" s="3" t="s">
        <v>116</v>
      </c>
      <c r="CN454" s="16" t="s">
        <v>349</v>
      </c>
      <c r="CO454" s="3" t="s">
        <v>482</v>
      </c>
      <c r="CP454" s="3" t="s">
        <v>139</v>
      </c>
      <c r="CQ454" s="3" t="s">
        <v>120</v>
      </c>
      <c r="CR454" s="16" t="s">
        <v>121</v>
      </c>
      <c r="CS454" s="3" t="s">
        <v>384</v>
      </c>
      <c r="CT454" s="16" t="s">
        <v>351</v>
      </c>
      <c r="CU454" s="16" t="s">
        <v>351</v>
      </c>
      <c r="CV454" s="16" t="s">
        <v>657</v>
      </c>
    </row>
    <row r="455" spans="1:100" ht="15" customHeight="1">
      <c r="A455" t="s">
        <v>2980</v>
      </c>
      <c r="B455" s="3" t="s">
        <v>2981</v>
      </c>
      <c r="C455" s="16" t="s">
        <v>97</v>
      </c>
      <c r="D455" s="39" t="s">
        <v>2982</v>
      </c>
      <c r="E455" s="16" t="s">
        <v>97</v>
      </c>
      <c r="F455" s="131" t="s">
        <v>2983</v>
      </c>
      <c r="I455" s="100" t="s">
        <v>342</v>
      </c>
      <c r="J455" s="16" t="s">
        <v>101</v>
      </c>
      <c r="K455" s="16"/>
      <c r="L455" s="3" t="s">
        <v>102</v>
      </c>
      <c r="M455" s="3" t="s">
        <v>103</v>
      </c>
      <c r="N455" s="3" t="s">
        <v>104</v>
      </c>
      <c r="O455" s="16" t="s">
        <v>478</v>
      </c>
      <c r="P455" s="3" t="s">
        <v>2984</v>
      </c>
      <c r="Q455" s="3" t="s">
        <v>2984</v>
      </c>
      <c r="R455" s="3" t="s">
        <v>2984</v>
      </c>
      <c r="S455" t="s">
        <v>2980</v>
      </c>
      <c r="T455" s="130" t="s">
        <v>465</v>
      </c>
      <c r="U455" s="50">
        <v>2</v>
      </c>
      <c r="V455" s="54"/>
      <c r="W455" s="54"/>
      <c r="X455" s="59" t="s">
        <v>108</v>
      </c>
      <c r="Y455" s="93">
        <f>IF(AD455=0, 0, IF(OR(H455="", H455&lt;&gt;0), 1, 0))</f>
        <v>1</v>
      </c>
      <c r="Z455" s="3">
        <v>0</v>
      </c>
      <c r="AA455" s="3" t="s">
        <v>2985</v>
      </c>
      <c r="AD455" s="6">
        <f>ROUND((AG455*(1+AJ455)),2)</f>
        <v>71.83</v>
      </c>
      <c r="AE455" s="69">
        <v>81.857777400000003</v>
      </c>
      <c r="AF455" s="17">
        <f>(AE455*1)</f>
        <v>81.857777400000003</v>
      </c>
      <c r="AG455" s="6">
        <f>ROUND((AE455*AI455),2)</f>
        <v>53.21</v>
      </c>
      <c r="AH455" s="30" t="s">
        <v>110</v>
      </c>
      <c r="AI455" s="3">
        <v>0.65</v>
      </c>
      <c r="AJ455" s="18">
        <v>0.35</v>
      </c>
      <c r="AK455" s="6">
        <f>ROUND((AD455-(AD455*BG455)),2)</f>
        <v>71.11</v>
      </c>
      <c r="AL455" s="6">
        <f>ROUND((AD455-(AD455*BH455)),2)</f>
        <v>70.39</v>
      </c>
      <c r="AM455" s="6">
        <f>ROUND((AD455-(AD455*BI455)),2)</f>
        <v>69.680000000000007</v>
      </c>
      <c r="AN455" s="6">
        <f>ROUND((AD455-(AD455*BJ455)),2)</f>
        <v>69.680000000000007</v>
      </c>
      <c r="AO455" s="6">
        <f>ROUND((AD455-(AD455*BK455)),2)</f>
        <v>71.83</v>
      </c>
      <c r="BG455" s="12">
        <v>0.01</v>
      </c>
      <c r="BH455" s="12">
        <v>0.02</v>
      </c>
      <c r="BI455" s="12">
        <v>0.03</v>
      </c>
      <c r="BJ455" s="12">
        <v>0.03</v>
      </c>
      <c r="CC455" s="3" t="str">
        <f>IF(B455&lt;&gt;"",CONCATENATE(SUBSTITUTE(B455," ","-"),".jpg"),"")</f>
        <v>Allied-Moulded-AMP664CCL.jpg</v>
      </c>
      <c r="CD455" s="16" t="s">
        <v>111</v>
      </c>
      <c r="CE455" s="3"/>
      <c r="CF455" s="3"/>
      <c r="CG455" s="3" t="s">
        <v>112</v>
      </c>
      <c r="CI455" s="3" t="s">
        <v>97</v>
      </c>
      <c r="CJ455" s="3" t="s">
        <v>481</v>
      </c>
      <c r="CK455" s="3" t="s">
        <v>114</v>
      </c>
      <c r="CL455" s="3" t="s">
        <v>115</v>
      </c>
      <c r="CM455" s="3" t="s">
        <v>116</v>
      </c>
      <c r="CN455" t="s">
        <v>117</v>
      </c>
      <c r="CO455" s="3" t="s">
        <v>482</v>
      </c>
      <c r="CP455" s="3" t="s">
        <v>139</v>
      </c>
      <c r="CQ455" s="3" t="s">
        <v>120</v>
      </c>
      <c r="CR455" s="16" t="s">
        <v>121</v>
      </c>
      <c r="CS455" s="16" t="s">
        <v>122</v>
      </c>
      <c r="CT455" s="16" t="s">
        <v>351</v>
      </c>
      <c r="CU455" s="16" t="s">
        <v>351</v>
      </c>
      <c r="CV455" s="16" t="s">
        <v>657</v>
      </c>
    </row>
    <row r="456" spans="1:100" ht="15" customHeight="1">
      <c r="A456" t="s">
        <v>2986</v>
      </c>
      <c r="B456" s="3" t="s">
        <v>2987</v>
      </c>
      <c r="C456" s="16" t="s">
        <v>97</v>
      </c>
      <c r="D456" s="40" t="s">
        <v>2988</v>
      </c>
      <c r="E456" s="16" t="s">
        <v>97</v>
      </c>
      <c r="F456" s="131" t="s">
        <v>2989</v>
      </c>
      <c r="I456" s="100" t="s">
        <v>342</v>
      </c>
      <c r="J456" s="16" t="s">
        <v>101</v>
      </c>
      <c r="K456" s="16"/>
      <c r="L456" s="3" t="s">
        <v>102</v>
      </c>
      <c r="M456" s="3" t="s">
        <v>103</v>
      </c>
      <c r="N456" s="3" t="s">
        <v>104</v>
      </c>
      <c r="O456" s="16" t="s">
        <v>478</v>
      </c>
      <c r="P456" s="3" t="s">
        <v>2990</v>
      </c>
      <c r="Q456" s="3" t="s">
        <v>2990</v>
      </c>
      <c r="R456" s="3" t="s">
        <v>2990</v>
      </c>
      <c r="S456" t="s">
        <v>2986</v>
      </c>
      <c r="T456" s="130" t="s">
        <v>465</v>
      </c>
      <c r="U456" s="51">
        <v>2</v>
      </c>
      <c r="V456" s="58"/>
      <c r="W456" s="58"/>
      <c r="X456" s="59" t="s">
        <v>108</v>
      </c>
      <c r="Y456" s="93">
        <f>IF(AD456=0, 0, IF(OR(H456="", H456&lt;&gt;0), 1, 0))</f>
        <v>1</v>
      </c>
      <c r="Z456" s="3">
        <v>0</v>
      </c>
      <c r="AA456" s="3" t="s">
        <v>2991</v>
      </c>
      <c r="AD456" s="6">
        <f>ROUND((AG456*(1+AJ456)),2)</f>
        <v>75.41</v>
      </c>
      <c r="AE456" s="69">
        <v>85.938754649999993</v>
      </c>
      <c r="AF456" s="17">
        <f>(AE456*1)</f>
        <v>85.938754649999993</v>
      </c>
      <c r="AG456" s="6">
        <f>ROUND((AE456*AI456),2)</f>
        <v>55.86</v>
      </c>
      <c r="AH456" s="30" t="s">
        <v>110</v>
      </c>
      <c r="AI456" s="3">
        <v>0.65</v>
      </c>
      <c r="AJ456" s="18">
        <v>0.35</v>
      </c>
      <c r="AK456" s="6">
        <f>ROUND((AD456-(AD456*BG456)),2)</f>
        <v>74.66</v>
      </c>
      <c r="AL456" s="6">
        <f>ROUND((AD456-(AD456*BH456)),2)</f>
        <v>73.900000000000006</v>
      </c>
      <c r="AM456" s="6">
        <f>ROUND((AD456-(AD456*BI456)),2)</f>
        <v>73.150000000000006</v>
      </c>
      <c r="AN456" s="6">
        <f>ROUND((AD456-(AD456*BJ456)),2)</f>
        <v>73.150000000000006</v>
      </c>
      <c r="AO456" s="6">
        <f>ROUND((AD456-(AD456*BK456)),2)</f>
        <v>75.41</v>
      </c>
      <c r="BG456" s="12">
        <v>0.01</v>
      </c>
      <c r="BH456" s="12">
        <v>0.02</v>
      </c>
      <c r="BI456" s="12">
        <v>0.03</v>
      </c>
      <c r="BJ456" s="12">
        <v>0.03</v>
      </c>
      <c r="CC456" s="3" t="str">
        <f>IF(B456&lt;&gt;"",CONCATENATE(SUBSTITUTE(B456," ","-"),".jpg"),"")</f>
        <v>Allied-Moulded-AMP664CCLF.jpg</v>
      </c>
      <c r="CD456" s="16" t="s">
        <v>111</v>
      </c>
      <c r="CE456" s="3"/>
      <c r="CF456" s="3"/>
      <c r="CG456" s="3" t="s">
        <v>112</v>
      </c>
      <c r="CI456" s="3" t="s">
        <v>97</v>
      </c>
      <c r="CJ456" s="3" t="s">
        <v>481</v>
      </c>
      <c r="CK456" s="3" t="s">
        <v>114</v>
      </c>
      <c r="CL456" s="3" t="s">
        <v>115</v>
      </c>
      <c r="CM456" s="3" t="s">
        <v>116</v>
      </c>
      <c r="CN456" t="s">
        <v>117</v>
      </c>
      <c r="CO456" s="3" t="s">
        <v>482</v>
      </c>
      <c r="CP456" s="3" t="s">
        <v>139</v>
      </c>
      <c r="CQ456" s="3" t="s">
        <v>120</v>
      </c>
      <c r="CR456" s="16" t="s">
        <v>121</v>
      </c>
      <c r="CS456" s="16" t="s">
        <v>122</v>
      </c>
      <c r="CT456" s="16" t="s">
        <v>351</v>
      </c>
      <c r="CU456" s="16" t="s">
        <v>351</v>
      </c>
      <c r="CV456" s="16" t="s">
        <v>657</v>
      </c>
    </row>
    <row r="457" spans="1:100" ht="15" customHeight="1">
      <c r="A457" t="s">
        <v>2992</v>
      </c>
      <c r="B457" s="3" t="s">
        <v>2993</v>
      </c>
      <c r="C457" s="16" t="s">
        <v>97</v>
      </c>
      <c r="D457" s="39" t="s">
        <v>2994</v>
      </c>
      <c r="E457" s="16" t="s">
        <v>97</v>
      </c>
      <c r="F457" s="131" t="s">
        <v>2995</v>
      </c>
      <c r="I457" s="100" t="s">
        <v>342</v>
      </c>
      <c r="J457" s="16" t="s">
        <v>101</v>
      </c>
      <c r="K457" s="16"/>
      <c r="L457" s="3" t="s">
        <v>102</v>
      </c>
      <c r="M457" s="3" t="s">
        <v>103</v>
      </c>
      <c r="N457" s="3" t="s">
        <v>104</v>
      </c>
      <c r="O457" s="16" t="s">
        <v>478</v>
      </c>
      <c r="P457" s="3" t="s">
        <v>2996</v>
      </c>
      <c r="Q457" s="3" t="s">
        <v>2996</v>
      </c>
      <c r="R457" s="3" t="s">
        <v>2996</v>
      </c>
      <c r="S457" t="s">
        <v>2992</v>
      </c>
      <c r="T457" s="130" t="s">
        <v>465</v>
      </c>
      <c r="U457" s="50">
        <v>2</v>
      </c>
      <c r="V457" s="54"/>
      <c r="W457" s="54"/>
      <c r="X457" s="59" t="s">
        <v>108</v>
      </c>
      <c r="Y457" s="93">
        <f>IF(AD457=0, 0, IF(OR(H457="", H457&lt;&gt;0), 1, 0))</f>
        <v>1</v>
      </c>
      <c r="Z457" s="3">
        <v>0</v>
      </c>
      <c r="AA457" s="3" t="s">
        <v>2997</v>
      </c>
      <c r="AD457" s="6">
        <f>ROUND((AG457*(1+AJ457)),2)</f>
        <v>71.64</v>
      </c>
      <c r="AE457" s="69">
        <v>81.651345299999988</v>
      </c>
      <c r="AF457" s="17">
        <f>(AE457*1)</f>
        <v>81.651345299999988</v>
      </c>
      <c r="AG457" s="6">
        <f>ROUND((AE457*AI457),2)</f>
        <v>53.07</v>
      </c>
      <c r="AH457" s="30" t="s">
        <v>110</v>
      </c>
      <c r="AI457" s="3">
        <v>0.65</v>
      </c>
      <c r="AJ457" s="18">
        <v>0.35</v>
      </c>
      <c r="AK457" s="6">
        <f>ROUND((AD457-(AD457*BG457)),2)</f>
        <v>70.92</v>
      </c>
      <c r="AL457" s="6">
        <f>ROUND((AD457-(AD457*BH457)),2)</f>
        <v>70.209999999999994</v>
      </c>
      <c r="AM457" s="6">
        <f>ROUND((AD457-(AD457*BI457)),2)</f>
        <v>69.489999999999995</v>
      </c>
      <c r="AN457" s="6">
        <f>ROUND((AD457-(AD457*BJ457)),2)</f>
        <v>69.489999999999995</v>
      </c>
      <c r="AO457" s="6">
        <f>ROUND((AD457-(AD457*BK457)),2)</f>
        <v>71.64</v>
      </c>
      <c r="BG457" s="12">
        <v>0.01</v>
      </c>
      <c r="BH457" s="12">
        <v>0.02</v>
      </c>
      <c r="BI457" s="12">
        <v>0.03</v>
      </c>
      <c r="BJ457" s="12">
        <v>0.03</v>
      </c>
      <c r="CC457" s="3" t="str">
        <f>IF(B457&lt;&gt;"",CONCATENATE(SUBSTITUTE(B457," ","-"),".jpg"),"")</f>
        <v>Allied-Moulded-AMP664CCNLF.jpg</v>
      </c>
      <c r="CD457" s="16" t="s">
        <v>111</v>
      </c>
      <c r="CE457" s="3"/>
      <c r="CF457" s="3"/>
      <c r="CG457" s="3" t="s">
        <v>112</v>
      </c>
      <c r="CI457" s="3" t="s">
        <v>97</v>
      </c>
      <c r="CJ457" s="3" t="s">
        <v>481</v>
      </c>
      <c r="CK457" s="3" t="s">
        <v>114</v>
      </c>
      <c r="CL457" s="3" t="s">
        <v>115</v>
      </c>
      <c r="CM457" s="3" t="s">
        <v>116</v>
      </c>
      <c r="CN457" t="s">
        <v>117</v>
      </c>
      <c r="CO457" s="3" t="s">
        <v>482</v>
      </c>
      <c r="CP457" s="3" t="s">
        <v>139</v>
      </c>
      <c r="CQ457" s="3" t="s">
        <v>120</v>
      </c>
      <c r="CR457" s="16" t="s">
        <v>121</v>
      </c>
      <c r="CS457" s="16" t="s">
        <v>122</v>
      </c>
      <c r="CT457" s="16" t="s">
        <v>351</v>
      </c>
      <c r="CU457" s="16" t="s">
        <v>351</v>
      </c>
      <c r="CV457" s="16" t="s">
        <v>657</v>
      </c>
    </row>
    <row r="458" spans="1:100" ht="15" customHeight="1">
      <c r="A458" t="s">
        <v>2998</v>
      </c>
      <c r="B458" s="3" t="s">
        <v>2999</v>
      </c>
      <c r="C458" s="16" t="s">
        <v>97</v>
      </c>
      <c r="D458" s="40" t="s">
        <v>3000</v>
      </c>
      <c r="E458" s="16" t="s">
        <v>97</v>
      </c>
      <c r="F458" s="131" t="s">
        <v>3001</v>
      </c>
      <c r="I458" s="100" t="s">
        <v>342</v>
      </c>
      <c r="J458" s="16" t="s">
        <v>101</v>
      </c>
      <c r="K458" s="16"/>
      <c r="L458" s="3" t="s">
        <v>102</v>
      </c>
      <c r="M458" s="3" t="s">
        <v>103</v>
      </c>
      <c r="N458" s="3" t="s">
        <v>104</v>
      </c>
      <c r="O458" s="16" t="s">
        <v>478</v>
      </c>
      <c r="P458" s="3" t="s">
        <v>3002</v>
      </c>
      <c r="Q458" s="3" t="s">
        <v>3002</v>
      </c>
      <c r="R458" s="3" t="s">
        <v>3002</v>
      </c>
      <c r="S458" t="s">
        <v>2998</v>
      </c>
      <c r="T458" s="130" t="s">
        <v>465</v>
      </c>
      <c r="U458" s="51">
        <v>2</v>
      </c>
      <c r="V458" s="58"/>
      <c r="W458" s="58"/>
      <c r="X458" s="59" t="s">
        <v>108</v>
      </c>
      <c r="Y458" s="93">
        <f>IF(AD458=0, 0, IF(OR(H458="", H458&lt;&gt;0), 1, 0))</f>
        <v>1</v>
      </c>
      <c r="Z458" s="3">
        <v>0</v>
      </c>
      <c r="AA458" s="3" t="s">
        <v>3003</v>
      </c>
      <c r="AD458" s="6">
        <f>ROUND((AG458*(1+AJ458)),2)</f>
        <v>70.75</v>
      </c>
      <c r="AE458" s="69">
        <v>80.635070249999998</v>
      </c>
      <c r="AF458" s="17">
        <f>(AE458*1)</f>
        <v>80.635070249999998</v>
      </c>
      <c r="AG458" s="6">
        <f>ROUND((AE458*AI458),2)</f>
        <v>52.41</v>
      </c>
      <c r="AH458" s="30" t="s">
        <v>110</v>
      </c>
      <c r="AI458" s="3">
        <v>0.65</v>
      </c>
      <c r="AJ458" s="18">
        <v>0.35</v>
      </c>
      <c r="AK458" s="6">
        <f>ROUND((AD458-(AD458*BG458)),2)</f>
        <v>70.040000000000006</v>
      </c>
      <c r="AL458" s="6">
        <f>ROUND((AD458-(AD458*BH458)),2)</f>
        <v>69.34</v>
      </c>
      <c r="AM458" s="6">
        <f>ROUND((AD458-(AD458*BI458)),2)</f>
        <v>68.63</v>
      </c>
      <c r="AN458" s="6">
        <f>ROUND((AD458-(AD458*BJ458)),2)</f>
        <v>68.63</v>
      </c>
      <c r="AO458" s="6">
        <f>ROUND((AD458-(AD458*BK458)),2)</f>
        <v>70.75</v>
      </c>
      <c r="BG458" s="12">
        <v>0.01</v>
      </c>
      <c r="BH458" s="12">
        <v>0.02</v>
      </c>
      <c r="BI458" s="12">
        <v>0.03</v>
      </c>
      <c r="BJ458" s="12">
        <v>0.03</v>
      </c>
      <c r="CC458" s="3" t="str">
        <f>IF(B458&lt;&gt;"",CONCATENATE(SUBSTITUTE(B458," ","-"),".jpg"),"")</f>
        <v>Allied-Moulded-AMP864CCNL.jpg</v>
      </c>
      <c r="CD458" s="16" t="s">
        <v>111</v>
      </c>
      <c r="CE458" s="3"/>
      <c r="CF458" s="3"/>
      <c r="CG458" s="3" t="s">
        <v>112</v>
      </c>
      <c r="CI458" s="3" t="s">
        <v>97</v>
      </c>
      <c r="CJ458" s="3" t="s">
        <v>481</v>
      </c>
      <c r="CK458" s="3" t="s">
        <v>114</v>
      </c>
      <c r="CL458" s="3" t="s">
        <v>115</v>
      </c>
      <c r="CM458" s="3" t="s">
        <v>116</v>
      </c>
      <c r="CN458" t="s">
        <v>117</v>
      </c>
      <c r="CO458" s="3" t="s">
        <v>482</v>
      </c>
      <c r="CP458" s="3" t="s">
        <v>139</v>
      </c>
      <c r="CQ458" s="3" t="s">
        <v>120</v>
      </c>
      <c r="CR458" s="16" t="s">
        <v>121</v>
      </c>
      <c r="CS458" s="16" t="s">
        <v>122</v>
      </c>
      <c r="CT458" s="16" t="s">
        <v>351</v>
      </c>
      <c r="CU458" s="16" t="s">
        <v>351</v>
      </c>
      <c r="CV458" s="16" t="s">
        <v>657</v>
      </c>
    </row>
    <row r="459" spans="1:100" ht="15" customHeight="1">
      <c r="A459" t="s">
        <v>3004</v>
      </c>
      <c r="B459" s="3" t="s">
        <v>3005</v>
      </c>
      <c r="C459" s="16" t="s">
        <v>97</v>
      </c>
      <c r="D459" s="39" t="s">
        <v>3006</v>
      </c>
      <c r="E459" s="16" t="s">
        <v>97</v>
      </c>
      <c r="F459" s="131" t="s">
        <v>3007</v>
      </c>
      <c r="I459" s="100" t="s">
        <v>342</v>
      </c>
      <c r="J459" s="16" t="s">
        <v>101</v>
      </c>
      <c r="K459" s="16"/>
      <c r="L459" s="3" t="s">
        <v>102</v>
      </c>
      <c r="M459" s="3" t="s">
        <v>103</v>
      </c>
      <c r="N459" s="3" t="s">
        <v>104</v>
      </c>
      <c r="O459" s="16" t="s">
        <v>478</v>
      </c>
      <c r="P459" s="2" t="s">
        <v>3008</v>
      </c>
      <c r="Q459" s="2" t="s">
        <v>3008</v>
      </c>
      <c r="R459" s="2" t="s">
        <v>3008</v>
      </c>
      <c r="S459" t="s">
        <v>3004</v>
      </c>
      <c r="T459" s="130" t="s">
        <v>465</v>
      </c>
      <c r="U459" s="50">
        <v>2</v>
      </c>
      <c r="V459" s="54"/>
      <c r="W459" s="54"/>
      <c r="X459" s="59" t="s">
        <v>108</v>
      </c>
      <c r="Y459" s="93">
        <f>IF(AD459=0, 0, IF(OR(H459="", H459&lt;&gt;0), 1, 0))</f>
        <v>1</v>
      </c>
      <c r="Z459" s="3">
        <v>0</v>
      </c>
      <c r="AA459" s="3" t="s">
        <v>3009</v>
      </c>
      <c r="AD459" s="6">
        <f>ROUND((AG459*(1+AJ459)),2)</f>
        <v>49.4</v>
      </c>
      <c r="AE459" s="69">
        <v>56.292108599999999</v>
      </c>
      <c r="AF459" s="17">
        <f>(AE459*1)</f>
        <v>56.292108599999999</v>
      </c>
      <c r="AG459" s="6">
        <f>ROUND((AE459*AI459),2)</f>
        <v>36.590000000000003</v>
      </c>
      <c r="AH459" s="30" t="s">
        <v>110</v>
      </c>
      <c r="AI459" s="3">
        <v>0.65</v>
      </c>
      <c r="AJ459" s="18">
        <v>0.35</v>
      </c>
      <c r="AK459" s="6">
        <f>ROUND((AD459-(AD459*BG459)),2)</f>
        <v>48.91</v>
      </c>
      <c r="AL459" s="6">
        <f>ROUND((AD459-(AD459*BH459)),2)</f>
        <v>48.41</v>
      </c>
      <c r="AM459" s="6">
        <f>ROUND((AD459-(AD459*BI459)),2)</f>
        <v>47.92</v>
      </c>
      <c r="AN459" s="6">
        <f>ROUND((AD459-(AD459*BJ459)),2)</f>
        <v>47.92</v>
      </c>
      <c r="AO459" s="6">
        <f>ROUND((AD459-(AD459*BK459)),2)</f>
        <v>49.4</v>
      </c>
      <c r="BG459" s="12">
        <v>0.01</v>
      </c>
      <c r="BH459" s="12">
        <v>0.02</v>
      </c>
      <c r="BI459" s="12">
        <v>0.03</v>
      </c>
      <c r="BJ459" s="12">
        <v>0.03</v>
      </c>
      <c r="CC459" s="3" t="str">
        <f>IF(B459&lt;&gt;"",CONCATENATE(SUBSTITUTE(B459," ","-"),".jpg"),"")</f>
        <v>Allied-Moulded-AMP664.jpg</v>
      </c>
      <c r="CD459" s="16" t="s">
        <v>111</v>
      </c>
      <c r="CE459" s="3"/>
      <c r="CF459" s="3"/>
      <c r="CG459" s="3" t="s">
        <v>112</v>
      </c>
      <c r="CI459" s="3" t="s">
        <v>97</v>
      </c>
      <c r="CJ459" s="3" t="s">
        <v>481</v>
      </c>
      <c r="CK459" s="3" t="s">
        <v>114</v>
      </c>
      <c r="CL459" s="3" t="s">
        <v>115</v>
      </c>
      <c r="CM459" s="16"/>
      <c r="CN459" s="16" t="s">
        <v>349</v>
      </c>
      <c r="CO459" s="3" t="s">
        <v>482</v>
      </c>
      <c r="CP459" s="3" t="s">
        <v>139</v>
      </c>
      <c r="CQ459" s="3" t="s">
        <v>120</v>
      </c>
      <c r="CR459" s="3" t="s">
        <v>140</v>
      </c>
      <c r="CS459" s="3" t="s">
        <v>384</v>
      </c>
      <c r="CT459" s="16" t="s">
        <v>351</v>
      </c>
      <c r="CU459" s="16" t="s">
        <v>351</v>
      </c>
      <c r="CV459" s="16" t="s">
        <v>657</v>
      </c>
    </row>
    <row r="460" spans="1:100" ht="15" customHeight="1">
      <c r="A460" t="s">
        <v>3010</v>
      </c>
      <c r="B460" s="3" t="s">
        <v>3011</v>
      </c>
      <c r="C460" s="16" t="s">
        <v>97</v>
      </c>
      <c r="D460" s="38" t="s">
        <v>3012</v>
      </c>
      <c r="E460" s="16" t="s">
        <v>97</v>
      </c>
      <c r="F460" s="131" t="s">
        <v>3013</v>
      </c>
      <c r="I460" s="100" t="s">
        <v>342</v>
      </c>
      <c r="J460" s="16" t="s">
        <v>101</v>
      </c>
      <c r="K460" s="16"/>
      <c r="L460" s="3" t="s">
        <v>102</v>
      </c>
      <c r="M460" s="3" t="s">
        <v>103</v>
      </c>
      <c r="N460" s="3" t="s">
        <v>104</v>
      </c>
      <c r="O460" s="16" t="s">
        <v>478</v>
      </c>
      <c r="P460" s="2" t="s">
        <v>3014</v>
      </c>
      <c r="Q460" s="2" t="s">
        <v>3014</v>
      </c>
      <c r="R460" s="2" t="s">
        <v>3014</v>
      </c>
      <c r="S460" t="s">
        <v>3010</v>
      </c>
      <c r="T460" s="130" t="s">
        <v>465</v>
      </c>
      <c r="U460" s="49">
        <v>2</v>
      </c>
      <c r="V460" s="58"/>
      <c r="W460" s="58"/>
      <c r="X460" s="59" t="s">
        <v>108</v>
      </c>
      <c r="Y460" s="93">
        <f>IF(AD460=0, 0, IF(OR(H460="", H460&lt;&gt;0), 1, 0))</f>
        <v>1</v>
      </c>
      <c r="Z460" s="3">
        <v>0</v>
      </c>
      <c r="AA460" s="3" t="s">
        <v>3015</v>
      </c>
      <c r="AD460" s="6">
        <f>ROUND((AG460*(1+AJ460)),2)</f>
        <v>51.88</v>
      </c>
      <c r="AE460" s="68">
        <v>59.118622499999994</v>
      </c>
      <c r="AF460" s="17">
        <f>(AE460*1)</f>
        <v>59.118622499999994</v>
      </c>
      <c r="AG460" s="6">
        <f>ROUND((AE460*AI460),2)</f>
        <v>38.43</v>
      </c>
      <c r="AH460" s="30" t="s">
        <v>110</v>
      </c>
      <c r="AI460" s="3">
        <v>0.65</v>
      </c>
      <c r="AJ460" s="18">
        <v>0.35</v>
      </c>
      <c r="AK460" s="6">
        <f>ROUND((AD460-(AD460*BG460)),2)</f>
        <v>51.36</v>
      </c>
      <c r="AL460" s="6">
        <f>ROUND((AD460-(AD460*BH460)),2)</f>
        <v>50.84</v>
      </c>
      <c r="AM460" s="6">
        <f>ROUND((AD460-(AD460*BI460)),2)</f>
        <v>50.32</v>
      </c>
      <c r="AN460" s="6">
        <f>ROUND((AD460-(AD460*BJ460)),2)</f>
        <v>50.32</v>
      </c>
      <c r="AO460" s="6">
        <f>ROUND((AD460-(AD460*BK460)),2)</f>
        <v>51.88</v>
      </c>
      <c r="BG460" s="12">
        <v>0.01</v>
      </c>
      <c r="BH460" s="12">
        <v>0.02</v>
      </c>
      <c r="BI460" s="12">
        <v>0.03</v>
      </c>
      <c r="BJ460" s="12">
        <v>0.03</v>
      </c>
      <c r="CC460" s="3" t="str">
        <f>IF(B460&lt;&gt;"",CONCATENATE(SUBSTITUTE(B460," ","-"),".jpg"),"")</f>
        <v>Allied-Moulded-AMP664F.jpg</v>
      </c>
      <c r="CD460" s="16" t="s">
        <v>111</v>
      </c>
      <c r="CE460" s="3"/>
      <c r="CF460" s="3"/>
      <c r="CG460" s="3" t="s">
        <v>112</v>
      </c>
      <c r="CI460" s="3" t="s">
        <v>97</v>
      </c>
      <c r="CJ460" s="3" t="s">
        <v>481</v>
      </c>
      <c r="CK460" s="3" t="s">
        <v>114</v>
      </c>
      <c r="CL460" s="3" t="s">
        <v>115</v>
      </c>
      <c r="CM460" s="16"/>
      <c r="CN460" s="16" t="s">
        <v>349</v>
      </c>
      <c r="CO460" s="3" t="s">
        <v>482</v>
      </c>
      <c r="CP460" s="3" t="s">
        <v>139</v>
      </c>
      <c r="CQ460" s="3" t="s">
        <v>120</v>
      </c>
      <c r="CR460" s="3" t="s">
        <v>140</v>
      </c>
      <c r="CS460" s="3" t="s">
        <v>384</v>
      </c>
      <c r="CT460" s="16" t="s">
        <v>351</v>
      </c>
      <c r="CU460" s="16" t="s">
        <v>351</v>
      </c>
      <c r="CV460" s="16" t="s">
        <v>657</v>
      </c>
    </row>
    <row r="461" spans="1:100" ht="15" customHeight="1">
      <c r="A461" t="s">
        <v>3016</v>
      </c>
      <c r="B461" s="3" t="s">
        <v>3017</v>
      </c>
      <c r="C461" s="16" t="s">
        <v>97</v>
      </c>
      <c r="D461" s="40" t="s">
        <v>3018</v>
      </c>
      <c r="E461" s="16" t="s">
        <v>97</v>
      </c>
      <c r="F461" s="131" t="s">
        <v>3019</v>
      </c>
      <c r="I461" s="100" t="s">
        <v>342</v>
      </c>
      <c r="J461" s="16" t="s">
        <v>101</v>
      </c>
      <c r="K461" s="16"/>
      <c r="L461" s="3" t="s">
        <v>102</v>
      </c>
      <c r="M461" s="3" t="s">
        <v>103</v>
      </c>
      <c r="N461" s="3" t="s">
        <v>104</v>
      </c>
      <c r="O461" s="16" t="s">
        <v>478</v>
      </c>
      <c r="P461" s="2" t="s">
        <v>3020</v>
      </c>
      <c r="Q461" s="2" t="s">
        <v>3020</v>
      </c>
      <c r="R461" s="2" t="s">
        <v>3020</v>
      </c>
      <c r="S461" t="s">
        <v>3016</v>
      </c>
      <c r="T461" s="130" t="s">
        <v>465</v>
      </c>
      <c r="U461" s="51">
        <v>2</v>
      </c>
      <c r="V461" s="58"/>
      <c r="W461" s="58"/>
      <c r="X461" s="59" t="s">
        <v>108</v>
      </c>
      <c r="Y461" s="93">
        <f>IF(AD461=0, 0, IF(OR(H461="", H461&lt;&gt;0), 1, 0))</f>
        <v>1</v>
      </c>
      <c r="Z461" s="3">
        <v>0</v>
      </c>
      <c r="AA461" s="3" t="s">
        <v>3021</v>
      </c>
      <c r="AD461" s="6">
        <f>ROUND((AG461*(1+AJ461)),2)</f>
        <v>53.91</v>
      </c>
      <c r="AE461" s="69">
        <v>61.435922099999992</v>
      </c>
      <c r="AF461" s="17">
        <f>(AE461*1)</f>
        <v>61.435922099999992</v>
      </c>
      <c r="AG461" s="6">
        <f>ROUND((AE461*AI461),2)</f>
        <v>39.93</v>
      </c>
      <c r="AH461" s="30" t="s">
        <v>110</v>
      </c>
      <c r="AI461" s="3">
        <v>0.65</v>
      </c>
      <c r="AJ461" s="18">
        <v>0.35</v>
      </c>
      <c r="AK461" s="6">
        <f>ROUND((AD461-(AD461*BG461)),2)</f>
        <v>53.37</v>
      </c>
      <c r="AL461" s="6">
        <f>ROUND((AD461-(AD461*BH461)),2)</f>
        <v>52.83</v>
      </c>
      <c r="AM461" s="6">
        <f>ROUND((AD461-(AD461*BI461)),2)</f>
        <v>52.29</v>
      </c>
      <c r="AN461" s="6">
        <f>ROUND((AD461-(AD461*BJ461)),2)</f>
        <v>52.29</v>
      </c>
      <c r="AO461" s="6">
        <f>ROUND((AD461-(AD461*BK461)),2)</f>
        <v>53.91</v>
      </c>
      <c r="BG461" s="12">
        <v>0.01</v>
      </c>
      <c r="BH461" s="12">
        <v>0.02</v>
      </c>
      <c r="BI461" s="12">
        <v>0.03</v>
      </c>
      <c r="BJ461" s="12">
        <v>0.03</v>
      </c>
      <c r="CC461" s="3" t="str">
        <f>IF(B461&lt;&gt;"",CONCATENATE(SUBSTITUTE(B461," ","-"),".jpg"),"")</f>
        <v>Allied-Moulded-AMP664H.jpg</v>
      </c>
      <c r="CD461" s="16" t="s">
        <v>111</v>
      </c>
      <c r="CE461" s="3"/>
      <c r="CF461" s="3"/>
      <c r="CG461" s="3" t="s">
        <v>112</v>
      </c>
      <c r="CI461" s="3" t="s">
        <v>97</v>
      </c>
      <c r="CJ461" s="3" t="s">
        <v>481</v>
      </c>
      <c r="CK461" s="3" t="s">
        <v>114</v>
      </c>
      <c r="CL461" s="3" t="s">
        <v>115</v>
      </c>
      <c r="CM461" s="3" t="s">
        <v>116</v>
      </c>
      <c r="CN461" s="16" t="s">
        <v>349</v>
      </c>
      <c r="CO461" s="3" t="s">
        <v>482</v>
      </c>
      <c r="CP461" s="3" t="s">
        <v>139</v>
      </c>
      <c r="CQ461" s="3" t="s">
        <v>120</v>
      </c>
      <c r="CR461" s="3" t="s">
        <v>140</v>
      </c>
      <c r="CS461" s="3" t="s">
        <v>384</v>
      </c>
      <c r="CT461" s="16" t="s">
        <v>351</v>
      </c>
      <c r="CU461" s="16" t="s">
        <v>351</v>
      </c>
      <c r="CV461" s="16" t="s">
        <v>657</v>
      </c>
    </row>
    <row r="462" spans="1:100" ht="15" customHeight="1">
      <c r="A462" t="s">
        <v>3022</v>
      </c>
      <c r="B462" s="3" t="s">
        <v>3023</v>
      </c>
      <c r="C462" s="16" t="s">
        <v>97</v>
      </c>
      <c r="D462" s="39" t="s">
        <v>3024</v>
      </c>
      <c r="E462" s="16" t="s">
        <v>97</v>
      </c>
      <c r="F462" s="131" t="s">
        <v>3025</v>
      </c>
      <c r="I462" s="100" t="s">
        <v>342</v>
      </c>
      <c r="J462" s="16" t="s">
        <v>101</v>
      </c>
      <c r="K462" s="16"/>
      <c r="L462" s="3" t="s">
        <v>102</v>
      </c>
      <c r="M462" s="3" t="s">
        <v>103</v>
      </c>
      <c r="N462" s="3" t="s">
        <v>104</v>
      </c>
      <c r="O462" s="16" t="s">
        <v>478</v>
      </c>
      <c r="P462" s="2" t="s">
        <v>3026</v>
      </c>
      <c r="Q462" s="2" t="s">
        <v>3026</v>
      </c>
      <c r="R462" s="2" t="s">
        <v>3026</v>
      </c>
      <c r="S462" t="s">
        <v>3022</v>
      </c>
      <c r="T462" s="130" t="s">
        <v>465</v>
      </c>
      <c r="U462" s="50">
        <v>2</v>
      </c>
      <c r="V462" s="54"/>
      <c r="W462" s="54"/>
      <c r="X462" s="59" t="s">
        <v>108</v>
      </c>
      <c r="Y462" s="93">
        <f>IF(AD462=0, 0, IF(OR(H462="", H462&lt;&gt;0), 1, 0))</f>
        <v>1</v>
      </c>
      <c r="Z462" s="3">
        <v>0</v>
      </c>
      <c r="AA462" s="3" t="s">
        <v>3027</v>
      </c>
      <c r="AD462" s="6">
        <f>ROUND((AG462*(1+AJ462)),2)</f>
        <v>56.59</v>
      </c>
      <c r="AE462" s="69">
        <v>64.485825599999984</v>
      </c>
      <c r="AF462" s="17">
        <f>(AE462*1)</f>
        <v>64.485825599999984</v>
      </c>
      <c r="AG462" s="6">
        <f>ROUND((AE462*AI462),2)</f>
        <v>41.92</v>
      </c>
      <c r="AH462" s="30" t="s">
        <v>110</v>
      </c>
      <c r="AI462" s="3">
        <v>0.65</v>
      </c>
      <c r="AJ462" s="18">
        <v>0.35</v>
      </c>
      <c r="AK462" s="6">
        <f>ROUND((AD462-(AD462*BG462)),2)</f>
        <v>56.02</v>
      </c>
      <c r="AL462" s="6">
        <f>ROUND((AD462-(AD462*BH462)),2)</f>
        <v>55.46</v>
      </c>
      <c r="AM462" s="6">
        <f>ROUND((AD462-(AD462*BI462)),2)</f>
        <v>54.89</v>
      </c>
      <c r="AN462" s="6">
        <f>ROUND((AD462-(AD462*BJ462)),2)</f>
        <v>54.89</v>
      </c>
      <c r="AO462" s="6">
        <f>ROUND((AD462-(AD462*BK462)),2)</f>
        <v>56.59</v>
      </c>
      <c r="BG462" s="12">
        <v>0.01</v>
      </c>
      <c r="BH462" s="12">
        <v>0.02</v>
      </c>
      <c r="BI462" s="12">
        <v>0.03</v>
      </c>
      <c r="BJ462" s="12">
        <v>0.03</v>
      </c>
      <c r="CC462" s="3" t="str">
        <f>IF(B462&lt;&gt;"",CONCATENATE(SUBSTITUTE(B462," ","-"),".jpg"),"")</f>
        <v>Allied-Moulded-AMP664HF.jpg</v>
      </c>
      <c r="CD462" s="16" t="s">
        <v>111</v>
      </c>
      <c r="CE462" s="3"/>
      <c r="CF462" s="3"/>
      <c r="CG462" s="3" t="s">
        <v>112</v>
      </c>
      <c r="CI462" s="3" t="s">
        <v>97</v>
      </c>
      <c r="CJ462" s="3" t="s">
        <v>481</v>
      </c>
      <c r="CK462" s="3" t="s">
        <v>114</v>
      </c>
      <c r="CL462" s="3" t="s">
        <v>115</v>
      </c>
      <c r="CM462" s="3" t="s">
        <v>116</v>
      </c>
      <c r="CN462" s="16" t="s">
        <v>349</v>
      </c>
      <c r="CO462" s="3" t="s">
        <v>482</v>
      </c>
      <c r="CP462" s="3" t="s">
        <v>139</v>
      </c>
      <c r="CQ462" s="3" t="s">
        <v>120</v>
      </c>
      <c r="CR462" s="3" t="s">
        <v>140</v>
      </c>
      <c r="CS462" s="3" t="s">
        <v>384</v>
      </c>
      <c r="CT462" s="16" t="s">
        <v>351</v>
      </c>
      <c r="CU462" s="16" t="s">
        <v>351</v>
      </c>
      <c r="CV462" s="16" t="s">
        <v>657</v>
      </c>
    </row>
    <row r="463" spans="1:100" ht="15" customHeight="1">
      <c r="A463" t="s">
        <v>3028</v>
      </c>
      <c r="B463" s="3" t="s">
        <v>3029</v>
      </c>
      <c r="C463" s="16" t="s">
        <v>97</v>
      </c>
      <c r="D463" s="39" t="s">
        <v>3030</v>
      </c>
      <c r="E463" s="16" t="s">
        <v>97</v>
      </c>
      <c r="F463" s="131" t="s">
        <v>3031</v>
      </c>
      <c r="I463" s="100" t="s">
        <v>342</v>
      </c>
      <c r="J463" s="16" t="s">
        <v>101</v>
      </c>
      <c r="K463" s="16"/>
      <c r="L463" s="3" t="s">
        <v>102</v>
      </c>
      <c r="M463" s="3" t="s">
        <v>103</v>
      </c>
      <c r="N463" s="3" t="s">
        <v>104</v>
      </c>
      <c r="O463" s="16" t="s">
        <v>478</v>
      </c>
      <c r="P463" s="2" t="s">
        <v>3032</v>
      </c>
      <c r="Q463" s="2" t="s">
        <v>3032</v>
      </c>
      <c r="R463" s="2" t="s">
        <v>3032</v>
      </c>
      <c r="S463" t="s">
        <v>3028</v>
      </c>
      <c r="T463" s="130" t="s">
        <v>465</v>
      </c>
      <c r="U463" s="50">
        <v>2</v>
      </c>
      <c r="V463" s="54"/>
      <c r="W463" s="54"/>
      <c r="X463" s="59" t="s">
        <v>108</v>
      </c>
      <c r="Y463" s="93">
        <f>IF(AD463=0, 0, IF(OR(H463="", H463&lt;&gt;0), 1, 0))</f>
        <v>1</v>
      </c>
      <c r="Z463" s="3">
        <v>0</v>
      </c>
      <c r="AA463" s="3" t="s">
        <v>3033</v>
      </c>
      <c r="AD463" s="6">
        <f>ROUND((AG463*(1+AJ463)),2)</f>
        <v>65.3</v>
      </c>
      <c r="AE463" s="69">
        <v>74.410386750000001</v>
      </c>
      <c r="AF463" s="17">
        <f>(AE463*1)</f>
        <v>74.410386750000001</v>
      </c>
      <c r="AG463" s="6">
        <f>ROUND((AE463*AI463),2)</f>
        <v>48.37</v>
      </c>
      <c r="AH463" s="30" t="s">
        <v>110</v>
      </c>
      <c r="AI463" s="3">
        <v>0.65</v>
      </c>
      <c r="AJ463" s="18">
        <v>0.35</v>
      </c>
      <c r="AK463" s="6">
        <f>ROUND((AD463-(AD463*BG463)),2)</f>
        <v>64.650000000000006</v>
      </c>
      <c r="AL463" s="6">
        <f>ROUND((AD463-(AD463*BH463)),2)</f>
        <v>63.99</v>
      </c>
      <c r="AM463" s="6">
        <f>ROUND((AD463-(AD463*BI463)),2)</f>
        <v>63.34</v>
      </c>
      <c r="AN463" s="6">
        <f>ROUND((AD463-(AD463*BJ463)),2)</f>
        <v>63.34</v>
      </c>
      <c r="AO463" s="6">
        <f>ROUND((AD463-(AD463*BK463)),2)</f>
        <v>65.3</v>
      </c>
      <c r="BG463" s="12">
        <v>0.01</v>
      </c>
      <c r="BH463" s="12">
        <v>0.02</v>
      </c>
      <c r="BI463" s="12">
        <v>0.03</v>
      </c>
      <c r="BJ463" s="12">
        <v>0.03</v>
      </c>
      <c r="CC463" s="3" t="str">
        <f>IF(B463&lt;&gt;"",CONCATENATE(SUBSTITUTE(B463," ","-"),".jpg"),"")</f>
        <v>Allied-Moulded-AMP664L.jpg</v>
      </c>
      <c r="CD463" s="16" t="s">
        <v>111</v>
      </c>
      <c r="CE463" s="3"/>
      <c r="CF463" s="3"/>
      <c r="CG463" s="3" t="s">
        <v>112</v>
      </c>
      <c r="CI463" s="3" t="s">
        <v>97</v>
      </c>
      <c r="CJ463" s="3" t="s">
        <v>481</v>
      </c>
      <c r="CK463" s="3" t="s">
        <v>114</v>
      </c>
      <c r="CL463" s="3" t="s">
        <v>115</v>
      </c>
      <c r="CM463" s="3" t="s">
        <v>116</v>
      </c>
      <c r="CN463" t="s">
        <v>117</v>
      </c>
      <c r="CO463" s="3" t="s">
        <v>482</v>
      </c>
      <c r="CP463" s="3" t="s">
        <v>139</v>
      </c>
      <c r="CQ463" s="3" t="s">
        <v>120</v>
      </c>
      <c r="CR463" s="3" t="s">
        <v>140</v>
      </c>
      <c r="CS463" s="16" t="s">
        <v>122</v>
      </c>
      <c r="CT463" s="16" t="s">
        <v>351</v>
      </c>
      <c r="CU463" s="16" t="s">
        <v>351</v>
      </c>
      <c r="CV463" s="16" t="s">
        <v>657</v>
      </c>
    </row>
    <row r="464" spans="1:100" ht="15" customHeight="1">
      <c r="A464" t="s">
        <v>3034</v>
      </c>
      <c r="B464" s="3" t="s">
        <v>3035</v>
      </c>
      <c r="C464" s="16" t="s">
        <v>97</v>
      </c>
      <c r="D464" s="40" t="s">
        <v>3036</v>
      </c>
      <c r="E464" s="16" t="s">
        <v>97</v>
      </c>
      <c r="F464" s="131" t="s">
        <v>3037</v>
      </c>
      <c r="I464" s="100" t="s">
        <v>342</v>
      </c>
      <c r="J464" s="16" t="s">
        <v>101</v>
      </c>
      <c r="K464" s="16"/>
      <c r="L464" s="3" t="s">
        <v>102</v>
      </c>
      <c r="M464" s="3" t="s">
        <v>103</v>
      </c>
      <c r="N464" s="3" t="s">
        <v>104</v>
      </c>
      <c r="O464" s="16" t="s">
        <v>478</v>
      </c>
      <c r="P464" s="2" t="s">
        <v>3038</v>
      </c>
      <c r="Q464" s="2" t="s">
        <v>3038</v>
      </c>
      <c r="R464" s="2" t="s">
        <v>3038</v>
      </c>
      <c r="S464" t="s">
        <v>3034</v>
      </c>
      <c r="T464" s="130" t="s">
        <v>465</v>
      </c>
      <c r="U464" s="51">
        <v>2</v>
      </c>
      <c r="V464" s="58"/>
      <c r="W464" s="58"/>
      <c r="X464" s="59" t="s">
        <v>108</v>
      </c>
      <c r="Y464" s="93">
        <f>IF(AD464=0, 0, IF(OR(H464="", H464&lt;&gt;0), 1, 0))</f>
        <v>1</v>
      </c>
      <c r="Z464" s="3">
        <v>0</v>
      </c>
      <c r="AA464" s="3" t="s">
        <v>3039</v>
      </c>
      <c r="AD464" s="6">
        <f>ROUND((AG464*(1+AJ464)),2)</f>
        <v>68.569999999999993</v>
      </c>
      <c r="AE464" s="69">
        <v>78.142020599999995</v>
      </c>
      <c r="AF464" s="17">
        <f>(AE464*1)</f>
        <v>78.142020599999995</v>
      </c>
      <c r="AG464" s="6">
        <f>ROUND((AE464*AI464),2)</f>
        <v>50.79</v>
      </c>
      <c r="AH464" s="30" t="s">
        <v>110</v>
      </c>
      <c r="AI464" s="3">
        <v>0.65</v>
      </c>
      <c r="AJ464" s="18">
        <v>0.35</v>
      </c>
      <c r="AK464" s="6">
        <f>ROUND((AD464-(AD464*BG464)),2)</f>
        <v>67.88</v>
      </c>
      <c r="AL464" s="6">
        <f>ROUND((AD464-(AD464*BH464)),2)</f>
        <v>67.2</v>
      </c>
      <c r="AM464" s="6">
        <f>ROUND((AD464-(AD464*BI464)),2)</f>
        <v>66.510000000000005</v>
      </c>
      <c r="AN464" s="6">
        <f>ROUND((AD464-(AD464*BJ464)),2)</f>
        <v>66.510000000000005</v>
      </c>
      <c r="AO464" s="6">
        <f>ROUND((AD464-(AD464*BK464)),2)</f>
        <v>68.569999999999993</v>
      </c>
      <c r="BG464" s="12">
        <v>0.01</v>
      </c>
      <c r="BH464" s="12">
        <v>0.02</v>
      </c>
      <c r="BI464" s="12">
        <v>0.03</v>
      </c>
      <c r="BJ464" s="12">
        <v>0.03</v>
      </c>
      <c r="CC464" s="3" t="str">
        <f>IF(B464&lt;&gt;"",CONCATENATE(SUBSTITUTE(B464," ","-"),".jpg"),"")</f>
        <v>Allied-Moulded-AMP664LF.jpg</v>
      </c>
      <c r="CD464" s="16" t="s">
        <v>111</v>
      </c>
      <c r="CE464" s="3"/>
      <c r="CF464" s="3"/>
      <c r="CG464" s="3" t="s">
        <v>112</v>
      </c>
      <c r="CI464" s="3" t="s">
        <v>97</v>
      </c>
      <c r="CJ464" s="3" t="s">
        <v>481</v>
      </c>
      <c r="CK464" s="3" t="s">
        <v>114</v>
      </c>
      <c r="CL464" s="3" t="s">
        <v>115</v>
      </c>
      <c r="CM464" s="3" t="s">
        <v>116</v>
      </c>
      <c r="CN464" t="s">
        <v>117</v>
      </c>
      <c r="CO464" s="3" t="s">
        <v>482</v>
      </c>
      <c r="CP464" s="3" t="s">
        <v>139</v>
      </c>
      <c r="CQ464" s="3" t="s">
        <v>120</v>
      </c>
      <c r="CR464" s="3" t="s">
        <v>140</v>
      </c>
      <c r="CS464" s="16" t="s">
        <v>122</v>
      </c>
      <c r="CT464" s="16" t="s">
        <v>351</v>
      </c>
      <c r="CU464" s="16" t="s">
        <v>351</v>
      </c>
      <c r="CV464" s="16" t="s">
        <v>657</v>
      </c>
    </row>
    <row r="465" spans="1:100" ht="15" customHeight="1">
      <c r="A465" t="s">
        <v>3040</v>
      </c>
      <c r="B465" s="3" t="s">
        <v>3041</v>
      </c>
      <c r="C465" s="16" t="s">
        <v>97</v>
      </c>
      <c r="D465" s="40" t="s">
        <v>3042</v>
      </c>
      <c r="E465" s="16" t="s">
        <v>97</v>
      </c>
      <c r="F465" s="131" t="s">
        <v>3043</v>
      </c>
      <c r="I465" s="100" t="s">
        <v>342</v>
      </c>
      <c r="J465" s="16" t="s">
        <v>101</v>
      </c>
      <c r="K465" s="16"/>
      <c r="L465" s="3" t="s">
        <v>102</v>
      </c>
      <c r="M465" s="3" t="s">
        <v>103</v>
      </c>
      <c r="N465" s="3" t="s">
        <v>104</v>
      </c>
      <c r="O465" s="16" t="s">
        <v>478</v>
      </c>
      <c r="P465" s="2" t="s">
        <v>3044</v>
      </c>
      <c r="Q465" s="2" t="s">
        <v>3044</v>
      </c>
      <c r="R465" s="2" t="s">
        <v>3044</v>
      </c>
      <c r="S465" t="s">
        <v>3040</v>
      </c>
      <c r="T465" s="130" t="s">
        <v>465</v>
      </c>
      <c r="U465" s="51">
        <v>2</v>
      </c>
      <c r="V465" s="58"/>
      <c r="W465" s="58"/>
      <c r="X465" s="59" t="s">
        <v>108</v>
      </c>
      <c r="Y465" s="93">
        <f>IF(AD465=0, 0, IF(OR(H465="", H465&lt;&gt;0), 1, 0))</f>
        <v>1</v>
      </c>
      <c r="Z465" s="3">
        <v>0</v>
      </c>
      <c r="AA465" s="3" t="s">
        <v>3045</v>
      </c>
      <c r="AD465" s="6">
        <f>ROUND((AG465*(1+AJ465)),2)</f>
        <v>62.03</v>
      </c>
      <c r="AE465" s="69">
        <v>70.694629949999992</v>
      </c>
      <c r="AF465" s="17">
        <f>(AE465*1)</f>
        <v>70.694629949999992</v>
      </c>
      <c r="AG465" s="6">
        <f>ROUND((AE465*AI465),2)</f>
        <v>45.95</v>
      </c>
      <c r="AH465" s="30" t="s">
        <v>110</v>
      </c>
      <c r="AI465" s="3">
        <v>0.65</v>
      </c>
      <c r="AJ465" s="18">
        <v>0.35</v>
      </c>
      <c r="AK465" s="6">
        <f>ROUND((AD465-(AD465*BG465)),2)</f>
        <v>61.41</v>
      </c>
      <c r="AL465" s="6">
        <f>ROUND((AD465-(AD465*BH465)),2)</f>
        <v>60.79</v>
      </c>
      <c r="AM465" s="6">
        <f>ROUND((AD465-(AD465*BI465)),2)</f>
        <v>60.17</v>
      </c>
      <c r="AN465" s="6">
        <f>ROUND((AD465-(AD465*BJ465)),2)</f>
        <v>60.17</v>
      </c>
      <c r="AO465" s="6">
        <f>ROUND((AD465-(AD465*BK465)),2)</f>
        <v>62.03</v>
      </c>
      <c r="BG465" s="12">
        <v>0.01</v>
      </c>
      <c r="BH465" s="12">
        <v>0.02</v>
      </c>
      <c r="BI465" s="12">
        <v>0.03</v>
      </c>
      <c r="BJ465" s="12">
        <v>0.03</v>
      </c>
      <c r="CC465" s="3" t="str">
        <f>IF(B465&lt;&gt;"",CONCATENATE(SUBSTITUTE(B465," ","-"),".jpg"),"")</f>
        <v>Allied-Moulded-AMP664NL.jpg</v>
      </c>
      <c r="CD465" s="16" t="s">
        <v>111</v>
      </c>
      <c r="CE465" s="3"/>
      <c r="CF465" s="3"/>
      <c r="CG465" s="3" t="s">
        <v>112</v>
      </c>
      <c r="CI465" s="3" t="s">
        <v>97</v>
      </c>
      <c r="CJ465" s="3" t="s">
        <v>481</v>
      </c>
      <c r="CK465" s="3" t="s">
        <v>114</v>
      </c>
      <c r="CL465" s="3" t="s">
        <v>115</v>
      </c>
      <c r="CM465" s="3" t="s">
        <v>116</v>
      </c>
      <c r="CN465" t="s">
        <v>117</v>
      </c>
      <c r="CO465" s="3" t="s">
        <v>482</v>
      </c>
      <c r="CP465" s="3" t="s">
        <v>139</v>
      </c>
      <c r="CQ465" s="3" t="s">
        <v>120</v>
      </c>
      <c r="CR465" s="3" t="s">
        <v>140</v>
      </c>
      <c r="CS465" s="16" t="s">
        <v>122</v>
      </c>
      <c r="CT465" s="16" t="s">
        <v>351</v>
      </c>
      <c r="CU465" s="16" t="s">
        <v>351</v>
      </c>
      <c r="CV465" s="16" t="s">
        <v>657</v>
      </c>
    </row>
    <row r="466" spans="1:100" ht="15" customHeight="1">
      <c r="A466" t="s">
        <v>3046</v>
      </c>
      <c r="B466" s="3" t="s">
        <v>3047</v>
      </c>
      <c r="C466" s="16" t="s">
        <v>97</v>
      </c>
      <c r="D466" s="39" t="s">
        <v>3048</v>
      </c>
      <c r="E466" s="16" t="s">
        <v>97</v>
      </c>
      <c r="F466" s="131" t="s">
        <v>3049</v>
      </c>
      <c r="I466" s="100" t="s">
        <v>342</v>
      </c>
      <c r="J466" s="16" t="s">
        <v>101</v>
      </c>
      <c r="K466" s="16"/>
      <c r="L466" s="3" t="s">
        <v>102</v>
      </c>
      <c r="M466" s="3" t="s">
        <v>103</v>
      </c>
      <c r="N466" s="3" t="s">
        <v>104</v>
      </c>
      <c r="O466" s="16" t="s">
        <v>478</v>
      </c>
      <c r="P466" s="2" t="s">
        <v>3050</v>
      </c>
      <c r="Q466" s="2" t="s">
        <v>3050</v>
      </c>
      <c r="R466" s="2" t="s">
        <v>3050</v>
      </c>
      <c r="S466" t="s">
        <v>3046</v>
      </c>
      <c r="T466" s="130" t="s">
        <v>465</v>
      </c>
      <c r="U466" s="50">
        <v>2</v>
      </c>
      <c r="V466" s="54"/>
      <c r="W466" s="54"/>
      <c r="X466" s="59" t="s">
        <v>108</v>
      </c>
      <c r="Y466" s="93">
        <f>IF(AD466=0, 0, IF(OR(H466="", H466&lt;&gt;0), 1, 0))</f>
        <v>1</v>
      </c>
      <c r="Z466" s="3">
        <v>0</v>
      </c>
      <c r="AA466" s="3" t="s">
        <v>3051</v>
      </c>
      <c r="AD466" s="6">
        <f>ROUND((AG466*(1+AJ466)),2)</f>
        <v>65.14</v>
      </c>
      <c r="AE466" s="69">
        <v>74.235713999999987</v>
      </c>
      <c r="AF466" s="17">
        <f>(AE466*1)</f>
        <v>74.235713999999987</v>
      </c>
      <c r="AG466" s="6">
        <f>ROUND((AE466*AI466),2)</f>
        <v>48.25</v>
      </c>
      <c r="AH466" s="30" t="s">
        <v>110</v>
      </c>
      <c r="AI466" s="3">
        <v>0.65</v>
      </c>
      <c r="AJ466" s="18">
        <v>0.35</v>
      </c>
      <c r="AK466" s="6">
        <f>ROUND((AD466-(AD466*BG466)),2)</f>
        <v>64.489999999999995</v>
      </c>
      <c r="AL466" s="6">
        <f>ROUND((AD466-(AD466*BH466)),2)</f>
        <v>63.84</v>
      </c>
      <c r="AM466" s="6">
        <f>ROUND((AD466-(AD466*BI466)),2)</f>
        <v>63.19</v>
      </c>
      <c r="AN466" s="6">
        <f>ROUND((AD466-(AD466*BJ466)),2)</f>
        <v>63.19</v>
      </c>
      <c r="AO466" s="6">
        <f>ROUND((AD466-(AD466*BK466)),2)</f>
        <v>65.14</v>
      </c>
      <c r="BG466" s="12">
        <v>0.01</v>
      </c>
      <c r="BH466" s="12">
        <v>0.02</v>
      </c>
      <c r="BI466" s="12">
        <v>0.03</v>
      </c>
      <c r="BJ466" s="12">
        <v>0.03</v>
      </c>
      <c r="CC466" s="3" t="str">
        <f>IF(B466&lt;&gt;"",CONCATENATE(SUBSTITUTE(B466," ","-"),".jpg"),"")</f>
        <v>Allied-Moulded-AMP664NLF.jpg</v>
      </c>
      <c r="CD466" s="16" t="s">
        <v>111</v>
      </c>
      <c r="CE466" s="3"/>
      <c r="CF466" s="3"/>
      <c r="CG466" s="3" t="s">
        <v>112</v>
      </c>
      <c r="CI466" s="3" t="s">
        <v>97</v>
      </c>
      <c r="CJ466" s="3" t="s">
        <v>481</v>
      </c>
      <c r="CK466" s="3" t="s">
        <v>114</v>
      </c>
      <c r="CL466" s="3" t="s">
        <v>115</v>
      </c>
      <c r="CM466" s="3" t="s">
        <v>116</v>
      </c>
      <c r="CN466" t="s">
        <v>117</v>
      </c>
      <c r="CO466" s="3" t="s">
        <v>482</v>
      </c>
      <c r="CP466" s="3" t="s">
        <v>139</v>
      </c>
      <c r="CQ466" s="3" t="s">
        <v>120</v>
      </c>
      <c r="CR466" s="3" t="s">
        <v>140</v>
      </c>
      <c r="CS466" s="16" t="s">
        <v>122</v>
      </c>
      <c r="CT466" s="16" t="s">
        <v>351</v>
      </c>
      <c r="CU466" s="16" t="s">
        <v>351</v>
      </c>
      <c r="CV466" s="16" t="s">
        <v>657</v>
      </c>
    </row>
    <row r="467" spans="1:100" ht="15" customHeight="1">
      <c r="A467" t="s">
        <v>3052</v>
      </c>
      <c r="B467" s="3" t="s">
        <v>3053</v>
      </c>
      <c r="C467" s="16" t="s">
        <v>97</v>
      </c>
      <c r="D467" s="39" t="s">
        <v>3054</v>
      </c>
      <c r="E467" s="16" t="s">
        <v>97</v>
      </c>
      <c r="F467" s="131" t="s">
        <v>3055</v>
      </c>
      <c r="I467" s="100" t="s">
        <v>342</v>
      </c>
      <c r="J467" s="16" t="s">
        <v>101</v>
      </c>
      <c r="K467" s="16"/>
      <c r="L467" s="3" t="s">
        <v>102</v>
      </c>
      <c r="M467" s="3" t="s">
        <v>103</v>
      </c>
      <c r="N467" s="3" t="s">
        <v>104</v>
      </c>
      <c r="O467" s="16" t="s">
        <v>105</v>
      </c>
      <c r="P467" s="3" t="s">
        <v>3056</v>
      </c>
      <c r="Q467" s="3" t="s">
        <v>3056</v>
      </c>
      <c r="R467" s="3" t="s">
        <v>3056</v>
      </c>
      <c r="S467" t="s">
        <v>3052</v>
      </c>
      <c r="T467" s="130" t="s">
        <v>107</v>
      </c>
      <c r="U467" s="50">
        <v>6</v>
      </c>
      <c r="V467" s="54"/>
      <c r="W467" s="54"/>
      <c r="X467" s="59" t="s">
        <v>108</v>
      </c>
      <c r="Y467" s="93">
        <f>IF(AD467=0, 0, IF(OR(H467="", H467&lt;&gt;0), 1, 0))</f>
        <v>1</v>
      </c>
      <c r="Z467" s="3">
        <v>0</v>
      </c>
      <c r="AA467" s="3" t="s">
        <v>3057</v>
      </c>
      <c r="AD467" s="6">
        <f>ROUND((AG467*(1+AJ467)),2)</f>
        <v>85.7</v>
      </c>
      <c r="AE467" s="69">
        <v>97.662348420000001</v>
      </c>
      <c r="AF467" s="17">
        <f>(AE467*1)</f>
        <v>97.662348420000001</v>
      </c>
      <c r="AG467" s="6">
        <f>ROUND((AE467*AI467),2)</f>
        <v>63.48</v>
      </c>
      <c r="AH467" s="30" t="s">
        <v>110</v>
      </c>
      <c r="AI467" s="3">
        <v>0.65</v>
      </c>
      <c r="AJ467" s="18">
        <v>0.35</v>
      </c>
      <c r="AK467" s="6">
        <f>ROUND((AD467-(AD467*BG467)),2)</f>
        <v>84.84</v>
      </c>
      <c r="AL467" s="6">
        <f>ROUND((AD467-(AD467*BH467)),2)</f>
        <v>83.99</v>
      </c>
      <c r="AM467" s="6">
        <f>ROUND((AD467-(AD467*BI467)),2)</f>
        <v>83.13</v>
      </c>
      <c r="AN467" s="6">
        <f>ROUND((AD467-(AD467*BJ467)),2)</f>
        <v>83.13</v>
      </c>
      <c r="AO467" s="6">
        <f>ROUND((AD467-(AD467*BK467)),2)</f>
        <v>85.7</v>
      </c>
      <c r="BG467" s="12">
        <v>0.01</v>
      </c>
      <c r="BH467" s="12">
        <v>0.02</v>
      </c>
      <c r="BI467" s="12">
        <v>0.03</v>
      </c>
      <c r="BJ467" s="12">
        <v>0.03</v>
      </c>
      <c r="CC467" s="3" t="str">
        <f>IF(B467&lt;&gt;"",CONCATENATE(SUBSTITUTE(B467," ","-"),".jpg"),"")</f>
        <v>Allied-Moulded-AM864R.jpg</v>
      </c>
      <c r="CD467" s="16" t="s">
        <v>111</v>
      </c>
      <c r="CE467" s="3"/>
      <c r="CF467" s="3"/>
      <c r="CG467" s="3" t="s">
        <v>112</v>
      </c>
      <c r="CI467" s="3" t="s">
        <v>97</v>
      </c>
      <c r="CJ467" s="3" t="s">
        <v>383</v>
      </c>
      <c r="CK467" s="3" t="s">
        <v>114</v>
      </c>
      <c r="CL467" s="3" t="s">
        <v>115</v>
      </c>
      <c r="CM467" s="16"/>
      <c r="CN467" s="16" t="s">
        <v>349</v>
      </c>
      <c r="CO467" s="3" t="s">
        <v>118</v>
      </c>
      <c r="CP467" s="3" t="s">
        <v>139</v>
      </c>
      <c r="CQ467" s="3" t="s">
        <v>120</v>
      </c>
      <c r="CR467" s="3" t="s">
        <v>140</v>
      </c>
      <c r="CS467" s="3" t="s">
        <v>384</v>
      </c>
      <c r="CT467" s="16" t="s">
        <v>385</v>
      </c>
      <c r="CU467" s="16" t="s">
        <v>351</v>
      </c>
      <c r="CV467" s="16" t="s">
        <v>351</v>
      </c>
    </row>
    <row r="468" spans="1:100" ht="15" customHeight="1">
      <c r="A468" t="s">
        <v>3058</v>
      </c>
      <c r="B468" s="3" t="s">
        <v>3059</v>
      </c>
      <c r="C468" s="16" t="s">
        <v>97</v>
      </c>
      <c r="D468" s="39" t="s">
        <v>3060</v>
      </c>
      <c r="E468" s="16" t="s">
        <v>97</v>
      </c>
      <c r="F468" s="131" t="s">
        <v>3061</v>
      </c>
      <c r="I468" s="100" t="s">
        <v>342</v>
      </c>
      <c r="J468" s="16" t="s">
        <v>101</v>
      </c>
      <c r="K468" s="16"/>
      <c r="L468" s="3" t="s">
        <v>102</v>
      </c>
      <c r="M468" s="3" t="s">
        <v>103</v>
      </c>
      <c r="N468" s="3" t="s">
        <v>104</v>
      </c>
      <c r="O468" s="16" t="s">
        <v>105</v>
      </c>
      <c r="P468" s="3" t="s">
        <v>3062</v>
      </c>
      <c r="Q468" s="3" t="s">
        <v>3062</v>
      </c>
      <c r="R468" s="3" t="s">
        <v>3062</v>
      </c>
      <c r="S468" t="s">
        <v>3058</v>
      </c>
      <c r="T468" s="130" t="s">
        <v>107</v>
      </c>
      <c r="U468" s="50">
        <v>6</v>
      </c>
      <c r="V468" s="54"/>
      <c r="W468" s="54"/>
      <c r="X468" s="59" t="s">
        <v>108</v>
      </c>
      <c r="Y468" s="93">
        <f>IF(AD468=0, 0, IF(OR(H468="", H468&lt;&gt;0), 1, 0))</f>
        <v>1</v>
      </c>
      <c r="Z468" s="3">
        <v>0</v>
      </c>
      <c r="AA468" s="3" t="s">
        <v>3063</v>
      </c>
      <c r="AD468" s="6">
        <f>ROUND((AG468*(1+AJ468)),2)</f>
        <v>93.65</v>
      </c>
      <c r="AE468" s="69">
        <v>106.72470865999999</v>
      </c>
      <c r="AF468" s="17">
        <f>(AE468*1)</f>
        <v>106.72470865999999</v>
      </c>
      <c r="AG468" s="6">
        <f>ROUND((AE468*AI468),2)</f>
        <v>69.37</v>
      </c>
      <c r="AH468" s="30" t="s">
        <v>110</v>
      </c>
      <c r="AI468" s="3">
        <v>0.65</v>
      </c>
      <c r="AJ468" s="18">
        <v>0.35</v>
      </c>
      <c r="AK468" s="6">
        <f>ROUND((AD468-(AD468*BG468)),2)</f>
        <v>92.71</v>
      </c>
      <c r="AL468" s="6">
        <f>ROUND((AD468-(AD468*BH468)),2)</f>
        <v>91.78</v>
      </c>
      <c r="AM468" s="6">
        <f>ROUND((AD468-(AD468*BI468)),2)</f>
        <v>90.84</v>
      </c>
      <c r="AN468" s="6">
        <f>ROUND((AD468-(AD468*BJ468)),2)</f>
        <v>90.84</v>
      </c>
      <c r="AO468" s="6">
        <f>ROUND((AD468-(AD468*BK468)),2)</f>
        <v>93.65</v>
      </c>
      <c r="BG468" s="12">
        <v>0.01</v>
      </c>
      <c r="BH468" s="12">
        <v>0.02</v>
      </c>
      <c r="BI468" s="12">
        <v>0.03</v>
      </c>
      <c r="BJ468" s="12">
        <v>0.03</v>
      </c>
      <c r="CC468" s="3" t="str">
        <f>IF(B468&lt;&gt;"",CONCATENATE(SUBSTITUTE(B468," ","-"),".jpg"),"")</f>
        <v>Allied-Moulded-AM864RH.jpg</v>
      </c>
      <c r="CD468" s="16" t="s">
        <v>111</v>
      </c>
      <c r="CE468" s="3"/>
      <c r="CF468" s="3"/>
      <c r="CG468" s="3" t="s">
        <v>112</v>
      </c>
      <c r="CI468" s="3" t="s">
        <v>97</v>
      </c>
      <c r="CJ468" s="3" t="s">
        <v>383</v>
      </c>
      <c r="CK468" s="3" t="s">
        <v>114</v>
      </c>
      <c r="CL468" s="3" t="s">
        <v>115</v>
      </c>
      <c r="CO468" s="3" t="s">
        <v>118</v>
      </c>
      <c r="CP468" s="3" t="s">
        <v>139</v>
      </c>
      <c r="CQ468" s="3" t="s">
        <v>120</v>
      </c>
      <c r="CR468" s="3" t="s">
        <v>140</v>
      </c>
      <c r="CS468" s="3" t="s">
        <v>384</v>
      </c>
      <c r="CT468" s="16" t="s">
        <v>385</v>
      </c>
      <c r="CU468" s="16" t="s">
        <v>351</v>
      </c>
      <c r="CV468" s="16" t="s">
        <v>351</v>
      </c>
    </row>
    <row r="469" spans="1:100" ht="15" customHeight="1">
      <c r="A469" t="s">
        <v>3064</v>
      </c>
      <c r="B469" s="3" t="s">
        <v>3065</v>
      </c>
      <c r="C469" s="16" t="s">
        <v>97</v>
      </c>
      <c r="D469" s="40" t="s">
        <v>3066</v>
      </c>
      <c r="E469" s="16" t="s">
        <v>97</v>
      </c>
      <c r="F469" s="131" t="s">
        <v>3067</v>
      </c>
      <c r="I469" s="100" t="s">
        <v>342</v>
      </c>
      <c r="J469" s="16" t="s">
        <v>101</v>
      </c>
      <c r="K469" s="16"/>
      <c r="L469" s="3" t="s">
        <v>102</v>
      </c>
      <c r="M469" s="3" t="s">
        <v>103</v>
      </c>
      <c r="N469" s="3" t="s">
        <v>104</v>
      </c>
      <c r="O469" s="16" t="s">
        <v>105</v>
      </c>
      <c r="P469" s="3" t="s">
        <v>3068</v>
      </c>
      <c r="Q469" s="3" t="s">
        <v>3068</v>
      </c>
      <c r="R469" s="3" t="s">
        <v>3068</v>
      </c>
      <c r="S469" t="s">
        <v>3064</v>
      </c>
      <c r="T469" s="130" t="s">
        <v>107</v>
      </c>
      <c r="U469" s="51">
        <v>6</v>
      </c>
      <c r="V469" s="58"/>
      <c r="W469" s="58"/>
      <c r="X469" s="59" t="s">
        <v>108</v>
      </c>
      <c r="Y469" s="93">
        <f>IF(AD469=0, 0, IF(OR(H469="", H469&lt;&gt;0), 1, 0))</f>
        <v>1</v>
      </c>
      <c r="Z469" s="3">
        <v>0</v>
      </c>
      <c r="AA469" s="3" t="s">
        <v>3069</v>
      </c>
      <c r="AD469" s="6">
        <f>ROUND((AG469*(1+AJ469)),2)</f>
        <v>111.13</v>
      </c>
      <c r="AE469" s="69">
        <v>126.64430920000001</v>
      </c>
      <c r="AF469" s="17">
        <f>(AE469*1)</f>
        <v>126.64430920000001</v>
      </c>
      <c r="AG469" s="6">
        <f>ROUND((AE469*AI469),2)</f>
        <v>82.32</v>
      </c>
      <c r="AH469" s="30" t="s">
        <v>110</v>
      </c>
      <c r="AI469" s="3">
        <v>0.65</v>
      </c>
      <c r="AJ469" s="18">
        <v>0.35</v>
      </c>
      <c r="AK469" s="6">
        <f>ROUND((AD469-(AD469*BG469)),2)</f>
        <v>110.02</v>
      </c>
      <c r="AL469" s="6">
        <f>ROUND((AD469-(AD469*BH469)),2)</f>
        <v>108.91</v>
      </c>
      <c r="AM469" s="6">
        <f>ROUND((AD469-(AD469*BI469)),2)</f>
        <v>107.8</v>
      </c>
      <c r="AN469" s="6">
        <f>ROUND((AD469-(AD469*BJ469)),2)</f>
        <v>107.8</v>
      </c>
      <c r="AO469" s="6">
        <f>ROUND((AD469-(AD469*BK469)),2)</f>
        <v>111.13</v>
      </c>
      <c r="BG469" s="12">
        <v>0.01</v>
      </c>
      <c r="BH469" s="12">
        <v>0.02</v>
      </c>
      <c r="BI469" s="12">
        <v>0.03</v>
      </c>
      <c r="BJ469" s="12">
        <v>0.03</v>
      </c>
      <c r="CC469" s="3" t="str">
        <f>IF(B469&lt;&gt;"",CONCATENATE(SUBSTITUTE(B469," ","-"),".jpg"),"")</f>
        <v>Allied-Moulded-AM864RL.jpg</v>
      </c>
      <c r="CD469" s="16" t="s">
        <v>111</v>
      </c>
      <c r="CE469" s="3"/>
      <c r="CF469" s="3"/>
      <c r="CG469" s="3" t="s">
        <v>112</v>
      </c>
      <c r="CI469" s="3" t="s">
        <v>97</v>
      </c>
      <c r="CJ469" s="3" t="s">
        <v>383</v>
      </c>
      <c r="CK469" s="3" t="s">
        <v>114</v>
      </c>
      <c r="CL469" s="3" t="s">
        <v>115</v>
      </c>
      <c r="CM469" s="3" t="s">
        <v>116</v>
      </c>
      <c r="CN469" t="s">
        <v>117</v>
      </c>
      <c r="CO469" s="3" t="s">
        <v>118</v>
      </c>
      <c r="CP469" s="3" t="s">
        <v>139</v>
      </c>
      <c r="CQ469" s="3" t="s">
        <v>120</v>
      </c>
      <c r="CR469" s="3" t="s">
        <v>140</v>
      </c>
      <c r="CS469" s="16" t="s">
        <v>122</v>
      </c>
      <c r="CT469" s="16" t="s">
        <v>385</v>
      </c>
      <c r="CU469" s="16" t="s">
        <v>351</v>
      </c>
      <c r="CV469" s="16" t="s">
        <v>351</v>
      </c>
    </row>
    <row r="470" spans="1:100" ht="15" customHeight="1">
      <c r="A470" t="s">
        <v>3070</v>
      </c>
      <c r="B470" s="3" t="s">
        <v>3071</v>
      </c>
      <c r="C470" s="16" t="s">
        <v>97</v>
      </c>
      <c r="D470" s="40" t="s">
        <v>3072</v>
      </c>
      <c r="E470" s="16" t="s">
        <v>97</v>
      </c>
      <c r="F470" s="131" t="s">
        <v>3073</v>
      </c>
      <c r="I470" s="100" t="s">
        <v>342</v>
      </c>
      <c r="J470" s="16" t="s">
        <v>101</v>
      </c>
      <c r="K470" s="16"/>
      <c r="L470" s="3" t="s">
        <v>102</v>
      </c>
      <c r="M470" s="3" t="s">
        <v>103</v>
      </c>
      <c r="N470" s="3" t="s">
        <v>104</v>
      </c>
      <c r="O470" s="16" t="s">
        <v>105</v>
      </c>
      <c r="P470" s="3" t="s">
        <v>3074</v>
      </c>
      <c r="Q470" s="3" t="s">
        <v>3074</v>
      </c>
      <c r="R470" s="3" t="s">
        <v>3074</v>
      </c>
      <c r="S470" t="s">
        <v>3070</v>
      </c>
      <c r="T470" s="130" t="s">
        <v>107</v>
      </c>
      <c r="U470" s="51">
        <v>6</v>
      </c>
      <c r="V470" s="58"/>
      <c r="W470" s="58"/>
      <c r="X470" s="59" t="s">
        <v>108</v>
      </c>
      <c r="Y470" s="93">
        <f>IF(AD470=0, 0, IF(OR(H470="", H470&lt;&gt;0), 1, 0))</f>
        <v>1</v>
      </c>
      <c r="Z470" s="3">
        <v>0</v>
      </c>
      <c r="AA470" s="3" t="s">
        <v>3075</v>
      </c>
      <c r="AD470" s="6">
        <f>ROUND((AG470*(1+AJ470)),2)</f>
        <v>111.13</v>
      </c>
      <c r="AE470" s="69">
        <v>126.64430920000001</v>
      </c>
      <c r="AF470" s="17">
        <f>(AE470*1)</f>
        <v>126.64430920000001</v>
      </c>
      <c r="AG470" s="6">
        <f>ROUND((AE470*AI470),2)</f>
        <v>82.32</v>
      </c>
      <c r="AH470" s="30" t="s">
        <v>110</v>
      </c>
      <c r="AI470" s="3">
        <v>0.65</v>
      </c>
      <c r="AJ470" s="18">
        <v>0.35</v>
      </c>
      <c r="AK470" s="6">
        <f>ROUND((AD470-(AD470*BG470)),2)</f>
        <v>110.02</v>
      </c>
      <c r="AL470" s="6">
        <f>ROUND((AD470-(AD470*BH470)),2)</f>
        <v>108.91</v>
      </c>
      <c r="AM470" s="6">
        <f>ROUND((AD470-(AD470*BI470)),2)</f>
        <v>107.8</v>
      </c>
      <c r="AN470" s="6">
        <f>ROUND((AD470-(AD470*BJ470)),2)</f>
        <v>107.8</v>
      </c>
      <c r="AO470" s="6">
        <f>ROUND((AD470-(AD470*BK470)),2)</f>
        <v>111.13</v>
      </c>
      <c r="BG470" s="12">
        <v>0.01</v>
      </c>
      <c r="BH470" s="12">
        <v>0.02</v>
      </c>
      <c r="BI470" s="12">
        <v>0.03</v>
      </c>
      <c r="BJ470" s="12">
        <v>0.03</v>
      </c>
      <c r="CC470" s="3" t="str">
        <f>IF(B470&lt;&gt;"",CONCATENATE(SUBSTITUTE(B470," ","-"),".jpg"),"")</f>
        <v>Allied-Moulded-AM864RT.jpg</v>
      </c>
      <c r="CD470" s="16" t="s">
        <v>111</v>
      </c>
      <c r="CE470" s="3"/>
      <c r="CF470" s="3"/>
      <c r="CG470" s="3" t="s">
        <v>112</v>
      </c>
      <c r="CI470" s="3" t="s">
        <v>97</v>
      </c>
      <c r="CJ470" s="3" t="s">
        <v>383</v>
      </c>
      <c r="CK470" s="3" t="s">
        <v>114</v>
      </c>
      <c r="CL470" s="3" t="s">
        <v>115</v>
      </c>
      <c r="CM470" s="3" t="s">
        <v>116</v>
      </c>
      <c r="CN470" s="16" t="s">
        <v>132</v>
      </c>
      <c r="CO470" s="3" t="s">
        <v>118</v>
      </c>
      <c r="CP470" s="3" t="s">
        <v>139</v>
      </c>
      <c r="CQ470" s="3" t="s">
        <v>120</v>
      </c>
      <c r="CR470" s="3" t="s">
        <v>140</v>
      </c>
      <c r="CS470" s="16" t="s">
        <v>122</v>
      </c>
      <c r="CT470" s="16" t="s">
        <v>385</v>
      </c>
      <c r="CU470" s="16" t="s">
        <v>351</v>
      </c>
      <c r="CV470" s="16" t="s">
        <v>351</v>
      </c>
    </row>
    <row r="471" spans="1:100" ht="15" customHeight="1">
      <c r="A471" t="s">
        <v>3076</v>
      </c>
      <c r="B471" s="3" t="s">
        <v>3077</v>
      </c>
      <c r="C471" s="16" t="s">
        <v>97</v>
      </c>
      <c r="D471" s="39" t="s">
        <v>3078</v>
      </c>
      <c r="E471" s="16" t="s">
        <v>97</v>
      </c>
      <c r="F471" s="131" t="s">
        <v>3079</v>
      </c>
      <c r="I471" s="100" t="s">
        <v>342</v>
      </c>
      <c r="J471" s="16" t="s">
        <v>101</v>
      </c>
      <c r="K471" s="16"/>
      <c r="L471" s="3" t="s">
        <v>102</v>
      </c>
      <c r="M471" s="3" t="s">
        <v>103</v>
      </c>
      <c r="N471" s="3" t="s">
        <v>104</v>
      </c>
      <c r="O471" s="16" t="s">
        <v>105</v>
      </c>
      <c r="P471" s="3" t="s">
        <v>3080</v>
      </c>
      <c r="Q471" s="3" t="s">
        <v>3080</v>
      </c>
      <c r="R471" s="3" t="s">
        <v>3080</v>
      </c>
      <c r="S471" t="s">
        <v>3076</v>
      </c>
      <c r="T471" s="130" t="s">
        <v>107</v>
      </c>
      <c r="U471" s="50">
        <v>6</v>
      </c>
      <c r="V471" s="54"/>
      <c r="W471" s="54"/>
      <c r="X471" s="59" t="s">
        <v>108</v>
      </c>
      <c r="Y471" s="93">
        <f>IF(AD471=0, 0, IF(OR(H471="", H471&lt;&gt;0), 1, 0))</f>
        <v>1</v>
      </c>
      <c r="Z471" s="3">
        <v>0</v>
      </c>
      <c r="AA471" s="3" t="s">
        <v>3081</v>
      </c>
      <c r="AD471" s="6">
        <f>ROUND((AG471*(1+AJ471)),2)</f>
        <v>142.43</v>
      </c>
      <c r="AE471" s="69">
        <v>162.30759569999998</v>
      </c>
      <c r="AF471" s="17">
        <f>(AE471*1)</f>
        <v>162.30759569999998</v>
      </c>
      <c r="AG471" s="6">
        <f>ROUND((AE471*AI471),2)</f>
        <v>105.5</v>
      </c>
      <c r="AH471" s="30" t="s">
        <v>110</v>
      </c>
      <c r="AI471" s="3">
        <v>0.65</v>
      </c>
      <c r="AJ471" s="18">
        <v>0.35</v>
      </c>
      <c r="AK471" s="6">
        <f>ROUND((AD471-(AD471*BG471)),2)</f>
        <v>141.01</v>
      </c>
      <c r="AL471" s="6">
        <f>ROUND((AD471-(AD471*BH471)),2)</f>
        <v>139.58000000000001</v>
      </c>
      <c r="AM471" s="6">
        <f>ROUND((AD471-(AD471*BI471)),2)</f>
        <v>138.16</v>
      </c>
      <c r="AN471" s="6">
        <f>ROUND((AD471-(AD471*BJ471)),2)</f>
        <v>138.16</v>
      </c>
      <c r="AO471" s="6">
        <f>ROUND((AD471-(AD471*BK471)),2)</f>
        <v>142.43</v>
      </c>
      <c r="BG471" s="12">
        <v>0.01</v>
      </c>
      <c r="BH471" s="12">
        <v>0.02</v>
      </c>
      <c r="BI471" s="12">
        <v>0.03</v>
      </c>
      <c r="BJ471" s="12">
        <v>0.03</v>
      </c>
      <c r="CC471" s="3" t="str">
        <f>IF(B471&lt;&gt;"",CONCATENATE(SUBSTITUTE(B471," ","-"),".jpg"),"")</f>
        <v>Allied-Moulded-AM864RW.jpg</v>
      </c>
      <c r="CD471" s="16" t="s">
        <v>111</v>
      </c>
      <c r="CE471" s="3"/>
      <c r="CF471" s="3"/>
      <c r="CG471" s="3" t="s">
        <v>112</v>
      </c>
      <c r="CI471" s="3" t="s">
        <v>97</v>
      </c>
      <c r="CJ471" s="3" t="s">
        <v>383</v>
      </c>
      <c r="CK471" s="3" t="s">
        <v>114</v>
      </c>
      <c r="CL471" s="3" t="s">
        <v>115</v>
      </c>
      <c r="CM471" s="16"/>
      <c r="CN471" s="16" t="s">
        <v>349</v>
      </c>
      <c r="CO471" s="3" t="s">
        <v>118</v>
      </c>
      <c r="CP471" s="3" t="s">
        <v>139</v>
      </c>
      <c r="CQ471" s="3" t="s">
        <v>120</v>
      </c>
      <c r="CR471" s="16" t="s">
        <v>121</v>
      </c>
      <c r="CS471" s="3" t="s">
        <v>384</v>
      </c>
      <c r="CT471" s="16" t="s">
        <v>385</v>
      </c>
      <c r="CU471" s="16" t="s">
        <v>351</v>
      </c>
      <c r="CV471" s="16" t="s">
        <v>351</v>
      </c>
    </row>
    <row r="472" spans="1:100" ht="15" customHeight="1">
      <c r="A472" t="s">
        <v>3082</v>
      </c>
      <c r="B472" s="3" t="s">
        <v>3083</v>
      </c>
      <c r="C472" s="16" t="s">
        <v>97</v>
      </c>
      <c r="D472" s="40" t="s">
        <v>3084</v>
      </c>
      <c r="E472" s="16" t="s">
        <v>97</v>
      </c>
      <c r="F472" s="131" t="s">
        <v>3085</v>
      </c>
      <c r="I472" s="100" t="s">
        <v>342</v>
      </c>
      <c r="J472" s="16" t="s">
        <v>101</v>
      </c>
      <c r="K472" s="16"/>
      <c r="L472" s="3" t="s">
        <v>102</v>
      </c>
      <c r="M472" s="3" t="s">
        <v>103</v>
      </c>
      <c r="N472" s="3" t="s">
        <v>104</v>
      </c>
      <c r="O472" s="16" t="s">
        <v>105</v>
      </c>
      <c r="P472" s="3" t="s">
        <v>3086</v>
      </c>
      <c r="Q472" s="3" t="s">
        <v>3086</v>
      </c>
      <c r="R472" s="3" t="s">
        <v>3086</v>
      </c>
      <c r="S472" t="s">
        <v>3082</v>
      </c>
      <c r="T472" s="130" t="s">
        <v>107</v>
      </c>
      <c r="U472" s="35">
        <v>6</v>
      </c>
      <c r="V472" s="40"/>
      <c r="W472" s="40"/>
      <c r="X472" s="59" t="s">
        <v>108</v>
      </c>
      <c r="Y472" s="93">
        <f>IF(AD472=0, 0, IF(OR(H472="", H472&lt;&gt;0), 1, 0))</f>
        <v>1</v>
      </c>
      <c r="Z472" s="3">
        <v>0</v>
      </c>
      <c r="AA472" s="3" t="s">
        <v>3087</v>
      </c>
      <c r="AD472" s="6">
        <f>ROUND((AG472*(1+AJ472)),2)</f>
        <v>147.81</v>
      </c>
      <c r="AE472" s="69">
        <v>168.44256616000001</v>
      </c>
      <c r="AF472" s="17">
        <f>(AE472*1)</f>
        <v>168.44256616000001</v>
      </c>
      <c r="AG472" s="6">
        <f>ROUND((AE472*AI472),2)</f>
        <v>109.49</v>
      </c>
      <c r="AH472" s="30" t="s">
        <v>110</v>
      </c>
      <c r="AI472" s="3">
        <v>0.65</v>
      </c>
      <c r="AJ472" s="18">
        <v>0.35</v>
      </c>
      <c r="AK472" s="6">
        <f>ROUND((AD472-(AD472*BG472)),2)</f>
        <v>146.33000000000001</v>
      </c>
      <c r="AL472" s="6">
        <f>ROUND((AD472-(AD472*BH472)),2)</f>
        <v>144.85</v>
      </c>
      <c r="AM472" s="6">
        <f>ROUND((AD472-(AD472*BI472)),2)</f>
        <v>143.38</v>
      </c>
      <c r="AN472" s="6">
        <f>ROUND((AD472-(AD472*BJ472)),2)</f>
        <v>143.38</v>
      </c>
      <c r="AO472" s="6">
        <f>ROUND((AD472-(AD472*BK472)),2)</f>
        <v>147.81</v>
      </c>
      <c r="BG472" s="12">
        <v>0.01</v>
      </c>
      <c r="BH472" s="12">
        <v>0.02</v>
      </c>
      <c r="BI472" s="12">
        <v>0.03</v>
      </c>
      <c r="BJ472" s="12">
        <v>0.03</v>
      </c>
      <c r="CC472" s="3" t="str">
        <f>IF(B472&lt;&gt;"",CONCATENATE(SUBSTITUTE(B472," ","-"),".jpg"),"")</f>
        <v>Allied-Moulded-AM864RHW.jpg</v>
      </c>
      <c r="CD472" s="16" t="s">
        <v>111</v>
      </c>
      <c r="CE472" s="3"/>
      <c r="CF472" s="3"/>
      <c r="CG472" s="3" t="s">
        <v>112</v>
      </c>
      <c r="CI472" s="3" t="s">
        <v>97</v>
      </c>
      <c r="CJ472" s="3" t="s">
        <v>383</v>
      </c>
      <c r="CK472" s="3" t="s">
        <v>114</v>
      </c>
      <c r="CL472" s="3" t="s">
        <v>115</v>
      </c>
      <c r="CO472" s="3" t="s">
        <v>118</v>
      </c>
      <c r="CP472" s="3" t="s">
        <v>139</v>
      </c>
      <c r="CQ472" s="3" t="s">
        <v>120</v>
      </c>
      <c r="CR472" s="16" t="s">
        <v>121</v>
      </c>
      <c r="CS472" s="3" t="s">
        <v>384</v>
      </c>
      <c r="CT472" s="16" t="s">
        <v>385</v>
      </c>
      <c r="CU472" s="16" t="s">
        <v>351</v>
      </c>
      <c r="CV472" s="16" t="s">
        <v>351</v>
      </c>
    </row>
    <row r="473" spans="1:100" ht="15" customHeight="1">
      <c r="A473" t="s">
        <v>3088</v>
      </c>
      <c r="B473" s="3" t="s">
        <v>3089</v>
      </c>
      <c r="C473" s="16" t="s">
        <v>97</v>
      </c>
      <c r="D473" s="40" t="s">
        <v>3090</v>
      </c>
      <c r="E473" s="16" t="s">
        <v>97</v>
      </c>
      <c r="F473" s="131" t="s">
        <v>3091</v>
      </c>
      <c r="I473" s="100" t="s">
        <v>342</v>
      </c>
      <c r="J473" s="16" t="s">
        <v>101</v>
      </c>
      <c r="K473" s="16"/>
      <c r="L473" s="3" t="s">
        <v>102</v>
      </c>
      <c r="M473" s="3" t="s">
        <v>103</v>
      </c>
      <c r="N473" s="3" t="s">
        <v>104</v>
      </c>
      <c r="O473" s="16" t="s">
        <v>105</v>
      </c>
      <c r="P473" s="3" t="s">
        <v>3092</v>
      </c>
      <c r="Q473" s="3" t="s">
        <v>3092</v>
      </c>
      <c r="R473" s="3" t="s">
        <v>3092</v>
      </c>
      <c r="S473" t="s">
        <v>3088</v>
      </c>
      <c r="T473" s="130" t="s">
        <v>107</v>
      </c>
      <c r="U473" s="35">
        <v>6</v>
      </c>
      <c r="V473" s="40"/>
      <c r="W473" s="40"/>
      <c r="X473" s="59" t="s">
        <v>108</v>
      </c>
      <c r="Y473" s="93">
        <f>IF(AD473=0, 0, IF(OR(H473="", H473&lt;&gt;0), 1, 0))</f>
        <v>1</v>
      </c>
      <c r="Z473" s="3">
        <v>0</v>
      </c>
      <c r="AA473" s="3" t="s">
        <v>3093</v>
      </c>
      <c r="AD473" s="6">
        <f>ROUND((AG473*(1+AJ473)),2)</f>
        <v>167.76</v>
      </c>
      <c r="AE473" s="69">
        <v>191.18858866999997</v>
      </c>
      <c r="AF473" s="17">
        <f>(AE473*1)</f>
        <v>191.18858866999997</v>
      </c>
      <c r="AG473" s="6">
        <f>ROUND((AE473*AI473),2)</f>
        <v>124.27</v>
      </c>
      <c r="AH473" s="30" t="s">
        <v>110</v>
      </c>
      <c r="AI473" s="3">
        <v>0.65</v>
      </c>
      <c r="AJ473" s="18">
        <v>0.35</v>
      </c>
      <c r="AK473" s="6">
        <f>ROUND((AD473-(AD473*BG473)),2)</f>
        <v>166.08</v>
      </c>
      <c r="AL473" s="6">
        <f>ROUND((AD473-(AD473*BH473)),2)</f>
        <v>164.4</v>
      </c>
      <c r="AM473" s="6">
        <f>ROUND((AD473-(AD473*BI473)),2)</f>
        <v>162.72999999999999</v>
      </c>
      <c r="AN473" s="6">
        <f>ROUND((AD473-(AD473*BJ473)),2)</f>
        <v>162.72999999999999</v>
      </c>
      <c r="AO473" s="6">
        <f>ROUND((AD473-(AD473*BK473)),2)</f>
        <v>167.76</v>
      </c>
      <c r="BG473" s="12">
        <v>0.01</v>
      </c>
      <c r="BH473" s="12">
        <v>0.02</v>
      </c>
      <c r="BI473" s="12">
        <v>0.03</v>
      </c>
      <c r="BJ473" s="12">
        <v>0.03</v>
      </c>
      <c r="CC473" s="3" t="str">
        <f>IF(B473&lt;&gt;"",CONCATENATE(SUBSTITUTE(B473," ","-"),".jpg"),"")</f>
        <v>Allied-Moulded-AM864RLW.jpg</v>
      </c>
      <c r="CD473" s="16" t="s">
        <v>111</v>
      </c>
      <c r="CE473" s="3"/>
      <c r="CF473" s="3"/>
      <c r="CG473" s="3" t="s">
        <v>112</v>
      </c>
      <c r="CI473" s="3" t="s">
        <v>97</v>
      </c>
      <c r="CJ473" s="3" t="s">
        <v>383</v>
      </c>
      <c r="CK473" s="3" t="s">
        <v>114</v>
      </c>
      <c r="CL473" s="3" t="s">
        <v>115</v>
      </c>
      <c r="CM473" s="3" t="s">
        <v>116</v>
      </c>
      <c r="CN473" t="s">
        <v>117</v>
      </c>
      <c r="CO473" s="3" t="s">
        <v>118</v>
      </c>
      <c r="CP473" s="3" t="s">
        <v>139</v>
      </c>
      <c r="CQ473" s="3" t="s">
        <v>120</v>
      </c>
      <c r="CR473" s="16" t="s">
        <v>121</v>
      </c>
      <c r="CS473" s="16" t="s">
        <v>122</v>
      </c>
      <c r="CT473" s="16" t="s">
        <v>385</v>
      </c>
      <c r="CU473" s="16" t="s">
        <v>351</v>
      </c>
      <c r="CV473" s="16" t="s">
        <v>351</v>
      </c>
    </row>
    <row r="474" spans="1:100" ht="15" customHeight="1">
      <c r="A474" t="s">
        <v>3094</v>
      </c>
      <c r="B474" s="3" t="s">
        <v>3095</v>
      </c>
      <c r="C474" s="16" t="s">
        <v>97</v>
      </c>
      <c r="D474" s="39" t="s">
        <v>3096</v>
      </c>
      <c r="E474" s="16" t="s">
        <v>97</v>
      </c>
      <c r="F474" s="131" t="s">
        <v>3097</v>
      </c>
      <c r="I474" s="100" t="s">
        <v>342</v>
      </c>
      <c r="J474" s="16" t="s">
        <v>101</v>
      </c>
      <c r="K474" s="16"/>
      <c r="L474" s="3" t="s">
        <v>102</v>
      </c>
      <c r="M474" s="3" t="s">
        <v>103</v>
      </c>
      <c r="N474" s="3" t="s">
        <v>104</v>
      </c>
      <c r="O474" s="16" t="s">
        <v>105</v>
      </c>
      <c r="P474" s="3" t="s">
        <v>3098</v>
      </c>
      <c r="Q474" s="3" t="s">
        <v>3098</v>
      </c>
      <c r="R474" s="3" t="s">
        <v>3098</v>
      </c>
      <c r="S474" t="s">
        <v>3094</v>
      </c>
      <c r="T474" s="130" t="s">
        <v>107</v>
      </c>
      <c r="U474" s="50">
        <v>6</v>
      </c>
      <c r="V474" s="54"/>
      <c r="W474" s="54"/>
      <c r="X474" s="59" t="s">
        <v>108</v>
      </c>
      <c r="Y474" s="93">
        <f>IF(AD474=0, 0, IF(OR(H474="", H474&lt;&gt;0), 1, 0))</f>
        <v>1</v>
      </c>
      <c r="Z474" s="3">
        <v>0</v>
      </c>
      <c r="AA474" s="3" t="s">
        <v>3099</v>
      </c>
      <c r="AD474" s="6">
        <f>ROUND((AG474*(1+AJ474)),2)</f>
        <v>167.76</v>
      </c>
      <c r="AE474" s="69">
        <v>191.18858866999997</v>
      </c>
      <c r="AF474" s="17">
        <f>(AE474*1)</f>
        <v>191.18858866999997</v>
      </c>
      <c r="AG474" s="6">
        <f>ROUND((AE474*AI474),2)</f>
        <v>124.27</v>
      </c>
      <c r="AH474" s="30" t="s">
        <v>110</v>
      </c>
      <c r="AI474" s="3">
        <v>0.65</v>
      </c>
      <c r="AJ474" s="18">
        <v>0.35</v>
      </c>
      <c r="AK474" s="6">
        <f>ROUND((AD474-(AD474*BG474)),2)</f>
        <v>166.08</v>
      </c>
      <c r="AL474" s="6">
        <f>ROUND((AD474-(AD474*BH474)),2)</f>
        <v>164.4</v>
      </c>
      <c r="AM474" s="6">
        <f>ROUND((AD474-(AD474*BI474)),2)</f>
        <v>162.72999999999999</v>
      </c>
      <c r="AN474" s="6">
        <f>ROUND((AD474-(AD474*BJ474)),2)</f>
        <v>162.72999999999999</v>
      </c>
      <c r="AO474" s="6">
        <f>ROUND((AD474-(AD474*BK474)),2)</f>
        <v>167.76</v>
      </c>
      <c r="BG474" s="12">
        <v>0.01</v>
      </c>
      <c r="BH474" s="12">
        <v>0.02</v>
      </c>
      <c r="BI474" s="12">
        <v>0.03</v>
      </c>
      <c r="BJ474" s="12">
        <v>0.03</v>
      </c>
      <c r="CC474" s="3" t="str">
        <f>IF(B474&lt;&gt;"",CONCATENATE(SUBSTITUTE(B474," ","-"),".jpg"),"")</f>
        <v>Allied-Moulded-AM864RTW.jpg</v>
      </c>
      <c r="CD474" s="16" t="s">
        <v>111</v>
      </c>
      <c r="CE474" s="3"/>
      <c r="CF474" s="3"/>
      <c r="CG474" s="3" t="s">
        <v>112</v>
      </c>
      <c r="CI474" s="3" t="s">
        <v>97</v>
      </c>
      <c r="CJ474" s="3" t="s">
        <v>383</v>
      </c>
      <c r="CK474" s="3" t="s">
        <v>114</v>
      </c>
      <c r="CL474" s="3" t="s">
        <v>115</v>
      </c>
      <c r="CM474" s="3" t="s">
        <v>116</v>
      </c>
      <c r="CN474" s="16" t="s">
        <v>132</v>
      </c>
      <c r="CO474" s="3" t="s">
        <v>118</v>
      </c>
      <c r="CP474" s="3" t="s">
        <v>139</v>
      </c>
      <c r="CQ474" s="3" t="s">
        <v>120</v>
      </c>
      <c r="CR474" s="16" t="s">
        <v>121</v>
      </c>
      <c r="CS474" s="16" t="s">
        <v>122</v>
      </c>
      <c r="CT474" s="16" t="s">
        <v>385</v>
      </c>
      <c r="CU474" s="16" t="s">
        <v>351</v>
      </c>
      <c r="CV474" s="16" t="s">
        <v>351</v>
      </c>
    </row>
    <row r="475" spans="1:100" ht="15" customHeight="1">
      <c r="A475" s="86" t="s">
        <v>3100</v>
      </c>
      <c r="B475" s="80" t="s">
        <v>3101</v>
      </c>
      <c r="C475" s="16" t="s">
        <v>97</v>
      </c>
      <c r="D475" s="153" t="s">
        <v>3102</v>
      </c>
      <c r="E475" s="16" t="s">
        <v>97</v>
      </c>
      <c r="F475" s="150" t="s">
        <v>3103</v>
      </c>
      <c r="I475" s="100" t="s">
        <v>342</v>
      </c>
      <c r="J475" s="16" t="s">
        <v>101</v>
      </c>
      <c r="K475" s="16"/>
      <c r="L475" s="3" t="s">
        <v>102</v>
      </c>
      <c r="M475" s="3" t="s">
        <v>103</v>
      </c>
      <c r="N475" s="3" t="s">
        <v>104</v>
      </c>
      <c r="O475" s="16" t="s">
        <v>343</v>
      </c>
      <c r="P475" s="80" t="s">
        <v>3104</v>
      </c>
      <c r="Q475" s="80" t="s">
        <v>3104</v>
      </c>
      <c r="R475" s="80" t="s">
        <v>3105</v>
      </c>
      <c r="S475" s="80" t="s">
        <v>3106</v>
      </c>
      <c r="T475" s="132" t="s">
        <v>107</v>
      </c>
      <c r="U475" s="154">
        <v>4</v>
      </c>
      <c r="X475" s="31" t="s">
        <v>108</v>
      </c>
      <c r="Y475" s="93">
        <f>IF(AD475=0, 0, IF(OR(H475="", H475&lt;&gt;0), 1, 0))</f>
        <v>1</v>
      </c>
      <c r="Z475" s="3">
        <v>0</v>
      </c>
      <c r="AA475" s="3" t="s">
        <v>3107</v>
      </c>
      <c r="AD475" s="6">
        <f>ROUND((AG475*(1+AJ475)),2)</f>
        <v>79.89</v>
      </c>
      <c r="AE475" s="155">
        <v>91.045944629999994</v>
      </c>
      <c r="AF475" s="17">
        <f>(AE475*1)</f>
        <v>91.045944629999994</v>
      </c>
      <c r="AG475" s="6">
        <f>ROUND((AE475*AI475),2)</f>
        <v>59.18</v>
      </c>
      <c r="AH475" s="30" t="s">
        <v>110</v>
      </c>
      <c r="AI475" s="3">
        <v>0.65</v>
      </c>
      <c r="AJ475" s="18">
        <v>0.35</v>
      </c>
      <c r="AK475" s="6">
        <f>ROUND((AD475-(AD475*BG475)),2)</f>
        <v>79.09</v>
      </c>
      <c r="AL475" s="6">
        <f>ROUND((AD475-(AD475*BH475)),2)</f>
        <v>78.290000000000006</v>
      </c>
      <c r="AM475" s="6">
        <f>ROUND((AD475-(AD475*BI475)),2)</f>
        <v>77.489999999999995</v>
      </c>
      <c r="AN475" s="6">
        <f>ROUND((AD475-(AD475*BJ475)),2)</f>
        <v>77.489999999999995</v>
      </c>
      <c r="AO475" s="6">
        <f>ROUND((AD475-(AD475*BK475)),2)</f>
        <v>79.89</v>
      </c>
      <c r="BG475" s="12">
        <v>0.01</v>
      </c>
      <c r="BH475" s="12">
        <v>0.02</v>
      </c>
      <c r="BI475" s="12">
        <v>0.03</v>
      </c>
      <c r="BJ475" s="12">
        <v>0.03</v>
      </c>
      <c r="BK475" s="12"/>
      <c r="CC475" s="3" t="str">
        <f>IF(B475&lt;&gt;"",CONCATENATE(SUBSTITUTE(B475," ","-"),".jpg"),"")</f>
        <v>Allied-Moulded-AM864.jpg</v>
      </c>
      <c r="CD475" s="16" t="s">
        <v>111</v>
      </c>
      <c r="CE475" s="3"/>
      <c r="CF475" s="3"/>
      <c r="CG475" s="3" t="s">
        <v>112</v>
      </c>
      <c r="CI475" s="3" t="s">
        <v>97</v>
      </c>
      <c r="CJ475" s="16" t="s">
        <v>348</v>
      </c>
      <c r="CK475" s="3" t="s">
        <v>114</v>
      </c>
      <c r="CL475" s="3" t="s">
        <v>115</v>
      </c>
      <c r="CN475" s="16" t="s">
        <v>349</v>
      </c>
      <c r="CO475" s="16" t="s">
        <v>350</v>
      </c>
      <c r="CP475" s="3" t="s">
        <v>139</v>
      </c>
      <c r="CQ475" s="3" t="s">
        <v>120</v>
      </c>
      <c r="CR475" s="3" t="s">
        <v>140</v>
      </c>
      <c r="CS475" s="3" t="s">
        <v>384</v>
      </c>
      <c r="CT475" s="16" t="s">
        <v>385</v>
      </c>
      <c r="CU475" s="16" t="s">
        <v>351</v>
      </c>
      <c r="CV475" s="16" t="s">
        <v>657</v>
      </c>
    </row>
    <row r="476" spans="1:100" ht="15" customHeight="1">
      <c r="A476" s="86" t="s">
        <v>3108</v>
      </c>
      <c r="B476" s="80" t="s">
        <v>3109</v>
      </c>
      <c r="C476" s="16" t="s">
        <v>97</v>
      </c>
      <c r="D476" s="94" t="s">
        <v>3110</v>
      </c>
      <c r="E476" s="16" t="s">
        <v>97</v>
      </c>
      <c r="F476" s="150" t="s">
        <v>3111</v>
      </c>
      <c r="I476" s="100" t="s">
        <v>342</v>
      </c>
      <c r="J476" s="16" t="s">
        <v>101</v>
      </c>
      <c r="K476" s="16"/>
      <c r="L476" s="3" t="s">
        <v>102</v>
      </c>
      <c r="M476" s="3" t="s">
        <v>103</v>
      </c>
      <c r="N476" s="3" t="s">
        <v>104</v>
      </c>
      <c r="O476" s="16" t="s">
        <v>343</v>
      </c>
      <c r="P476" s="80" t="s">
        <v>3112</v>
      </c>
      <c r="Q476" s="80" t="s">
        <v>3112</v>
      </c>
      <c r="R476" s="80" t="s">
        <v>3113</v>
      </c>
      <c r="S476" s="80" t="s">
        <v>3114</v>
      </c>
      <c r="T476" s="132" t="s">
        <v>107</v>
      </c>
      <c r="U476" s="96">
        <v>4</v>
      </c>
      <c r="X476" s="31" t="s">
        <v>108</v>
      </c>
      <c r="Y476" s="93">
        <f>IF(AD476=0, 0, IF(OR(H476="", H476&lt;&gt;0), 1, 0))</f>
        <v>1</v>
      </c>
      <c r="Z476" s="3">
        <v>0</v>
      </c>
      <c r="AA476" s="3" t="s">
        <v>3115</v>
      </c>
      <c r="AD476" s="6">
        <f>ROUND((AG476*(1+AJ476)),2)</f>
        <v>85.73</v>
      </c>
      <c r="AE476" s="98">
        <v>97.697539399999997</v>
      </c>
      <c r="AF476" s="17">
        <f>(AE476*1)</f>
        <v>97.697539399999997</v>
      </c>
      <c r="AG476" s="6">
        <f>ROUND((AE476*AI476),2)</f>
        <v>63.5</v>
      </c>
      <c r="AH476" s="30" t="s">
        <v>110</v>
      </c>
      <c r="AI476" s="3">
        <v>0.65</v>
      </c>
      <c r="AJ476" s="18">
        <v>0.35</v>
      </c>
      <c r="AK476" s="6">
        <f>ROUND((AD476-(AD476*BG476)),2)</f>
        <v>84.87</v>
      </c>
      <c r="AL476" s="6">
        <f>ROUND((AD476-(AD476*BH476)),2)</f>
        <v>84.02</v>
      </c>
      <c r="AM476" s="6">
        <f>ROUND((AD476-(AD476*BI476)),2)</f>
        <v>83.16</v>
      </c>
      <c r="AN476" s="6">
        <f>ROUND((AD476-(AD476*BJ476)),2)</f>
        <v>83.16</v>
      </c>
      <c r="AO476" s="6">
        <f>ROUND((AD476-(AD476*BK476)),2)</f>
        <v>85.73</v>
      </c>
      <c r="BG476" s="12">
        <v>0.01</v>
      </c>
      <c r="BH476" s="12">
        <v>0.02</v>
      </c>
      <c r="BI476" s="12">
        <v>0.03</v>
      </c>
      <c r="BJ476" s="12">
        <v>0.03</v>
      </c>
      <c r="BK476" s="12"/>
      <c r="CC476" s="3" t="str">
        <f>IF(B476&lt;&gt;"",CONCATENATE(SUBSTITUTE(B476," ","-"),".jpg"),"")</f>
        <v>Allied-Moulded-AM864H.jpg</v>
      </c>
      <c r="CD476" s="16" t="s">
        <v>111</v>
      </c>
      <c r="CE476" s="3"/>
      <c r="CF476" s="3"/>
      <c r="CG476" s="3" t="s">
        <v>112</v>
      </c>
      <c r="CI476" s="3" t="s">
        <v>97</v>
      </c>
      <c r="CJ476" s="16" t="s">
        <v>348</v>
      </c>
      <c r="CK476" s="3" t="s">
        <v>114</v>
      </c>
      <c r="CL476" s="3" t="s">
        <v>115</v>
      </c>
      <c r="CM476" s="3" t="s">
        <v>116</v>
      </c>
      <c r="CN476" s="16" t="s">
        <v>349</v>
      </c>
      <c r="CO476" s="16" t="s">
        <v>350</v>
      </c>
      <c r="CP476" s="3" t="s">
        <v>139</v>
      </c>
      <c r="CQ476" s="3" t="s">
        <v>120</v>
      </c>
      <c r="CR476" s="3" t="s">
        <v>140</v>
      </c>
      <c r="CS476" s="3" t="s">
        <v>384</v>
      </c>
      <c r="CT476" s="16" t="s">
        <v>385</v>
      </c>
      <c r="CU476" s="16" t="s">
        <v>351</v>
      </c>
      <c r="CV476" s="16" t="s">
        <v>657</v>
      </c>
    </row>
    <row r="477" spans="1:100" ht="15" customHeight="1">
      <c r="A477" s="86" t="s">
        <v>3116</v>
      </c>
      <c r="B477" s="80" t="s">
        <v>3117</v>
      </c>
      <c r="C477" s="16" t="s">
        <v>97</v>
      </c>
      <c r="D477" s="80" t="s">
        <v>3118</v>
      </c>
      <c r="E477" s="16" t="s">
        <v>97</v>
      </c>
      <c r="F477" s="150" t="s">
        <v>3119</v>
      </c>
      <c r="I477" s="100" t="s">
        <v>342</v>
      </c>
      <c r="J477" s="16" t="s">
        <v>101</v>
      </c>
      <c r="K477" s="16"/>
      <c r="L477" s="3" t="s">
        <v>102</v>
      </c>
      <c r="M477" s="3" t="s">
        <v>103</v>
      </c>
      <c r="N477" s="3" t="s">
        <v>104</v>
      </c>
      <c r="O477" s="16" t="s">
        <v>343</v>
      </c>
      <c r="P477" s="80" t="s">
        <v>3120</v>
      </c>
      <c r="Q477" s="80" t="s">
        <v>3120</v>
      </c>
      <c r="R477" s="80" t="s">
        <v>3121</v>
      </c>
      <c r="S477" s="80" t="s">
        <v>3122</v>
      </c>
      <c r="T477" s="132" t="s">
        <v>107</v>
      </c>
      <c r="U477" s="97">
        <v>4</v>
      </c>
      <c r="X477" s="31" t="s">
        <v>108</v>
      </c>
      <c r="Y477" s="93">
        <f>IF(AD477=0, 0, IF(OR(H477="", H477&lt;&gt;0), 1, 0))</f>
        <v>1</v>
      </c>
      <c r="Z477" s="3">
        <v>0</v>
      </c>
      <c r="AA477" s="3" t="s">
        <v>3123</v>
      </c>
      <c r="AD477" s="6">
        <f>ROUND((AG477*(1+AJ477)),2)</f>
        <v>103.71</v>
      </c>
      <c r="AE477" s="99">
        <v>118.18023991</v>
      </c>
      <c r="AF477" s="17">
        <f>(AE477*1)</f>
        <v>118.18023991</v>
      </c>
      <c r="AG477" s="6">
        <f>ROUND((AE477*AI477),2)</f>
        <v>76.819999999999993</v>
      </c>
      <c r="AH477" s="30" t="s">
        <v>110</v>
      </c>
      <c r="AI477" s="3">
        <v>0.65</v>
      </c>
      <c r="AJ477" s="18">
        <v>0.35</v>
      </c>
      <c r="AK477" s="6">
        <f>ROUND((AD477-(AD477*BG477)),2)</f>
        <v>102.67</v>
      </c>
      <c r="AL477" s="6">
        <f>ROUND((AD477-(AD477*BH477)),2)</f>
        <v>101.64</v>
      </c>
      <c r="AM477" s="6">
        <f>ROUND((AD477-(AD477*BI477)),2)</f>
        <v>100.6</v>
      </c>
      <c r="AN477" s="6">
        <f>ROUND((AD477-(AD477*BJ477)),2)</f>
        <v>100.6</v>
      </c>
      <c r="AO477" s="6">
        <f>ROUND((AD477-(AD477*BK477)),2)</f>
        <v>103.71</v>
      </c>
      <c r="BG477" s="12">
        <v>0.01</v>
      </c>
      <c r="BH477" s="12">
        <v>0.02</v>
      </c>
      <c r="BI477" s="12">
        <v>0.03</v>
      </c>
      <c r="BJ477" s="12">
        <v>0.03</v>
      </c>
      <c r="BK477" s="12"/>
      <c r="CC477" s="3" t="str">
        <f>IF(B477&lt;&gt;"",CONCATENATE(SUBSTITUTE(B477," ","-"),".jpg"),"")</f>
        <v>Allied-Moulded-AM864L.jpg</v>
      </c>
      <c r="CD477" s="16" t="s">
        <v>111</v>
      </c>
      <c r="CE477" s="3"/>
      <c r="CF477" s="3"/>
      <c r="CG477" s="3" t="s">
        <v>112</v>
      </c>
      <c r="CI477" s="3" t="s">
        <v>97</v>
      </c>
      <c r="CJ477" s="16" t="s">
        <v>348</v>
      </c>
      <c r="CK477" s="3" t="s">
        <v>114</v>
      </c>
      <c r="CL477" s="3" t="s">
        <v>115</v>
      </c>
      <c r="CM477" s="3" t="s">
        <v>116</v>
      </c>
      <c r="CN477" s="16" t="s">
        <v>368</v>
      </c>
      <c r="CO477" s="16" t="s">
        <v>350</v>
      </c>
      <c r="CP477" s="3" t="s">
        <v>139</v>
      </c>
      <c r="CQ477" s="3" t="s">
        <v>120</v>
      </c>
      <c r="CR477" s="3" t="s">
        <v>140</v>
      </c>
      <c r="CS477" s="16" t="s">
        <v>122</v>
      </c>
      <c r="CT477" s="16" t="s">
        <v>385</v>
      </c>
      <c r="CU477" s="16" t="s">
        <v>351</v>
      </c>
      <c r="CV477" s="16" t="s">
        <v>657</v>
      </c>
    </row>
    <row r="478" spans="1:100" ht="15" customHeight="1">
      <c r="A478" s="86" t="s">
        <v>3124</v>
      </c>
      <c r="B478" s="80" t="s">
        <v>3125</v>
      </c>
      <c r="C478" s="16" t="s">
        <v>97</v>
      </c>
      <c r="D478" s="80" t="s">
        <v>3126</v>
      </c>
      <c r="E478" s="16" t="s">
        <v>97</v>
      </c>
      <c r="F478" s="150" t="s">
        <v>3127</v>
      </c>
      <c r="I478" s="100" t="s">
        <v>342</v>
      </c>
      <c r="J478" s="16" t="s">
        <v>101</v>
      </c>
      <c r="K478" s="16"/>
      <c r="L478" s="3" t="s">
        <v>102</v>
      </c>
      <c r="M478" s="3" t="s">
        <v>103</v>
      </c>
      <c r="N478" s="3" t="s">
        <v>104</v>
      </c>
      <c r="O478" s="16" t="s">
        <v>343</v>
      </c>
      <c r="P478" s="80" t="s">
        <v>3128</v>
      </c>
      <c r="Q478" s="80" t="s">
        <v>3128</v>
      </c>
      <c r="R478" s="80" t="s">
        <v>3129</v>
      </c>
      <c r="S478" s="80" t="s">
        <v>3130</v>
      </c>
      <c r="T478" s="132" t="s">
        <v>107</v>
      </c>
      <c r="U478" s="97">
        <v>4</v>
      </c>
      <c r="X478" s="31" t="s">
        <v>108</v>
      </c>
      <c r="Y478" s="93">
        <f>IF(AD478=0, 0, IF(OR(H478="", H478&lt;&gt;0), 1, 0))</f>
        <v>1</v>
      </c>
      <c r="Z478" s="3">
        <v>0</v>
      </c>
      <c r="AA478" s="3" t="s">
        <v>3131</v>
      </c>
      <c r="AD478" s="6">
        <f>ROUND((AG478*(1+AJ478)),2)</f>
        <v>103.71</v>
      </c>
      <c r="AE478" s="99">
        <v>118.18023991</v>
      </c>
      <c r="AF478" s="17">
        <f>(AE478*1)</f>
        <v>118.18023991</v>
      </c>
      <c r="AG478" s="6">
        <f>ROUND((AE478*AI478),2)</f>
        <v>76.819999999999993</v>
      </c>
      <c r="AH478" s="30" t="s">
        <v>110</v>
      </c>
      <c r="AI478" s="3">
        <v>0.65</v>
      </c>
      <c r="AJ478" s="18">
        <v>0.35</v>
      </c>
      <c r="AK478" s="6">
        <f>ROUND((AD478-(AD478*BG478)),2)</f>
        <v>102.67</v>
      </c>
      <c r="AL478" s="6">
        <f>ROUND((AD478-(AD478*BH478)),2)</f>
        <v>101.64</v>
      </c>
      <c r="AM478" s="6">
        <f>ROUND((AD478-(AD478*BI478)),2)</f>
        <v>100.6</v>
      </c>
      <c r="AN478" s="6">
        <f>ROUND((AD478-(AD478*BJ478)),2)</f>
        <v>100.6</v>
      </c>
      <c r="AO478" s="6">
        <f>ROUND((AD478-(AD478*BK478)),2)</f>
        <v>103.71</v>
      </c>
      <c r="BG478" s="12">
        <v>0.01</v>
      </c>
      <c r="BH478" s="12">
        <v>0.02</v>
      </c>
      <c r="BI478" s="12">
        <v>0.03</v>
      </c>
      <c r="BJ478" s="12">
        <v>0.03</v>
      </c>
      <c r="BK478" s="12"/>
      <c r="BQ478" s="24"/>
      <c r="BR478" s="24"/>
      <c r="BS478" s="24"/>
      <c r="BT478" s="24"/>
      <c r="BU478" s="24"/>
      <c r="BV478" s="24"/>
      <c r="BW478" s="24"/>
      <c r="BX478" s="24"/>
      <c r="BY478" s="24"/>
      <c r="BZ478" s="24"/>
      <c r="CA478" s="24"/>
      <c r="CB478" s="24"/>
      <c r="CC478" s="3" t="str">
        <f>IF(B478&lt;&gt;"",CONCATENATE(SUBSTITUTE(B478," ","-"),".jpg"),"")</f>
        <v>Allied-Moulded-AM864T.jpg</v>
      </c>
      <c r="CD478" s="16" t="s">
        <v>111</v>
      </c>
      <c r="CE478" s="3"/>
      <c r="CF478" s="3"/>
      <c r="CG478" s="3" t="s">
        <v>112</v>
      </c>
      <c r="CI478" s="3" t="s">
        <v>97</v>
      </c>
      <c r="CJ478" s="16" t="s">
        <v>348</v>
      </c>
      <c r="CK478" s="3" t="s">
        <v>114</v>
      </c>
      <c r="CL478" s="3" t="s">
        <v>115</v>
      </c>
      <c r="CM478" s="3" t="s">
        <v>116</v>
      </c>
      <c r="CN478" s="16" t="s">
        <v>132</v>
      </c>
      <c r="CO478" s="16" t="s">
        <v>350</v>
      </c>
      <c r="CP478" s="3" t="s">
        <v>139</v>
      </c>
      <c r="CQ478" s="3" t="s">
        <v>120</v>
      </c>
      <c r="CR478" s="3" t="s">
        <v>140</v>
      </c>
      <c r="CS478" s="16" t="s">
        <v>122</v>
      </c>
      <c r="CT478" s="16" t="s">
        <v>385</v>
      </c>
      <c r="CU478" s="16" t="s">
        <v>351</v>
      </c>
      <c r="CV478" s="16" t="s">
        <v>657</v>
      </c>
    </row>
    <row r="479" spans="1:100" ht="15" customHeight="1">
      <c r="A479" s="86" t="s">
        <v>3132</v>
      </c>
      <c r="B479" s="80" t="s">
        <v>3133</v>
      </c>
      <c r="C479" s="16" t="s">
        <v>97</v>
      </c>
      <c r="D479" s="80" t="s">
        <v>3134</v>
      </c>
      <c r="E479" s="16" t="s">
        <v>97</v>
      </c>
      <c r="F479" s="150" t="s">
        <v>3135</v>
      </c>
      <c r="I479" s="100" t="s">
        <v>342</v>
      </c>
      <c r="J479" s="16" t="s">
        <v>101</v>
      </c>
      <c r="K479" s="16"/>
      <c r="L479" s="3" t="s">
        <v>102</v>
      </c>
      <c r="M479" s="3" t="s">
        <v>103</v>
      </c>
      <c r="N479" s="3" t="s">
        <v>104</v>
      </c>
      <c r="O479" s="16" t="s">
        <v>343</v>
      </c>
      <c r="P479" s="80" t="s">
        <v>3136</v>
      </c>
      <c r="Q479" s="80" t="s">
        <v>3136</v>
      </c>
      <c r="R479" s="80" t="s">
        <v>3137</v>
      </c>
      <c r="S479" s="80" t="s">
        <v>3138</v>
      </c>
      <c r="T479" s="132" t="s">
        <v>107</v>
      </c>
      <c r="U479" s="97">
        <v>4</v>
      </c>
      <c r="X479" s="31" t="s">
        <v>108</v>
      </c>
      <c r="Y479" s="93">
        <f>IF(AD479=0, 0, IF(OR(H479="", H479&lt;&gt;0), 1, 0))</f>
        <v>1</v>
      </c>
      <c r="Z479" s="3">
        <v>0</v>
      </c>
      <c r="AA479" s="3" t="s">
        <v>3139</v>
      </c>
      <c r="AD479" s="6">
        <f>ROUND((AG479*(1+AJ479)),2)</f>
        <v>137.03</v>
      </c>
      <c r="AE479" s="99">
        <v>156.15468676</v>
      </c>
      <c r="AF479" s="17">
        <f>(AE479*1)</f>
        <v>156.15468676</v>
      </c>
      <c r="AG479" s="6">
        <f>ROUND((AE479*AI479),2)</f>
        <v>101.5</v>
      </c>
      <c r="AH479" s="30" t="s">
        <v>110</v>
      </c>
      <c r="AI479" s="3">
        <v>0.65</v>
      </c>
      <c r="AJ479" s="18">
        <v>0.35</v>
      </c>
      <c r="AK479" s="6">
        <f>ROUND((AD479-(AD479*BG479)),2)</f>
        <v>135.66</v>
      </c>
      <c r="AL479" s="6">
        <f>ROUND((AD479-(AD479*BH479)),2)</f>
        <v>134.29</v>
      </c>
      <c r="AM479" s="6">
        <f>ROUND((AD479-(AD479*BI479)),2)</f>
        <v>132.91999999999999</v>
      </c>
      <c r="AN479" s="6">
        <f>ROUND((AD479-(AD479*BJ479)),2)</f>
        <v>132.91999999999999</v>
      </c>
      <c r="AO479" s="6">
        <f>ROUND((AD479-(AD479*BK479)),2)</f>
        <v>137.03</v>
      </c>
      <c r="BG479" s="12">
        <v>0.01</v>
      </c>
      <c r="BH479" s="12">
        <v>0.02</v>
      </c>
      <c r="BI479" s="12">
        <v>0.03</v>
      </c>
      <c r="BJ479" s="12">
        <v>0.03</v>
      </c>
      <c r="BK479" s="12"/>
      <c r="CC479" s="3" t="str">
        <f>IF(B479&lt;&gt;"",CONCATENATE(SUBSTITUTE(B479," ","-"),".jpg"),"")</f>
        <v>Allied-Moulded-AM864W.jpg</v>
      </c>
      <c r="CD479" s="16" t="s">
        <v>111</v>
      </c>
      <c r="CE479" s="3"/>
      <c r="CF479" s="3"/>
      <c r="CG479" s="3" t="s">
        <v>112</v>
      </c>
      <c r="CI479" s="3" t="s">
        <v>97</v>
      </c>
      <c r="CJ479" s="16" t="s">
        <v>348</v>
      </c>
      <c r="CK479" s="3" t="s">
        <v>114</v>
      </c>
      <c r="CL479" s="3" t="s">
        <v>115</v>
      </c>
      <c r="CM479" s="16"/>
      <c r="CN479" s="16" t="s">
        <v>349</v>
      </c>
      <c r="CO479" s="16" t="s">
        <v>350</v>
      </c>
      <c r="CP479" s="3" t="s">
        <v>139</v>
      </c>
      <c r="CQ479" s="3" t="s">
        <v>120</v>
      </c>
      <c r="CR479" s="16" t="s">
        <v>121</v>
      </c>
      <c r="CS479" s="16" t="s">
        <v>122</v>
      </c>
      <c r="CT479" s="16" t="s">
        <v>385</v>
      </c>
      <c r="CU479" s="16" t="s">
        <v>351</v>
      </c>
      <c r="CV479" s="16" t="s">
        <v>657</v>
      </c>
    </row>
    <row r="480" spans="1:100" ht="15" customHeight="1">
      <c r="A480" s="86" t="s">
        <v>3140</v>
      </c>
      <c r="B480" s="80" t="s">
        <v>3141</v>
      </c>
      <c r="C480" s="16" t="s">
        <v>97</v>
      </c>
      <c r="D480" s="80" t="s">
        <v>3142</v>
      </c>
      <c r="E480" s="16" t="s">
        <v>97</v>
      </c>
      <c r="F480" s="150" t="s">
        <v>3143</v>
      </c>
      <c r="I480" s="100" t="s">
        <v>342</v>
      </c>
      <c r="J480" s="16" t="s">
        <v>101</v>
      </c>
      <c r="K480" s="16"/>
      <c r="L480" s="3" t="s">
        <v>102</v>
      </c>
      <c r="M480" s="3" t="s">
        <v>103</v>
      </c>
      <c r="N480" s="3" t="s">
        <v>104</v>
      </c>
      <c r="O480" s="16" t="s">
        <v>343</v>
      </c>
      <c r="P480" s="80" t="s">
        <v>3144</v>
      </c>
      <c r="Q480" s="80" t="s">
        <v>3144</v>
      </c>
      <c r="R480" s="80" t="s">
        <v>3145</v>
      </c>
      <c r="S480" s="80" t="s">
        <v>3146</v>
      </c>
      <c r="T480" s="132" t="s">
        <v>107</v>
      </c>
      <c r="U480" s="97">
        <v>4</v>
      </c>
      <c r="X480" s="31" t="s">
        <v>108</v>
      </c>
      <c r="Y480" s="93">
        <f>IF(AD480=0, 0, IF(OR(H480="", H480&lt;&gt;0), 1, 0))</f>
        <v>1</v>
      </c>
      <c r="Z480" s="3">
        <v>0</v>
      </c>
      <c r="AA480" s="3" t="s">
        <v>3147</v>
      </c>
      <c r="AD480" s="6">
        <f>ROUND((AG480*(1+AJ480)),2)</f>
        <v>140.79</v>
      </c>
      <c r="AE480" s="99">
        <v>160.44199172</v>
      </c>
      <c r="AF480" s="17">
        <f>(AE480*1)</f>
        <v>160.44199172</v>
      </c>
      <c r="AG480" s="6">
        <f>ROUND((AE480*AI480),2)</f>
        <v>104.29</v>
      </c>
      <c r="AH480" s="30" t="s">
        <v>110</v>
      </c>
      <c r="AI480" s="3">
        <v>0.65</v>
      </c>
      <c r="AJ480" s="18">
        <v>0.35</v>
      </c>
      <c r="AK480" s="6">
        <f>ROUND((AD480-(AD480*BG480)),2)</f>
        <v>139.38</v>
      </c>
      <c r="AL480" s="6">
        <f>ROUND((AD480-(AD480*BH480)),2)</f>
        <v>137.97</v>
      </c>
      <c r="AM480" s="6">
        <f>ROUND((AD480-(AD480*BI480)),2)</f>
        <v>136.57</v>
      </c>
      <c r="AN480" s="6">
        <f>ROUND((AD480-(AD480*BJ480)),2)</f>
        <v>136.57</v>
      </c>
      <c r="AO480" s="6">
        <f>ROUND((AD480-(AD480*BK480)),2)</f>
        <v>140.79</v>
      </c>
      <c r="BG480" s="12">
        <v>0.01</v>
      </c>
      <c r="BH480" s="12">
        <v>0.02</v>
      </c>
      <c r="BI480" s="12">
        <v>0.03</v>
      </c>
      <c r="BJ480" s="12">
        <v>0.03</v>
      </c>
      <c r="BK480" s="12"/>
      <c r="CC480" s="3" t="str">
        <f>IF(B480&lt;&gt;"",CONCATENATE(SUBSTITUTE(B480," ","-"),".jpg"),"")</f>
        <v>Allied-Moulded-AM864HW.jpg</v>
      </c>
      <c r="CD480" s="16" t="s">
        <v>111</v>
      </c>
      <c r="CE480" s="3"/>
      <c r="CF480" s="3"/>
      <c r="CG480" s="3" t="s">
        <v>112</v>
      </c>
      <c r="CI480" s="3" t="s">
        <v>97</v>
      </c>
      <c r="CJ480" s="16" t="s">
        <v>348</v>
      </c>
      <c r="CK480" s="3" t="s">
        <v>114</v>
      </c>
      <c r="CL480" s="3" t="s">
        <v>115</v>
      </c>
      <c r="CM480" s="3" t="s">
        <v>116</v>
      </c>
      <c r="CN480" s="16" t="s">
        <v>349</v>
      </c>
      <c r="CO480" s="16" t="s">
        <v>350</v>
      </c>
      <c r="CP480" s="3" t="s">
        <v>139</v>
      </c>
      <c r="CQ480" s="3" t="s">
        <v>120</v>
      </c>
      <c r="CR480" s="16" t="s">
        <v>121</v>
      </c>
      <c r="CS480" s="16" t="s">
        <v>122</v>
      </c>
      <c r="CT480" s="16" t="s">
        <v>385</v>
      </c>
      <c r="CU480" s="16" t="s">
        <v>351</v>
      </c>
      <c r="CV480" s="16" t="s">
        <v>657</v>
      </c>
    </row>
    <row r="481" spans="1:100" ht="15" customHeight="1">
      <c r="A481" s="86" t="s">
        <v>3148</v>
      </c>
      <c r="B481" s="80" t="s">
        <v>3149</v>
      </c>
      <c r="C481" s="16" t="s">
        <v>97</v>
      </c>
      <c r="D481" s="80" t="s">
        <v>3150</v>
      </c>
      <c r="E481" s="16" t="s">
        <v>97</v>
      </c>
      <c r="F481" s="132" t="s">
        <v>3151</v>
      </c>
      <c r="I481" s="100" t="s">
        <v>342</v>
      </c>
      <c r="J481" s="16" t="s">
        <v>101</v>
      </c>
      <c r="K481" s="16"/>
      <c r="L481" s="3" t="s">
        <v>102</v>
      </c>
      <c r="M481" s="3" t="s">
        <v>103</v>
      </c>
      <c r="N481" s="3" t="s">
        <v>104</v>
      </c>
      <c r="O481" s="16" t="s">
        <v>343</v>
      </c>
      <c r="P481" s="80" t="s">
        <v>3152</v>
      </c>
      <c r="Q481" s="80" t="s">
        <v>3152</v>
      </c>
      <c r="R481" s="80" t="s">
        <v>3153</v>
      </c>
      <c r="S481" s="80" t="s">
        <v>3154</v>
      </c>
      <c r="T481" s="132" t="s">
        <v>107</v>
      </c>
      <c r="U481" s="97">
        <v>4</v>
      </c>
      <c r="X481" s="31" t="s">
        <v>108</v>
      </c>
      <c r="Y481" s="93">
        <f>IF(AD481=0, 0, IF(OR(H481="", H481&lt;&gt;0), 1, 0))</f>
        <v>1</v>
      </c>
      <c r="Z481" s="3">
        <v>0</v>
      </c>
      <c r="AA481" s="3" t="s">
        <v>3155</v>
      </c>
      <c r="AD481" s="6">
        <f>ROUND((AG481*(1+AJ481)),2)</f>
        <v>155.9</v>
      </c>
      <c r="AE481" s="99">
        <v>177.66295621</v>
      </c>
      <c r="AF481" s="17">
        <f>(AE481*1)</f>
        <v>177.66295621</v>
      </c>
      <c r="AG481" s="6">
        <f>ROUND((AE481*AI481),2)</f>
        <v>115.48</v>
      </c>
      <c r="AH481" s="30" t="s">
        <v>110</v>
      </c>
      <c r="AI481" s="3">
        <v>0.65</v>
      </c>
      <c r="AJ481" s="18">
        <v>0.35</v>
      </c>
      <c r="AK481" s="6">
        <f>ROUND((AD481-(AD481*BG481)),2)</f>
        <v>154.34</v>
      </c>
      <c r="AL481" s="6">
        <f>ROUND((AD481-(AD481*BH481)),2)</f>
        <v>152.78</v>
      </c>
      <c r="AM481" s="6">
        <f>ROUND((AD481-(AD481*BI481)),2)</f>
        <v>151.22</v>
      </c>
      <c r="AN481" s="6">
        <f>ROUND((AD481-(AD481*BJ481)),2)</f>
        <v>151.22</v>
      </c>
      <c r="AO481" s="6">
        <f>ROUND((AD481-(AD481*BK481)),2)</f>
        <v>155.9</v>
      </c>
      <c r="BG481" s="12">
        <v>0.01</v>
      </c>
      <c r="BH481" s="12">
        <v>0.02</v>
      </c>
      <c r="BI481" s="12">
        <v>0.03</v>
      </c>
      <c r="BJ481" s="12">
        <v>0.03</v>
      </c>
      <c r="BK481" s="12"/>
      <c r="BQ481" s="24"/>
      <c r="BR481" s="24"/>
      <c r="BS481" s="24"/>
      <c r="BT481" s="24"/>
      <c r="BU481" s="24"/>
      <c r="BV481" s="24"/>
      <c r="BW481" s="24"/>
      <c r="BX481" s="24"/>
      <c r="BY481" s="24"/>
      <c r="BZ481" s="24"/>
      <c r="CA481" s="24"/>
      <c r="CB481" s="24"/>
      <c r="CC481" s="3" t="str">
        <f>IF(B481&lt;&gt;"",CONCATENATE(SUBSTITUTE(B481," ","-"),".jpg"),"")</f>
        <v>Allied-Moulded-AM864LW.jpg</v>
      </c>
      <c r="CD481" s="16" t="s">
        <v>111</v>
      </c>
      <c r="CE481" s="3"/>
      <c r="CF481" s="3"/>
      <c r="CG481" s="3" t="s">
        <v>112</v>
      </c>
      <c r="CI481" s="3" t="s">
        <v>97</v>
      </c>
      <c r="CJ481" s="16" t="s">
        <v>348</v>
      </c>
      <c r="CK481" s="3" t="s">
        <v>114</v>
      </c>
      <c r="CL481" s="3" t="s">
        <v>115</v>
      </c>
      <c r="CM481" s="3" t="s">
        <v>116</v>
      </c>
      <c r="CN481" s="16" t="s">
        <v>368</v>
      </c>
      <c r="CO481" s="16" t="s">
        <v>350</v>
      </c>
      <c r="CP481" s="3" t="s">
        <v>139</v>
      </c>
      <c r="CQ481" s="3" t="s">
        <v>120</v>
      </c>
      <c r="CR481" s="16" t="s">
        <v>121</v>
      </c>
      <c r="CS481" s="16" t="s">
        <v>122</v>
      </c>
      <c r="CT481" s="16" t="s">
        <v>385</v>
      </c>
      <c r="CU481" s="16" t="s">
        <v>351</v>
      </c>
      <c r="CV481" s="16" t="s">
        <v>657</v>
      </c>
    </row>
    <row r="482" spans="1:100" ht="15" customHeight="1">
      <c r="A482" s="86" t="s">
        <v>3156</v>
      </c>
      <c r="B482" s="80" t="s">
        <v>3157</v>
      </c>
      <c r="C482" s="16" t="s">
        <v>97</v>
      </c>
      <c r="D482" s="80" t="s">
        <v>3158</v>
      </c>
      <c r="E482" s="16" t="s">
        <v>97</v>
      </c>
      <c r="F482" s="150" t="s">
        <v>3159</v>
      </c>
      <c r="I482" s="100" t="s">
        <v>342</v>
      </c>
      <c r="J482" s="16" t="s">
        <v>101</v>
      </c>
      <c r="K482" s="16"/>
      <c r="L482" s="3" t="s">
        <v>102</v>
      </c>
      <c r="M482" s="3" t="s">
        <v>103</v>
      </c>
      <c r="N482" s="3" t="s">
        <v>104</v>
      </c>
      <c r="O482" s="16" t="s">
        <v>343</v>
      </c>
      <c r="P482" s="80" t="s">
        <v>3160</v>
      </c>
      <c r="Q482" s="80" t="s">
        <v>3160</v>
      </c>
      <c r="R482" s="80" t="s">
        <v>3161</v>
      </c>
      <c r="S482" s="80" t="s">
        <v>3162</v>
      </c>
      <c r="T482" s="132" t="s">
        <v>107</v>
      </c>
      <c r="U482" s="97">
        <v>4</v>
      </c>
      <c r="X482" s="31" t="s">
        <v>108</v>
      </c>
      <c r="Y482" s="93">
        <f>IF(AD482=0, 0, IF(OR(H482="", H482&lt;&gt;0), 1, 0))</f>
        <v>1</v>
      </c>
      <c r="Z482" s="3">
        <v>0</v>
      </c>
      <c r="AA482" s="3" t="s">
        <v>3163</v>
      </c>
      <c r="AD482" s="6">
        <f>ROUND((AG482*(1+AJ482)),2)</f>
        <v>155.9</v>
      </c>
      <c r="AE482" s="99">
        <v>177.66295621</v>
      </c>
      <c r="AF482" s="17">
        <f>(AE482*1)</f>
        <v>177.66295621</v>
      </c>
      <c r="AG482" s="6">
        <f>ROUND((AE482*AI482),2)</f>
        <v>115.48</v>
      </c>
      <c r="AH482" s="30" t="s">
        <v>110</v>
      </c>
      <c r="AI482" s="3">
        <v>0.65</v>
      </c>
      <c r="AJ482" s="18">
        <v>0.35</v>
      </c>
      <c r="AK482" s="6">
        <f>ROUND((AD482-(AD482*BG482)),2)</f>
        <v>154.34</v>
      </c>
      <c r="AL482" s="6">
        <f>ROUND((AD482-(AD482*BH482)),2)</f>
        <v>152.78</v>
      </c>
      <c r="AM482" s="6">
        <f>ROUND((AD482-(AD482*BI482)),2)</f>
        <v>151.22</v>
      </c>
      <c r="AN482" s="6">
        <f>ROUND((AD482-(AD482*BJ482)),2)</f>
        <v>151.22</v>
      </c>
      <c r="AO482" s="6">
        <f>ROUND((AD482-(AD482*BK482)),2)</f>
        <v>155.9</v>
      </c>
      <c r="BG482" s="12">
        <v>0.01</v>
      </c>
      <c r="BH482" s="12">
        <v>0.02</v>
      </c>
      <c r="BI482" s="12">
        <v>0.03</v>
      </c>
      <c r="BJ482" s="12">
        <v>0.03</v>
      </c>
      <c r="BK482" s="12"/>
      <c r="CC482" s="3" t="str">
        <f>IF(B482&lt;&gt;"",CONCATENATE(SUBSTITUTE(B482," ","-"),".jpg"),"")</f>
        <v>Allied-Moulded-AM864TW.jpg</v>
      </c>
      <c r="CD482" s="16" t="s">
        <v>111</v>
      </c>
      <c r="CE482" s="3"/>
      <c r="CF482" s="3"/>
      <c r="CG482" s="3" t="s">
        <v>112</v>
      </c>
      <c r="CI482" s="3" t="s">
        <v>97</v>
      </c>
      <c r="CJ482" s="16" t="s">
        <v>348</v>
      </c>
      <c r="CK482" s="3" t="s">
        <v>114</v>
      </c>
      <c r="CL482" s="3" t="s">
        <v>115</v>
      </c>
      <c r="CM482" s="3" t="s">
        <v>116</v>
      </c>
      <c r="CN482" s="16" t="s">
        <v>132</v>
      </c>
      <c r="CO482" s="16" t="s">
        <v>350</v>
      </c>
      <c r="CP482" s="3" t="s">
        <v>139</v>
      </c>
      <c r="CQ482" s="3" t="s">
        <v>120</v>
      </c>
      <c r="CR482" s="16" t="s">
        <v>121</v>
      </c>
      <c r="CS482" s="16" t="s">
        <v>122</v>
      </c>
      <c r="CT482" s="16" t="s">
        <v>385</v>
      </c>
      <c r="CU482" s="16" t="s">
        <v>351</v>
      </c>
      <c r="CV482" s="16" t="s">
        <v>657</v>
      </c>
    </row>
    <row r="483" spans="1:100" ht="15" customHeight="1">
      <c r="A483" t="s">
        <v>3164</v>
      </c>
      <c r="B483" s="3" t="s">
        <v>3165</v>
      </c>
      <c r="C483" s="16" t="s">
        <v>97</v>
      </c>
      <c r="D483" s="40" t="s">
        <v>3166</v>
      </c>
      <c r="E483" s="16" t="s">
        <v>97</v>
      </c>
      <c r="F483" s="131" t="s">
        <v>3167</v>
      </c>
      <c r="I483" s="100" t="s">
        <v>342</v>
      </c>
      <c r="J483" s="16" t="s">
        <v>101</v>
      </c>
      <c r="K483" s="16"/>
      <c r="L483" s="3" t="s">
        <v>102</v>
      </c>
      <c r="M483" s="3" t="s">
        <v>103</v>
      </c>
      <c r="N483" s="3" t="s">
        <v>104</v>
      </c>
      <c r="O483" s="16" t="s">
        <v>105</v>
      </c>
      <c r="P483" s="3" t="s">
        <v>3168</v>
      </c>
      <c r="Q483" s="3" t="s">
        <v>3168</v>
      </c>
      <c r="R483" s="3" t="s">
        <v>3168</v>
      </c>
      <c r="S483" t="s">
        <v>3164</v>
      </c>
      <c r="T483" s="130" t="s">
        <v>465</v>
      </c>
      <c r="U483" s="35">
        <v>3</v>
      </c>
      <c r="V483" s="40"/>
      <c r="W483" s="40"/>
      <c r="X483" s="59" t="s">
        <v>108</v>
      </c>
      <c r="Y483" s="93">
        <f>IF(AD483=0, 0, IF(OR(H483="", H483&lt;&gt;0), 1, 0))</f>
        <v>1</v>
      </c>
      <c r="Z483" s="3">
        <v>0</v>
      </c>
      <c r="AA483" s="3" t="s">
        <v>3169</v>
      </c>
      <c r="AD483" s="6">
        <f>ROUND((AG483*(1+AJ483)),2)</f>
        <v>86.7</v>
      </c>
      <c r="AE483" s="69">
        <v>98.806140760000005</v>
      </c>
      <c r="AF483" s="17">
        <f>(AE483*1)</f>
        <v>98.806140760000005</v>
      </c>
      <c r="AG483" s="6">
        <f>ROUND((AE483*AI483),2)</f>
        <v>64.22</v>
      </c>
      <c r="AH483" s="30" t="s">
        <v>110</v>
      </c>
      <c r="AI483" s="3">
        <v>0.65</v>
      </c>
      <c r="AJ483" s="18">
        <v>0.35</v>
      </c>
      <c r="AK483" s="6">
        <f>ROUND((AD483-(AD483*BG483)),2)</f>
        <v>85.83</v>
      </c>
      <c r="AL483" s="6">
        <f>ROUND((AD483-(AD483*BH483)),2)</f>
        <v>84.97</v>
      </c>
      <c r="AM483" s="6">
        <f>ROUND((AD483-(AD483*BI483)),2)</f>
        <v>84.1</v>
      </c>
      <c r="AN483" s="6">
        <f>ROUND((AD483-(AD483*BJ483)),2)</f>
        <v>84.1</v>
      </c>
      <c r="AO483" s="6">
        <f>ROUND((AD483-(AD483*BK483)),2)</f>
        <v>86.7</v>
      </c>
      <c r="BG483" s="12">
        <v>0.01</v>
      </c>
      <c r="BH483" s="12">
        <v>0.02</v>
      </c>
      <c r="BI483" s="12">
        <v>0.03</v>
      </c>
      <c r="BJ483" s="12">
        <v>0.03</v>
      </c>
      <c r="CC483" s="3" t="str">
        <f>IF(B483&lt;&gt;"",CONCATENATE(SUBSTITUTE(B483," ","-"),".jpg"),"")</f>
        <v>Allied-Moulded-AMU864.jpg</v>
      </c>
      <c r="CD483" s="16" t="s">
        <v>111</v>
      </c>
      <c r="CE483" s="3"/>
      <c r="CF483" s="3"/>
      <c r="CG483" s="3" t="s">
        <v>112</v>
      </c>
      <c r="CI483" s="3" t="s">
        <v>97</v>
      </c>
      <c r="CJ483" s="3" t="s">
        <v>467</v>
      </c>
      <c r="CK483" s="3" t="s">
        <v>114</v>
      </c>
      <c r="CL483" s="3" t="s">
        <v>115</v>
      </c>
      <c r="CM483" s="16"/>
      <c r="CN483" s="16" t="s">
        <v>349</v>
      </c>
      <c r="CO483" s="3" t="s">
        <v>118</v>
      </c>
      <c r="CP483" s="3" t="s">
        <v>139</v>
      </c>
      <c r="CQ483" s="3" t="s">
        <v>120</v>
      </c>
      <c r="CR483" s="3" t="s">
        <v>140</v>
      </c>
      <c r="CS483" s="3" t="s">
        <v>384</v>
      </c>
      <c r="CT483" s="16" t="s">
        <v>385</v>
      </c>
      <c r="CU483" s="16" t="s">
        <v>351</v>
      </c>
      <c r="CV483" s="16" t="s">
        <v>657</v>
      </c>
    </row>
    <row r="484" spans="1:100" ht="15" customHeight="1">
      <c r="A484" t="s">
        <v>3170</v>
      </c>
      <c r="B484" s="3" t="s">
        <v>3171</v>
      </c>
      <c r="C484" s="16" t="s">
        <v>97</v>
      </c>
      <c r="D484" s="39" t="s">
        <v>3172</v>
      </c>
      <c r="E484" s="16" t="s">
        <v>97</v>
      </c>
      <c r="F484" s="131" t="s">
        <v>3173</v>
      </c>
      <c r="I484" s="100" t="s">
        <v>342</v>
      </c>
      <c r="J484" s="16" t="s">
        <v>101</v>
      </c>
      <c r="K484" s="16"/>
      <c r="L484" s="3" t="s">
        <v>102</v>
      </c>
      <c r="M484" s="3" t="s">
        <v>103</v>
      </c>
      <c r="N484" s="3" t="s">
        <v>104</v>
      </c>
      <c r="O484" s="16" t="s">
        <v>105</v>
      </c>
      <c r="P484" s="3" t="s">
        <v>3174</v>
      </c>
      <c r="Q484" s="3" t="s">
        <v>3174</v>
      </c>
      <c r="R484" s="3" t="s">
        <v>3174</v>
      </c>
      <c r="S484" t="s">
        <v>3170</v>
      </c>
      <c r="T484" s="130" t="s">
        <v>465</v>
      </c>
      <c r="U484" s="34">
        <v>3</v>
      </c>
      <c r="V484" s="39"/>
      <c r="W484" s="39"/>
      <c r="X484" s="59" t="s">
        <v>108</v>
      </c>
      <c r="Y484" s="93">
        <f>IF(AD484=0, 0, IF(OR(H484="", H484&lt;&gt;0), 1, 0))</f>
        <v>1</v>
      </c>
      <c r="Z484" s="3">
        <v>0</v>
      </c>
      <c r="AA484" s="3" t="s">
        <v>3175</v>
      </c>
      <c r="AD484" s="6">
        <f>ROUND((AG484*(1+AJ484)),2)</f>
        <v>89.1</v>
      </c>
      <c r="AE484" s="69">
        <v>101.53364874</v>
      </c>
      <c r="AF484" s="17">
        <f>(AE484*1)</f>
        <v>101.53364874</v>
      </c>
      <c r="AG484" s="6">
        <f>ROUND((AE484*AI484),2)</f>
        <v>66</v>
      </c>
      <c r="AH484" s="30" t="s">
        <v>110</v>
      </c>
      <c r="AI484" s="3">
        <v>0.65</v>
      </c>
      <c r="AJ484" s="18">
        <v>0.35</v>
      </c>
      <c r="AK484" s="6">
        <f>ROUND((AD484-(AD484*BG484)),2)</f>
        <v>88.21</v>
      </c>
      <c r="AL484" s="6">
        <f>ROUND((AD484-(AD484*BH484)),2)</f>
        <v>87.32</v>
      </c>
      <c r="AM484" s="6">
        <f>ROUND((AD484-(AD484*BI484)),2)</f>
        <v>86.43</v>
      </c>
      <c r="AN484" s="6">
        <f>ROUND((AD484-(AD484*BJ484)),2)</f>
        <v>86.43</v>
      </c>
      <c r="AO484" s="6">
        <f>ROUND((AD484-(AD484*BK484)),2)</f>
        <v>89.1</v>
      </c>
      <c r="BG484" s="12">
        <v>0.01</v>
      </c>
      <c r="BH484" s="12">
        <v>0.02</v>
      </c>
      <c r="BI484" s="12">
        <v>0.03</v>
      </c>
      <c r="BJ484" s="12">
        <v>0.03</v>
      </c>
      <c r="CC484" s="3" t="str">
        <f>IF(B484&lt;&gt;"",CONCATENATE(SUBSTITUTE(B484," ","-"),".jpg"),"")</f>
        <v>Allied-Moulded-AMU864F.jpg</v>
      </c>
      <c r="CD484" s="16" t="s">
        <v>111</v>
      </c>
      <c r="CE484" s="3"/>
      <c r="CF484" s="3"/>
      <c r="CG484" s="3" t="s">
        <v>112</v>
      </c>
      <c r="CI484" s="3" t="s">
        <v>97</v>
      </c>
      <c r="CJ484" s="3" t="s">
        <v>467</v>
      </c>
      <c r="CK484" s="3" t="s">
        <v>114</v>
      </c>
      <c r="CL484" s="3" t="s">
        <v>115</v>
      </c>
      <c r="CM484" s="16"/>
      <c r="CN484" s="16" t="s">
        <v>349</v>
      </c>
      <c r="CO484" s="3" t="s">
        <v>118</v>
      </c>
      <c r="CP484" s="3" t="s">
        <v>139</v>
      </c>
      <c r="CQ484" s="3" t="s">
        <v>120</v>
      </c>
      <c r="CR484" s="3" t="s">
        <v>140</v>
      </c>
      <c r="CS484" s="3" t="s">
        <v>384</v>
      </c>
      <c r="CT484" s="16" t="s">
        <v>385</v>
      </c>
      <c r="CU484" s="16" t="s">
        <v>351</v>
      </c>
      <c r="CV484" s="16" t="s">
        <v>657</v>
      </c>
    </row>
    <row r="485" spans="1:100" ht="15" customHeight="1">
      <c r="A485" t="s">
        <v>3176</v>
      </c>
      <c r="B485" s="3" t="s">
        <v>3177</v>
      </c>
      <c r="C485" s="16" t="s">
        <v>97</v>
      </c>
      <c r="D485" s="39" t="s">
        <v>3178</v>
      </c>
      <c r="E485" s="16" t="s">
        <v>97</v>
      </c>
      <c r="F485" s="131" t="s">
        <v>3179</v>
      </c>
      <c r="I485" s="100" t="s">
        <v>342</v>
      </c>
      <c r="J485" s="16" t="s">
        <v>101</v>
      </c>
      <c r="K485" s="16"/>
      <c r="L485" s="3" t="s">
        <v>102</v>
      </c>
      <c r="M485" s="3" t="s">
        <v>103</v>
      </c>
      <c r="N485" s="3" t="s">
        <v>104</v>
      </c>
      <c r="O485" s="16" t="s">
        <v>105</v>
      </c>
      <c r="P485" s="3" t="s">
        <v>3180</v>
      </c>
      <c r="Q485" s="3" t="s">
        <v>3180</v>
      </c>
      <c r="R485" s="3" t="s">
        <v>3180</v>
      </c>
      <c r="S485" t="s">
        <v>3176</v>
      </c>
      <c r="T485" s="130" t="s">
        <v>465</v>
      </c>
      <c r="U485" s="34">
        <v>3</v>
      </c>
      <c r="V485" s="39"/>
      <c r="W485" s="39"/>
      <c r="X485" s="59" t="s">
        <v>108</v>
      </c>
      <c r="Y485" s="93">
        <f>IF(AD485=0, 0, IF(OR(H485="", H485&lt;&gt;0), 1, 0))</f>
        <v>1</v>
      </c>
      <c r="Z485" s="3">
        <v>0</v>
      </c>
      <c r="AA485" s="3" t="s">
        <v>3181</v>
      </c>
      <c r="AD485" s="6">
        <f>ROUND((AG485*(1+AJ485)),2)</f>
        <v>93.02</v>
      </c>
      <c r="AE485" s="69">
        <v>106.00323898000001</v>
      </c>
      <c r="AF485" s="17">
        <f>(AE485*1)</f>
        <v>106.00323898000001</v>
      </c>
      <c r="AG485" s="6">
        <f>ROUND((AE485*AI485),2)</f>
        <v>68.900000000000006</v>
      </c>
      <c r="AH485" s="30" t="s">
        <v>110</v>
      </c>
      <c r="AI485" s="3">
        <v>0.65</v>
      </c>
      <c r="AJ485" s="18">
        <v>0.35</v>
      </c>
      <c r="AK485" s="6">
        <f>ROUND((AD485-(AD485*BG485)),2)</f>
        <v>92.09</v>
      </c>
      <c r="AL485" s="6">
        <f>ROUND((AD485-(AD485*BH485)),2)</f>
        <v>91.16</v>
      </c>
      <c r="AM485" s="6">
        <f>ROUND((AD485-(AD485*BI485)),2)</f>
        <v>90.23</v>
      </c>
      <c r="AN485" s="6">
        <f>ROUND((AD485-(AD485*BJ485)),2)</f>
        <v>90.23</v>
      </c>
      <c r="AO485" s="6">
        <f>ROUND((AD485-(AD485*BK485)),2)</f>
        <v>93.02</v>
      </c>
      <c r="BG485" s="12">
        <v>0.01</v>
      </c>
      <c r="BH485" s="12">
        <v>0.02</v>
      </c>
      <c r="BI485" s="12">
        <v>0.03</v>
      </c>
      <c r="BJ485" s="12">
        <v>0.03</v>
      </c>
      <c r="CC485" s="3" t="str">
        <f>IF(B485&lt;&gt;"",CONCATENATE(SUBSTITUTE(B485," ","-"),".jpg"),"")</f>
        <v>Allied-Moulded-AMU864H.jpg</v>
      </c>
      <c r="CD485" s="16" t="s">
        <v>111</v>
      </c>
      <c r="CE485" s="3"/>
      <c r="CF485" s="3"/>
      <c r="CG485" s="3" t="s">
        <v>112</v>
      </c>
      <c r="CI485" s="3" t="s">
        <v>97</v>
      </c>
      <c r="CJ485" s="3" t="s">
        <v>467</v>
      </c>
      <c r="CK485" s="3" t="s">
        <v>114</v>
      </c>
      <c r="CL485" s="3" t="s">
        <v>115</v>
      </c>
      <c r="CM485" s="3" t="s">
        <v>116</v>
      </c>
      <c r="CN485" s="16" t="s">
        <v>349</v>
      </c>
      <c r="CO485" s="3" t="s">
        <v>118</v>
      </c>
      <c r="CP485" s="3" t="s">
        <v>139</v>
      </c>
      <c r="CQ485" s="3" t="s">
        <v>120</v>
      </c>
      <c r="CR485" s="3" t="s">
        <v>140</v>
      </c>
      <c r="CS485" s="3" t="s">
        <v>384</v>
      </c>
      <c r="CT485" s="16" t="s">
        <v>385</v>
      </c>
      <c r="CU485" s="16" t="s">
        <v>351</v>
      </c>
      <c r="CV485" s="16" t="s">
        <v>657</v>
      </c>
    </row>
    <row r="486" spans="1:100" ht="15" customHeight="1">
      <c r="A486" t="s">
        <v>3182</v>
      </c>
      <c r="B486" s="3" t="s">
        <v>3183</v>
      </c>
      <c r="C486" s="16" t="s">
        <v>97</v>
      </c>
      <c r="D486" s="40" t="s">
        <v>3184</v>
      </c>
      <c r="E486" s="16" t="s">
        <v>97</v>
      </c>
      <c r="F486" s="131" t="s">
        <v>3185</v>
      </c>
      <c r="I486" s="100" t="s">
        <v>342</v>
      </c>
      <c r="J486" s="16" t="s">
        <v>101</v>
      </c>
      <c r="K486" s="16"/>
      <c r="L486" s="3" t="s">
        <v>102</v>
      </c>
      <c r="M486" s="3" t="s">
        <v>103</v>
      </c>
      <c r="N486" s="3" t="s">
        <v>104</v>
      </c>
      <c r="O486" s="16" t="s">
        <v>105</v>
      </c>
      <c r="P486" s="3" t="s">
        <v>3186</v>
      </c>
      <c r="Q486" s="3" t="s">
        <v>3186</v>
      </c>
      <c r="R486" s="3" t="s">
        <v>3186</v>
      </c>
      <c r="S486" t="s">
        <v>3182</v>
      </c>
      <c r="T486" s="130" t="s">
        <v>465</v>
      </c>
      <c r="U486" s="35">
        <v>3</v>
      </c>
      <c r="V486" s="40"/>
      <c r="W486" s="40"/>
      <c r="X486" s="59" t="s">
        <v>108</v>
      </c>
      <c r="Y486" s="93">
        <f>IF(AD486=0, 0, IF(OR(H486="", H486&lt;&gt;0), 1, 0))</f>
        <v>1</v>
      </c>
      <c r="Z486" s="3">
        <v>0</v>
      </c>
      <c r="AA486" s="3" t="s">
        <v>3187</v>
      </c>
      <c r="AD486" s="6">
        <f>ROUND((AG486*(1+AJ486)),2)</f>
        <v>95.55</v>
      </c>
      <c r="AE486" s="69">
        <v>108.88911873000001</v>
      </c>
      <c r="AF486" s="17">
        <f>(AE486*1)</f>
        <v>108.88911873000001</v>
      </c>
      <c r="AG486" s="6">
        <f>ROUND((AE486*AI486),2)</f>
        <v>70.78</v>
      </c>
      <c r="AH486" s="30" t="s">
        <v>110</v>
      </c>
      <c r="AI486" s="3">
        <v>0.65</v>
      </c>
      <c r="AJ486" s="18">
        <v>0.35</v>
      </c>
      <c r="AK486" s="6">
        <f>ROUND((AD486-(AD486*BG486)),2)</f>
        <v>94.59</v>
      </c>
      <c r="AL486" s="6">
        <f>ROUND((AD486-(AD486*BH486)),2)</f>
        <v>93.64</v>
      </c>
      <c r="AM486" s="6">
        <f>ROUND((AD486-(AD486*BI486)),2)</f>
        <v>92.68</v>
      </c>
      <c r="AN486" s="6">
        <f>ROUND((AD486-(AD486*BJ486)),2)</f>
        <v>92.68</v>
      </c>
      <c r="AO486" s="6">
        <f>ROUND((AD486-(AD486*BK486)),2)</f>
        <v>95.55</v>
      </c>
      <c r="BG486" s="12">
        <v>0.01</v>
      </c>
      <c r="BH486" s="12">
        <v>0.02</v>
      </c>
      <c r="BI486" s="12">
        <v>0.03</v>
      </c>
      <c r="BJ486" s="12">
        <v>0.03</v>
      </c>
      <c r="CC486" s="3" t="str">
        <f>IF(B486&lt;&gt;"",CONCATENATE(SUBSTITUTE(B486," ","-"),".jpg"),"")</f>
        <v>Allied-Moulded-AMU864HF.jpg</v>
      </c>
      <c r="CD486" s="16" t="s">
        <v>111</v>
      </c>
      <c r="CE486" s="3"/>
      <c r="CF486" s="3"/>
      <c r="CG486" s="3" t="s">
        <v>112</v>
      </c>
      <c r="CI486" s="3" t="s">
        <v>97</v>
      </c>
      <c r="CJ486" s="3" t="s">
        <v>467</v>
      </c>
      <c r="CK486" s="3" t="s">
        <v>114</v>
      </c>
      <c r="CL486" s="3" t="s">
        <v>115</v>
      </c>
      <c r="CM486" s="3" t="s">
        <v>116</v>
      </c>
      <c r="CN486" s="16" t="s">
        <v>349</v>
      </c>
      <c r="CO486" s="3" t="s">
        <v>118</v>
      </c>
      <c r="CP486" s="3" t="s">
        <v>139</v>
      </c>
      <c r="CQ486" s="3" t="s">
        <v>120</v>
      </c>
      <c r="CR486" s="3" t="s">
        <v>140</v>
      </c>
      <c r="CS486" s="3" t="s">
        <v>384</v>
      </c>
      <c r="CT486" s="16" t="s">
        <v>385</v>
      </c>
      <c r="CU486" s="16" t="s">
        <v>351</v>
      </c>
      <c r="CV486" s="16" t="s">
        <v>657</v>
      </c>
    </row>
    <row r="487" spans="1:100" ht="15" customHeight="1">
      <c r="A487" t="s">
        <v>3188</v>
      </c>
      <c r="B487" s="3" t="s">
        <v>3189</v>
      </c>
      <c r="C487" s="16" t="s">
        <v>97</v>
      </c>
      <c r="D487" s="40" t="s">
        <v>3190</v>
      </c>
      <c r="E487" s="16" t="s">
        <v>97</v>
      </c>
      <c r="F487" s="131" t="s">
        <v>3191</v>
      </c>
      <c r="I487" s="100" t="s">
        <v>342</v>
      </c>
      <c r="J487" s="16" t="s">
        <v>101</v>
      </c>
      <c r="K487" s="16"/>
      <c r="L487" s="3" t="s">
        <v>102</v>
      </c>
      <c r="M487" s="3" t="s">
        <v>103</v>
      </c>
      <c r="N487" s="3" t="s">
        <v>104</v>
      </c>
      <c r="O487" s="16" t="s">
        <v>105</v>
      </c>
      <c r="P487" s="3" t="s">
        <v>3192</v>
      </c>
      <c r="Q487" s="3" t="s">
        <v>3192</v>
      </c>
      <c r="R487" s="3" t="s">
        <v>3192</v>
      </c>
      <c r="S487" t="s">
        <v>3188</v>
      </c>
      <c r="T487" s="130" t="s">
        <v>465</v>
      </c>
      <c r="U487" s="35">
        <v>3</v>
      </c>
      <c r="V487" s="40"/>
      <c r="W487" s="40"/>
      <c r="X487" s="59" t="s">
        <v>108</v>
      </c>
      <c r="Y487" s="93">
        <f>IF(AD487=0, 0, IF(OR(H487="", H487&lt;&gt;0), 1, 0))</f>
        <v>1</v>
      </c>
      <c r="Z487" s="3">
        <v>0</v>
      </c>
      <c r="AA487" s="3" t="s">
        <v>3193</v>
      </c>
      <c r="AD487" s="6">
        <f>ROUND((AG487*(1+AJ487)),2)</f>
        <v>112.5</v>
      </c>
      <c r="AE487" s="69">
        <v>128.19282870999999</v>
      </c>
      <c r="AF487" s="17">
        <f>(AE487*1)</f>
        <v>128.19282870999999</v>
      </c>
      <c r="AG487" s="6">
        <f>ROUND((AE487*AI487),2)</f>
        <v>83.33</v>
      </c>
      <c r="AH487" s="30" t="s">
        <v>110</v>
      </c>
      <c r="AI487" s="3">
        <v>0.65</v>
      </c>
      <c r="AJ487" s="18">
        <v>0.35</v>
      </c>
      <c r="AK487" s="6">
        <f>ROUND((AD487-(AD487*BG487)),2)</f>
        <v>111.38</v>
      </c>
      <c r="AL487" s="6">
        <f>ROUND((AD487-(AD487*BH487)),2)</f>
        <v>110.25</v>
      </c>
      <c r="AM487" s="6">
        <f>ROUND((AD487-(AD487*BI487)),2)</f>
        <v>109.13</v>
      </c>
      <c r="AN487" s="6">
        <f>ROUND((AD487-(AD487*BJ487)),2)</f>
        <v>109.13</v>
      </c>
      <c r="AO487" s="6">
        <f>ROUND((AD487-(AD487*BK487)),2)</f>
        <v>112.5</v>
      </c>
      <c r="BG487" s="12">
        <v>0.01</v>
      </c>
      <c r="BH487" s="12">
        <v>0.02</v>
      </c>
      <c r="BI487" s="12">
        <v>0.03</v>
      </c>
      <c r="BJ487" s="12">
        <v>0.03</v>
      </c>
      <c r="CC487" s="3" t="str">
        <f>IF(B487&lt;&gt;"",CONCATENATE(SUBSTITUTE(B487," ","-"),".jpg"),"")</f>
        <v>Allied-Moulded-AMU864L.jpg</v>
      </c>
      <c r="CD487" s="16" t="s">
        <v>111</v>
      </c>
      <c r="CE487" s="3"/>
      <c r="CF487" s="3"/>
      <c r="CG487" s="3" t="s">
        <v>112</v>
      </c>
      <c r="CI487" s="3" t="s">
        <v>97</v>
      </c>
      <c r="CJ487" s="3" t="s">
        <v>467</v>
      </c>
      <c r="CK487" s="3" t="s">
        <v>114</v>
      </c>
      <c r="CL487" s="3" t="s">
        <v>115</v>
      </c>
      <c r="CM487" s="3" t="s">
        <v>116</v>
      </c>
      <c r="CN487" t="s">
        <v>117</v>
      </c>
      <c r="CO487" s="3" t="s">
        <v>118</v>
      </c>
      <c r="CP487" s="3" t="s">
        <v>139</v>
      </c>
      <c r="CQ487" s="3" t="s">
        <v>120</v>
      </c>
      <c r="CR487" s="3" t="s">
        <v>140</v>
      </c>
      <c r="CS487" s="16" t="s">
        <v>122</v>
      </c>
      <c r="CT487" s="16" t="s">
        <v>385</v>
      </c>
      <c r="CU487" s="16" t="s">
        <v>351</v>
      </c>
      <c r="CV487" s="16" t="s">
        <v>657</v>
      </c>
    </row>
    <row r="488" spans="1:100" ht="15" customHeight="1">
      <c r="A488" t="s">
        <v>3194</v>
      </c>
      <c r="B488" s="3" t="s">
        <v>3195</v>
      </c>
      <c r="C488" s="16" t="s">
        <v>97</v>
      </c>
      <c r="D488" s="39" t="s">
        <v>3196</v>
      </c>
      <c r="E488" s="16" t="s">
        <v>97</v>
      </c>
      <c r="F488" s="131" t="s">
        <v>3197</v>
      </c>
      <c r="I488" s="100" t="s">
        <v>342</v>
      </c>
      <c r="J488" s="16" t="s">
        <v>101</v>
      </c>
      <c r="K488" s="16"/>
      <c r="L488" s="3" t="s">
        <v>102</v>
      </c>
      <c r="M488" s="3" t="s">
        <v>103</v>
      </c>
      <c r="N488" s="3" t="s">
        <v>104</v>
      </c>
      <c r="O488" s="16" t="s">
        <v>105</v>
      </c>
      <c r="P488" s="3" t="s">
        <v>3198</v>
      </c>
      <c r="Q488" s="3" t="s">
        <v>3198</v>
      </c>
      <c r="R488" s="3" t="s">
        <v>3198</v>
      </c>
      <c r="S488" t="s">
        <v>3194</v>
      </c>
      <c r="T488" s="130" t="s">
        <v>465</v>
      </c>
      <c r="U488" s="34">
        <v>3</v>
      </c>
      <c r="V488" s="39"/>
      <c r="W488" s="39"/>
      <c r="X488" s="59" t="s">
        <v>108</v>
      </c>
      <c r="Y488" s="93">
        <f>IF(AD488=0, 0, IF(OR(H488="", H488&lt;&gt;0), 1, 0))</f>
        <v>1</v>
      </c>
      <c r="Z488" s="3">
        <v>0</v>
      </c>
      <c r="AA488" s="3" t="s">
        <v>3199</v>
      </c>
      <c r="AD488" s="6">
        <f>ROUND((AG488*(1+AJ488)),2)</f>
        <v>115.65</v>
      </c>
      <c r="AE488" s="69">
        <v>131.80017710999999</v>
      </c>
      <c r="AF488" s="17">
        <f>(AE488*1)</f>
        <v>131.80017710999999</v>
      </c>
      <c r="AG488" s="6">
        <f>ROUND((AE488*AI488),2)</f>
        <v>85.67</v>
      </c>
      <c r="AH488" s="30" t="s">
        <v>110</v>
      </c>
      <c r="AI488" s="3">
        <v>0.65</v>
      </c>
      <c r="AJ488" s="18">
        <v>0.35</v>
      </c>
      <c r="AK488" s="6">
        <f>ROUND((AD488-(AD488*BG488)),2)</f>
        <v>114.49</v>
      </c>
      <c r="AL488" s="6">
        <f>ROUND((AD488-(AD488*BH488)),2)</f>
        <v>113.34</v>
      </c>
      <c r="AM488" s="6">
        <f>ROUND((AD488-(AD488*BI488)),2)</f>
        <v>112.18</v>
      </c>
      <c r="AN488" s="6">
        <f>ROUND((AD488-(AD488*BJ488)),2)</f>
        <v>112.18</v>
      </c>
      <c r="AO488" s="6">
        <f>ROUND((AD488-(AD488*BK488)),2)</f>
        <v>115.65</v>
      </c>
      <c r="BG488" s="12">
        <v>0.01</v>
      </c>
      <c r="BH488" s="12">
        <v>0.02</v>
      </c>
      <c r="BI488" s="12">
        <v>0.03</v>
      </c>
      <c r="BJ488" s="12">
        <v>0.03</v>
      </c>
      <c r="CC488" s="3" t="str">
        <f>IF(B488&lt;&gt;"",CONCATENATE(SUBSTITUTE(B488," ","-"),".jpg"),"")</f>
        <v>Allied-Moulded-AMU864LF.jpg</v>
      </c>
      <c r="CD488" s="16" t="s">
        <v>111</v>
      </c>
      <c r="CE488" s="3"/>
      <c r="CF488" s="3"/>
      <c r="CG488" s="3" t="s">
        <v>112</v>
      </c>
      <c r="CI488" s="3" t="s">
        <v>97</v>
      </c>
      <c r="CJ488" s="3" t="s">
        <v>467</v>
      </c>
      <c r="CK488" s="3" t="s">
        <v>114</v>
      </c>
      <c r="CL488" s="3" t="s">
        <v>115</v>
      </c>
      <c r="CM488" s="3" t="s">
        <v>116</v>
      </c>
      <c r="CN488" t="s">
        <v>117</v>
      </c>
      <c r="CO488" s="3" t="s">
        <v>118</v>
      </c>
      <c r="CP488" s="3" t="s">
        <v>139</v>
      </c>
      <c r="CQ488" s="3" t="s">
        <v>120</v>
      </c>
      <c r="CR488" s="3" t="s">
        <v>140</v>
      </c>
      <c r="CS488" s="16" t="s">
        <v>122</v>
      </c>
      <c r="CT488" s="16" t="s">
        <v>385</v>
      </c>
      <c r="CU488" s="16" t="s">
        <v>351</v>
      </c>
      <c r="CV488" s="16" t="s">
        <v>657</v>
      </c>
    </row>
    <row r="489" spans="1:100" ht="15" customHeight="1">
      <c r="A489" t="s">
        <v>3200</v>
      </c>
      <c r="B489" s="3" t="s">
        <v>3201</v>
      </c>
      <c r="C489" s="16" t="s">
        <v>97</v>
      </c>
      <c r="D489" s="39" t="s">
        <v>3202</v>
      </c>
      <c r="E489" s="16" t="s">
        <v>97</v>
      </c>
      <c r="F489" s="131" t="s">
        <v>3203</v>
      </c>
      <c r="I489" s="100" t="s">
        <v>342</v>
      </c>
      <c r="J489" s="16" t="s">
        <v>101</v>
      </c>
      <c r="K489" s="16"/>
      <c r="L489" s="3" t="s">
        <v>102</v>
      </c>
      <c r="M489" s="3" t="s">
        <v>103</v>
      </c>
      <c r="N489" s="3" t="s">
        <v>104</v>
      </c>
      <c r="O489" s="16" t="s">
        <v>105</v>
      </c>
      <c r="P489" s="3" t="s">
        <v>3204</v>
      </c>
      <c r="Q489" s="3" t="s">
        <v>3204</v>
      </c>
      <c r="R489" s="3" t="s">
        <v>3204</v>
      </c>
      <c r="S489" t="s">
        <v>3200</v>
      </c>
      <c r="T489" s="130" t="s">
        <v>465</v>
      </c>
      <c r="U489" s="34">
        <v>3</v>
      </c>
      <c r="V489" s="39"/>
      <c r="W489" s="39"/>
      <c r="X489" s="59" t="s">
        <v>108</v>
      </c>
      <c r="Y489" s="93">
        <f>IF(AD489=0, 0, IF(OR(H489="", H489&lt;&gt;0), 1, 0))</f>
        <v>1</v>
      </c>
      <c r="Z489" s="3">
        <v>0</v>
      </c>
      <c r="AA489" s="3" t="s">
        <v>3205</v>
      </c>
      <c r="AD489" s="6">
        <f>ROUND((AG489*(1+AJ489)),2)</f>
        <v>106.87</v>
      </c>
      <c r="AE489" s="69">
        <v>121.78758831</v>
      </c>
      <c r="AF489" s="17">
        <f>(AE489*1)</f>
        <v>121.78758831</v>
      </c>
      <c r="AG489" s="6">
        <f>ROUND((AE489*AI489),2)</f>
        <v>79.16</v>
      </c>
      <c r="AH489" s="30" t="s">
        <v>110</v>
      </c>
      <c r="AI489" s="3">
        <v>0.65</v>
      </c>
      <c r="AJ489" s="18">
        <v>0.35</v>
      </c>
      <c r="AK489" s="6">
        <f>ROUND((AD489-(AD489*BG489)),2)</f>
        <v>105.8</v>
      </c>
      <c r="AL489" s="6">
        <f>ROUND((AD489-(AD489*BH489)),2)</f>
        <v>104.73</v>
      </c>
      <c r="AM489" s="6">
        <f>ROUND((AD489-(AD489*BI489)),2)</f>
        <v>103.66</v>
      </c>
      <c r="AN489" s="6">
        <f>ROUND((AD489-(AD489*BJ489)),2)</f>
        <v>103.66</v>
      </c>
      <c r="AO489" s="6">
        <f>ROUND((AD489-(AD489*BK489)),2)</f>
        <v>106.87</v>
      </c>
      <c r="BG489" s="12">
        <v>0.01</v>
      </c>
      <c r="BH489" s="12">
        <v>0.02</v>
      </c>
      <c r="BI489" s="12">
        <v>0.03</v>
      </c>
      <c r="BJ489" s="12">
        <v>0.03</v>
      </c>
      <c r="CC489" s="3" t="str">
        <f>IF(B489&lt;&gt;"",CONCATENATE(SUBSTITUTE(B489," ","-"),".jpg"),"")</f>
        <v>Allied-Moulded-AMU864NL.jpg</v>
      </c>
      <c r="CD489" s="16" t="s">
        <v>111</v>
      </c>
      <c r="CE489" s="3"/>
      <c r="CF489" s="3"/>
      <c r="CG489" s="3" t="s">
        <v>112</v>
      </c>
      <c r="CI489" s="3" t="s">
        <v>97</v>
      </c>
      <c r="CJ489" s="3" t="s">
        <v>467</v>
      </c>
      <c r="CK489" s="3" t="s">
        <v>114</v>
      </c>
      <c r="CL489" s="3" t="s">
        <v>115</v>
      </c>
      <c r="CM489" s="3" t="s">
        <v>116</v>
      </c>
      <c r="CN489" t="s">
        <v>117</v>
      </c>
      <c r="CO489" s="3" t="s">
        <v>118</v>
      </c>
      <c r="CP489" s="3" t="s">
        <v>139</v>
      </c>
      <c r="CQ489" s="3" t="s">
        <v>120</v>
      </c>
      <c r="CR489" s="3" t="s">
        <v>140</v>
      </c>
      <c r="CS489" s="16" t="s">
        <v>122</v>
      </c>
      <c r="CT489" s="16" t="s">
        <v>385</v>
      </c>
      <c r="CU489" s="16" t="s">
        <v>351</v>
      </c>
      <c r="CV489" s="16" t="s">
        <v>657</v>
      </c>
    </row>
    <row r="490" spans="1:100" ht="15" customHeight="1">
      <c r="A490" t="s">
        <v>3206</v>
      </c>
      <c r="B490" s="3" t="s">
        <v>3207</v>
      </c>
      <c r="C490" s="16" t="s">
        <v>97</v>
      </c>
      <c r="D490" s="40" t="s">
        <v>3208</v>
      </c>
      <c r="E490" s="16" t="s">
        <v>97</v>
      </c>
      <c r="F490" s="131" t="s">
        <v>3209</v>
      </c>
      <c r="I490" s="100" t="s">
        <v>342</v>
      </c>
      <c r="J490" s="16" t="s">
        <v>101</v>
      </c>
      <c r="K490" s="16"/>
      <c r="L490" s="3" t="s">
        <v>102</v>
      </c>
      <c r="M490" s="3" t="s">
        <v>103</v>
      </c>
      <c r="N490" s="3" t="s">
        <v>104</v>
      </c>
      <c r="O490" s="16" t="s">
        <v>105</v>
      </c>
      <c r="P490" s="3" t="s">
        <v>3210</v>
      </c>
      <c r="Q490" s="3" t="s">
        <v>3210</v>
      </c>
      <c r="R490" s="3" t="s">
        <v>3210</v>
      </c>
      <c r="S490" t="s">
        <v>3206</v>
      </c>
      <c r="T490" s="130" t="s">
        <v>465</v>
      </c>
      <c r="U490" s="35">
        <v>3</v>
      </c>
      <c r="V490" s="40"/>
      <c r="W490" s="40"/>
      <c r="X490" s="59" t="s">
        <v>108</v>
      </c>
      <c r="Y490" s="93">
        <f>IF(AD490=0, 0, IF(OR(H490="", H490&lt;&gt;0), 1, 0))</f>
        <v>1</v>
      </c>
      <c r="Z490" s="3">
        <v>0</v>
      </c>
      <c r="AA490" s="3" t="s">
        <v>3211</v>
      </c>
      <c r="AD490" s="6">
        <f>ROUND((AG490*(1+AJ490)),2)</f>
        <v>109.88</v>
      </c>
      <c r="AE490" s="69">
        <v>125.21896533</v>
      </c>
      <c r="AF490" s="17">
        <f>(AE490*1)</f>
        <v>125.21896533</v>
      </c>
      <c r="AG490" s="6">
        <f>ROUND((AE490*AI490),2)</f>
        <v>81.39</v>
      </c>
      <c r="AH490" s="30" t="s">
        <v>110</v>
      </c>
      <c r="AI490" s="3">
        <v>0.65</v>
      </c>
      <c r="AJ490" s="18">
        <v>0.35</v>
      </c>
      <c r="AK490" s="6">
        <f>ROUND((AD490-(AD490*BG490)),2)</f>
        <v>108.78</v>
      </c>
      <c r="AL490" s="6">
        <f>ROUND((AD490-(AD490*BH490)),2)</f>
        <v>107.68</v>
      </c>
      <c r="AM490" s="6">
        <f>ROUND((AD490-(AD490*BI490)),2)</f>
        <v>106.58</v>
      </c>
      <c r="AN490" s="6">
        <f>ROUND((AD490-(AD490*BJ490)),2)</f>
        <v>106.58</v>
      </c>
      <c r="AO490" s="6">
        <f>ROUND((AD490-(AD490*BK490)),2)</f>
        <v>109.88</v>
      </c>
      <c r="BG490" s="12">
        <v>0.01</v>
      </c>
      <c r="BH490" s="12">
        <v>0.02</v>
      </c>
      <c r="BI490" s="12">
        <v>0.03</v>
      </c>
      <c r="BJ490" s="12">
        <v>0.03</v>
      </c>
      <c r="CC490" s="3" t="str">
        <f>IF(B490&lt;&gt;"",CONCATENATE(SUBSTITUTE(B490," ","-"),".jpg"),"")</f>
        <v>Allied-Moulded-AMU864NLF.jpg</v>
      </c>
      <c r="CD490" s="16" t="s">
        <v>111</v>
      </c>
      <c r="CE490" s="3"/>
      <c r="CF490" s="3"/>
      <c r="CG490" s="3" t="s">
        <v>112</v>
      </c>
      <c r="CI490" s="3" t="s">
        <v>97</v>
      </c>
      <c r="CJ490" s="3" t="s">
        <v>467</v>
      </c>
      <c r="CK490" s="3" t="s">
        <v>114</v>
      </c>
      <c r="CL490" s="3" t="s">
        <v>115</v>
      </c>
      <c r="CM490" s="3" t="s">
        <v>116</v>
      </c>
      <c r="CN490" t="s">
        <v>117</v>
      </c>
      <c r="CO490" s="3" t="s">
        <v>118</v>
      </c>
      <c r="CP490" s="3" t="s">
        <v>139</v>
      </c>
      <c r="CQ490" s="3" t="s">
        <v>120</v>
      </c>
      <c r="CR490" s="3" t="s">
        <v>140</v>
      </c>
      <c r="CS490" s="16" t="s">
        <v>122</v>
      </c>
      <c r="CT490" s="16" t="s">
        <v>385</v>
      </c>
      <c r="CU490" s="16" t="s">
        <v>351</v>
      </c>
      <c r="CV490" s="16" t="s">
        <v>657</v>
      </c>
    </row>
    <row r="491" spans="1:100" ht="15" customHeight="1">
      <c r="A491" t="s">
        <v>3212</v>
      </c>
      <c r="B491" s="3" t="s">
        <v>3213</v>
      </c>
      <c r="C491" s="16" t="s">
        <v>97</v>
      </c>
      <c r="D491" s="40" t="s">
        <v>3214</v>
      </c>
      <c r="E491" s="16" t="s">
        <v>97</v>
      </c>
      <c r="F491" s="131" t="s">
        <v>3215</v>
      </c>
      <c r="I491" s="100" t="s">
        <v>342</v>
      </c>
      <c r="J491" s="16" t="s">
        <v>101</v>
      </c>
      <c r="K491" s="16"/>
      <c r="L491" s="3" t="s">
        <v>102</v>
      </c>
      <c r="M491" s="3" t="s">
        <v>103</v>
      </c>
      <c r="N491" s="3" t="s">
        <v>104</v>
      </c>
      <c r="O491" s="16" t="s">
        <v>105</v>
      </c>
      <c r="P491" s="3" t="s">
        <v>3216</v>
      </c>
      <c r="Q491" s="3" t="s">
        <v>3216</v>
      </c>
      <c r="R491" s="3" t="s">
        <v>3216</v>
      </c>
      <c r="S491" t="s">
        <v>3212</v>
      </c>
      <c r="T491" s="130" t="s">
        <v>465</v>
      </c>
      <c r="U491" s="51">
        <v>3</v>
      </c>
      <c r="V491" s="58"/>
      <c r="W491" s="58"/>
      <c r="X491" s="59" t="s">
        <v>108</v>
      </c>
      <c r="Y491" s="93">
        <f>IF(AD491=0, 0, IF(OR(H491="", H491&lt;&gt;0), 1, 0))</f>
        <v>1</v>
      </c>
      <c r="Z491" s="3">
        <v>0</v>
      </c>
      <c r="AA491" s="3" t="s">
        <v>3217</v>
      </c>
      <c r="AD491" s="6">
        <f>ROUND((AG491*(1+AJ491)),2)</f>
        <v>112.5</v>
      </c>
      <c r="AE491" s="69">
        <v>128.19282870999999</v>
      </c>
      <c r="AF491" s="17">
        <f>(AE491*1)</f>
        <v>128.19282870999999</v>
      </c>
      <c r="AG491" s="6">
        <f>ROUND((AE491*AI491),2)</f>
        <v>83.33</v>
      </c>
      <c r="AH491" s="30" t="s">
        <v>110</v>
      </c>
      <c r="AI491" s="3">
        <v>0.65</v>
      </c>
      <c r="AJ491" s="18">
        <v>0.35</v>
      </c>
      <c r="AK491" s="6">
        <f>ROUND((AD491-(AD491*BG491)),2)</f>
        <v>111.38</v>
      </c>
      <c r="AL491" s="6">
        <f>ROUND((AD491-(AD491*BH491)),2)</f>
        <v>110.25</v>
      </c>
      <c r="AM491" s="6">
        <f>ROUND((AD491-(AD491*BI491)),2)</f>
        <v>109.13</v>
      </c>
      <c r="AN491" s="6">
        <f>ROUND((AD491-(AD491*BJ491)),2)</f>
        <v>109.13</v>
      </c>
      <c r="AO491" s="6">
        <f>ROUND((AD491-(AD491*BK491)),2)</f>
        <v>112.5</v>
      </c>
      <c r="BG491" s="12">
        <v>0.01</v>
      </c>
      <c r="BH491" s="12">
        <v>0.02</v>
      </c>
      <c r="BI491" s="12">
        <v>0.03</v>
      </c>
      <c r="BJ491" s="12">
        <v>0.03</v>
      </c>
      <c r="CC491" s="3" t="str">
        <f>IF(B491&lt;&gt;"",CONCATENATE(SUBSTITUTE(B491," ","-"),".jpg"),"")</f>
        <v>Allied-Moulded-AMU864T.jpg</v>
      </c>
      <c r="CD491" s="16" t="s">
        <v>111</v>
      </c>
      <c r="CE491" s="3"/>
      <c r="CF491" s="3"/>
      <c r="CG491" s="3" t="s">
        <v>112</v>
      </c>
      <c r="CI491" s="3" t="s">
        <v>97</v>
      </c>
      <c r="CJ491" s="3" t="s">
        <v>467</v>
      </c>
      <c r="CK491" s="3" t="s">
        <v>114</v>
      </c>
      <c r="CL491" s="3" t="s">
        <v>115</v>
      </c>
      <c r="CM491" s="3" t="s">
        <v>116</v>
      </c>
      <c r="CN491" s="16" t="s">
        <v>132</v>
      </c>
      <c r="CO491" s="3" t="s">
        <v>118</v>
      </c>
      <c r="CP491" s="3" t="s">
        <v>139</v>
      </c>
      <c r="CQ491" s="3" t="s">
        <v>120</v>
      </c>
      <c r="CR491" s="3" t="s">
        <v>140</v>
      </c>
      <c r="CS491" s="16" t="s">
        <v>122</v>
      </c>
      <c r="CT491" s="16" t="s">
        <v>385</v>
      </c>
      <c r="CU491" s="16" t="s">
        <v>351</v>
      </c>
      <c r="CV491" s="16" t="s">
        <v>657</v>
      </c>
    </row>
    <row r="492" spans="1:100" ht="15" customHeight="1">
      <c r="A492" t="s">
        <v>3218</v>
      </c>
      <c r="B492" s="3" t="s">
        <v>3219</v>
      </c>
      <c r="C492" s="16" t="s">
        <v>97</v>
      </c>
      <c r="D492" s="39" t="s">
        <v>3220</v>
      </c>
      <c r="E492" s="16" t="s">
        <v>97</v>
      </c>
      <c r="F492" s="131" t="s">
        <v>3221</v>
      </c>
      <c r="I492" s="100" t="s">
        <v>342</v>
      </c>
      <c r="J492" s="16" t="s">
        <v>101</v>
      </c>
      <c r="K492" s="16"/>
      <c r="L492" s="3" t="s">
        <v>102</v>
      </c>
      <c r="M492" s="3" t="s">
        <v>103</v>
      </c>
      <c r="N492" s="3" t="s">
        <v>104</v>
      </c>
      <c r="O492" s="16" t="s">
        <v>105</v>
      </c>
      <c r="P492" s="3" t="s">
        <v>3222</v>
      </c>
      <c r="Q492" s="3" t="s">
        <v>3222</v>
      </c>
      <c r="R492" s="3" t="s">
        <v>3222</v>
      </c>
      <c r="S492" t="s">
        <v>3218</v>
      </c>
      <c r="T492" s="130" t="s">
        <v>465</v>
      </c>
      <c r="U492" s="50">
        <v>3</v>
      </c>
      <c r="V492" s="54"/>
      <c r="W492" s="54"/>
      <c r="X492" s="59" t="s">
        <v>108</v>
      </c>
      <c r="Y492" s="93">
        <f>IF(AD492=0, 0, IF(OR(H492="", H492&lt;&gt;0), 1, 0))</f>
        <v>1</v>
      </c>
      <c r="Z492" s="3">
        <v>0</v>
      </c>
      <c r="AA492" s="3" t="s">
        <v>3223</v>
      </c>
      <c r="AD492" s="6">
        <f>ROUND((AG492*(1+AJ492)),2)</f>
        <v>115.65</v>
      </c>
      <c r="AE492" s="69">
        <v>131.80017710999999</v>
      </c>
      <c r="AF492" s="17">
        <f>(AE492*1)</f>
        <v>131.80017710999999</v>
      </c>
      <c r="AG492" s="6">
        <f>ROUND((AE492*AI492),2)</f>
        <v>85.67</v>
      </c>
      <c r="AH492" s="30" t="s">
        <v>110</v>
      </c>
      <c r="AI492" s="3">
        <v>0.65</v>
      </c>
      <c r="AJ492" s="18">
        <v>0.35</v>
      </c>
      <c r="AK492" s="6">
        <f>ROUND((AD492-(AD492*BG492)),2)</f>
        <v>114.49</v>
      </c>
      <c r="AL492" s="6">
        <f>ROUND((AD492-(AD492*BH492)),2)</f>
        <v>113.34</v>
      </c>
      <c r="AM492" s="6">
        <f>ROUND((AD492-(AD492*BI492)),2)</f>
        <v>112.18</v>
      </c>
      <c r="AN492" s="6">
        <f>ROUND((AD492-(AD492*BJ492)),2)</f>
        <v>112.18</v>
      </c>
      <c r="AO492" s="6">
        <f>ROUND((AD492-(AD492*BK492)),2)</f>
        <v>115.65</v>
      </c>
      <c r="BG492" s="12">
        <v>0.01</v>
      </c>
      <c r="BH492" s="12">
        <v>0.02</v>
      </c>
      <c r="BI492" s="12">
        <v>0.03</v>
      </c>
      <c r="BJ492" s="12">
        <v>0.03</v>
      </c>
      <c r="CC492" s="3" t="str">
        <f>IF(B492&lt;&gt;"",CONCATENATE(SUBSTITUTE(B492," ","-"),".jpg"),"")</f>
        <v>Allied-Moulded-AMU864TF.jpg</v>
      </c>
      <c r="CD492" s="16" t="s">
        <v>111</v>
      </c>
      <c r="CE492" s="3"/>
      <c r="CF492" s="3"/>
      <c r="CG492" s="3" t="s">
        <v>112</v>
      </c>
      <c r="CI492" s="3" t="s">
        <v>97</v>
      </c>
      <c r="CJ492" s="3" t="s">
        <v>467</v>
      </c>
      <c r="CK492" s="3" t="s">
        <v>114</v>
      </c>
      <c r="CL492" s="3" t="s">
        <v>115</v>
      </c>
      <c r="CM492" s="3" t="s">
        <v>116</v>
      </c>
      <c r="CN492" s="16" t="s">
        <v>132</v>
      </c>
      <c r="CO492" s="3" t="s">
        <v>118</v>
      </c>
      <c r="CP492" s="3" t="s">
        <v>139</v>
      </c>
      <c r="CQ492" s="3" t="s">
        <v>120</v>
      </c>
      <c r="CR492" s="3" t="s">
        <v>140</v>
      </c>
      <c r="CS492" s="16" t="s">
        <v>122</v>
      </c>
      <c r="CT492" s="16" t="s">
        <v>385</v>
      </c>
      <c r="CU492" s="16" t="s">
        <v>351</v>
      </c>
      <c r="CV492" s="16" t="s">
        <v>657</v>
      </c>
    </row>
    <row r="493" spans="1:100" ht="15" customHeight="1">
      <c r="A493" t="s">
        <v>3224</v>
      </c>
      <c r="B493" s="3" t="s">
        <v>3225</v>
      </c>
      <c r="C493" s="16" t="s">
        <v>97</v>
      </c>
      <c r="D493" s="40" t="s">
        <v>3226</v>
      </c>
      <c r="E493" s="16" t="s">
        <v>97</v>
      </c>
      <c r="F493" s="131" t="s">
        <v>3227</v>
      </c>
      <c r="I493" s="100" t="s">
        <v>342</v>
      </c>
      <c r="J493" s="16" t="s">
        <v>101</v>
      </c>
      <c r="K493" s="16"/>
      <c r="L493" s="3" t="s">
        <v>102</v>
      </c>
      <c r="M493" s="3" t="s">
        <v>103</v>
      </c>
      <c r="N493" s="3" t="s">
        <v>104</v>
      </c>
      <c r="O493" s="16" t="s">
        <v>105</v>
      </c>
      <c r="P493" s="3" t="s">
        <v>3228</v>
      </c>
      <c r="Q493" s="3" t="s">
        <v>3228</v>
      </c>
      <c r="R493" s="3" t="s">
        <v>3228</v>
      </c>
      <c r="S493" t="s">
        <v>3224</v>
      </c>
      <c r="T493" s="130" t="s">
        <v>465</v>
      </c>
      <c r="U493" s="51">
        <v>3</v>
      </c>
      <c r="V493" s="58"/>
      <c r="W493" s="58"/>
      <c r="X493" s="59" t="s">
        <v>108</v>
      </c>
      <c r="Y493" s="93">
        <f>IF(AD493=0, 0, IF(OR(H493="", H493&lt;&gt;0), 1, 0))</f>
        <v>1</v>
      </c>
      <c r="Z493" s="3">
        <v>0</v>
      </c>
      <c r="AA493" s="3" t="s">
        <v>3229</v>
      </c>
      <c r="AD493" s="6">
        <f>ROUND((AG493*(1+AJ493)),2)</f>
        <v>145.80000000000001</v>
      </c>
      <c r="AE493" s="69">
        <v>166.14916815999999</v>
      </c>
      <c r="AF493" s="17">
        <f>(AE493*1)</f>
        <v>166.14916815999999</v>
      </c>
      <c r="AG493" s="6">
        <f>ROUND((AE493*AI493),2)</f>
        <v>108</v>
      </c>
      <c r="AH493" s="30" t="s">
        <v>110</v>
      </c>
      <c r="AI493" s="3">
        <v>0.65</v>
      </c>
      <c r="AJ493" s="18">
        <v>0.35</v>
      </c>
      <c r="AK493" s="6">
        <f>ROUND((AD493-(AD493*BG493)),2)</f>
        <v>144.34</v>
      </c>
      <c r="AL493" s="6">
        <f>ROUND((AD493-(AD493*BH493)),2)</f>
        <v>142.88</v>
      </c>
      <c r="AM493" s="6">
        <f>ROUND((AD493-(AD493*BI493)),2)</f>
        <v>141.43</v>
      </c>
      <c r="AN493" s="6">
        <f>ROUND((AD493-(AD493*BJ493)),2)</f>
        <v>141.43</v>
      </c>
      <c r="AO493" s="6">
        <f>ROUND((AD493-(AD493*BK493)),2)</f>
        <v>145.80000000000001</v>
      </c>
      <c r="BG493" s="12">
        <v>0.01</v>
      </c>
      <c r="BH493" s="12">
        <v>0.02</v>
      </c>
      <c r="BI493" s="12">
        <v>0.03</v>
      </c>
      <c r="BJ493" s="12">
        <v>0.03</v>
      </c>
      <c r="CC493" s="3" t="str">
        <f>IF(B493&lt;&gt;"",CONCATENATE(SUBSTITUTE(B493," ","-"),".jpg"),"")</f>
        <v>Allied-Moulded-AMU864W.jpg</v>
      </c>
      <c r="CD493" s="16" t="s">
        <v>111</v>
      </c>
      <c r="CE493" s="3"/>
      <c r="CF493" s="3"/>
      <c r="CG493" s="3" t="s">
        <v>112</v>
      </c>
      <c r="CI493" s="3" t="s">
        <v>97</v>
      </c>
      <c r="CJ493" s="3" t="s">
        <v>467</v>
      </c>
      <c r="CK493" s="3" t="s">
        <v>114</v>
      </c>
      <c r="CL493" s="3" t="s">
        <v>115</v>
      </c>
      <c r="CM493" s="16"/>
      <c r="CN493" s="16" t="s">
        <v>349</v>
      </c>
      <c r="CO493" s="3" t="s">
        <v>118</v>
      </c>
      <c r="CP493" s="3" t="s">
        <v>139</v>
      </c>
      <c r="CQ493" s="3" t="s">
        <v>120</v>
      </c>
      <c r="CR493" s="3" t="s">
        <v>140</v>
      </c>
      <c r="CS493" s="3" t="s">
        <v>384</v>
      </c>
      <c r="CT493" s="16" t="s">
        <v>385</v>
      </c>
      <c r="CU493" s="16" t="s">
        <v>351</v>
      </c>
      <c r="CV493" s="16" t="s">
        <v>657</v>
      </c>
    </row>
    <row r="494" spans="1:100" ht="15" customHeight="1">
      <c r="A494" t="s">
        <v>3230</v>
      </c>
      <c r="B494" s="3" t="s">
        <v>3231</v>
      </c>
      <c r="C494" s="16" t="s">
        <v>97</v>
      </c>
      <c r="D494" s="39" t="s">
        <v>3232</v>
      </c>
      <c r="E494" s="16" t="s">
        <v>97</v>
      </c>
      <c r="F494" s="131" t="s">
        <v>3233</v>
      </c>
      <c r="I494" s="100" t="s">
        <v>342</v>
      </c>
      <c r="J494" s="16" t="s">
        <v>101</v>
      </c>
      <c r="K494" s="16"/>
      <c r="L494" s="3" t="s">
        <v>102</v>
      </c>
      <c r="M494" s="3" t="s">
        <v>103</v>
      </c>
      <c r="N494" s="3" t="s">
        <v>104</v>
      </c>
      <c r="O494" s="16" t="s">
        <v>105</v>
      </c>
      <c r="P494" s="3" t="s">
        <v>3234</v>
      </c>
      <c r="Q494" s="3" t="s">
        <v>3234</v>
      </c>
      <c r="R494" s="3" t="s">
        <v>3234</v>
      </c>
      <c r="S494" t="s">
        <v>3230</v>
      </c>
      <c r="T494" s="130" t="s">
        <v>465</v>
      </c>
      <c r="U494" s="50">
        <v>3</v>
      </c>
      <c r="V494" s="54"/>
      <c r="W494" s="54"/>
      <c r="X494" s="59" t="s">
        <v>108</v>
      </c>
      <c r="Y494" s="93">
        <f>IF(AD494=0, 0, IF(OR(H494="", H494&lt;&gt;0), 1, 0))</f>
        <v>1</v>
      </c>
      <c r="Z494" s="3">
        <v>0</v>
      </c>
      <c r="AA494" s="3" t="s">
        <v>3235</v>
      </c>
      <c r="AD494" s="6">
        <f>ROUND((AG494*(1+AJ494)),2)</f>
        <v>149.80000000000001</v>
      </c>
      <c r="AE494" s="69">
        <v>170.70674409</v>
      </c>
      <c r="AF494" s="17">
        <f>(AE494*1)</f>
        <v>170.70674409</v>
      </c>
      <c r="AG494" s="6">
        <f>ROUND((AE494*AI494),2)</f>
        <v>110.96</v>
      </c>
      <c r="AH494" s="30" t="s">
        <v>110</v>
      </c>
      <c r="AI494" s="3">
        <v>0.65</v>
      </c>
      <c r="AJ494" s="18">
        <v>0.35</v>
      </c>
      <c r="AK494" s="6">
        <f>ROUND((AD494-(AD494*BG494)),2)</f>
        <v>148.30000000000001</v>
      </c>
      <c r="AL494" s="6">
        <f>ROUND((AD494-(AD494*BH494)),2)</f>
        <v>146.80000000000001</v>
      </c>
      <c r="AM494" s="6">
        <f>ROUND((AD494-(AD494*BI494)),2)</f>
        <v>145.31</v>
      </c>
      <c r="AN494" s="6">
        <f>ROUND((AD494-(AD494*BJ494)),2)</f>
        <v>145.31</v>
      </c>
      <c r="AO494" s="6">
        <f>ROUND((AD494-(AD494*BK494)),2)</f>
        <v>149.80000000000001</v>
      </c>
      <c r="BG494" s="12">
        <v>0.01</v>
      </c>
      <c r="BH494" s="12">
        <v>0.02</v>
      </c>
      <c r="BI494" s="12">
        <v>0.03</v>
      </c>
      <c r="BJ494" s="12">
        <v>0.03</v>
      </c>
      <c r="CC494" s="3" t="str">
        <f>IF(B494&lt;&gt;"",CONCATENATE(SUBSTITUTE(B494," ","-"),".jpg"),"")</f>
        <v>Allied-Moulded-AMU864WF.jpg</v>
      </c>
      <c r="CD494" s="16" t="s">
        <v>111</v>
      </c>
      <c r="CE494" s="3"/>
      <c r="CF494" s="3"/>
      <c r="CG494" s="3" t="s">
        <v>112</v>
      </c>
      <c r="CI494" s="3" t="s">
        <v>97</v>
      </c>
      <c r="CJ494" s="3" t="s">
        <v>467</v>
      </c>
      <c r="CK494" s="3" t="s">
        <v>114</v>
      </c>
      <c r="CL494" s="3" t="s">
        <v>115</v>
      </c>
      <c r="CM494" s="16"/>
      <c r="CN494" s="16" t="s">
        <v>349</v>
      </c>
      <c r="CO494" s="3" t="s">
        <v>118</v>
      </c>
      <c r="CP494" s="3" t="s">
        <v>139</v>
      </c>
      <c r="CQ494" s="3" t="s">
        <v>120</v>
      </c>
      <c r="CR494" s="3" t="s">
        <v>140</v>
      </c>
      <c r="CS494" s="3" t="s">
        <v>384</v>
      </c>
      <c r="CT494" s="16" t="s">
        <v>385</v>
      </c>
      <c r="CU494" s="16" t="s">
        <v>351</v>
      </c>
      <c r="CV494" s="16" t="s">
        <v>657</v>
      </c>
    </row>
    <row r="495" spans="1:100" ht="15" customHeight="1">
      <c r="A495" t="s">
        <v>3236</v>
      </c>
      <c r="B495" s="3" t="s">
        <v>3237</v>
      </c>
      <c r="C495" s="16" t="s">
        <v>97</v>
      </c>
      <c r="D495" s="40" t="s">
        <v>3238</v>
      </c>
      <c r="E495" s="16" t="s">
        <v>97</v>
      </c>
      <c r="F495" s="131" t="s">
        <v>3239</v>
      </c>
      <c r="I495" s="100" t="s">
        <v>342</v>
      </c>
      <c r="J495" s="16" t="s">
        <v>101</v>
      </c>
      <c r="K495" s="16"/>
      <c r="L495" s="3" t="s">
        <v>102</v>
      </c>
      <c r="M495" s="3" t="s">
        <v>103</v>
      </c>
      <c r="N495" s="3" t="s">
        <v>104</v>
      </c>
      <c r="O495" s="16" t="s">
        <v>105</v>
      </c>
      <c r="P495" s="3" t="s">
        <v>3240</v>
      </c>
      <c r="Q495" s="3" t="s">
        <v>3240</v>
      </c>
      <c r="R495" s="3" t="s">
        <v>3240</v>
      </c>
      <c r="S495" t="s">
        <v>3236</v>
      </c>
      <c r="T495" s="130" t="s">
        <v>465</v>
      </c>
      <c r="U495" s="35">
        <v>3</v>
      </c>
      <c r="V495" s="40"/>
      <c r="W495" s="40"/>
      <c r="X495" s="59" t="s">
        <v>108</v>
      </c>
      <c r="Y495" s="93">
        <f>IF(AD495=0, 0, IF(OR(H495="", H495&lt;&gt;0), 1, 0))</f>
        <v>1</v>
      </c>
      <c r="Z495" s="3">
        <v>0</v>
      </c>
      <c r="AA495" s="3" t="s">
        <v>3241</v>
      </c>
      <c r="AD495" s="6">
        <f>ROUND((AG495*(1+AJ495)),2)</f>
        <v>149.80000000000001</v>
      </c>
      <c r="AE495" s="69">
        <v>170.70674409</v>
      </c>
      <c r="AF495" s="17">
        <f>(AE495*1)</f>
        <v>170.70674409</v>
      </c>
      <c r="AG495" s="6">
        <f>ROUND((AE495*AI495),2)</f>
        <v>110.96</v>
      </c>
      <c r="AH495" s="30" t="s">
        <v>110</v>
      </c>
      <c r="AI495" s="3">
        <v>0.65</v>
      </c>
      <c r="AJ495" s="18">
        <v>0.35</v>
      </c>
      <c r="AK495" s="6">
        <f>ROUND((AD495-(AD495*BG495)),2)</f>
        <v>148.30000000000001</v>
      </c>
      <c r="AL495" s="6">
        <f>ROUND((AD495-(AD495*BH495)),2)</f>
        <v>146.80000000000001</v>
      </c>
      <c r="AM495" s="6">
        <f>ROUND((AD495-(AD495*BI495)),2)</f>
        <v>145.31</v>
      </c>
      <c r="AN495" s="6">
        <f>ROUND((AD495-(AD495*BJ495)),2)</f>
        <v>145.31</v>
      </c>
      <c r="AO495" s="6">
        <f>ROUND((AD495-(AD495*BK495)),2)</f>
        <v>149.80000000000001</v>
      </c>
      <c r="BG495" s="12">
        <v>0.01</v>
      </c>
      <c r="BH495" s="12">
        <v>0.02</v>
      </c>
      <c r="BI495" s="12">
        <v>0.03</v>
      </c>
      <c r="BJ495" s="12">
        <v>0.03</v>
      </c>
      <c r="CC495" s="3" t="str">
        <f>IF(B495&lt;&gt;"",CONCATENATE(SUBSTITUTE(B495," ","-"),".jpg"),"")</f>
        <v>Allied-Moulded-AMU864HW.jpg</v>
      </c>
      <c r="CD495" s="16" t="s">
        <v>111</v>
      </c>
      <c r="CE495" s="3"/>
      <c r="CF495" s="3"/>
      <c r="CG495" s="3" t="s">
        <v>112</v>
      </c>
      <c r="CI495" s="3" t="s">
        <v>97</v>
      </c>
      <c r="CJ495" s="3" t="s">
        <v>467</v>
      </c>
      <c r="CK495" s="3" t="s">
        <v>114</v>
      </c>
      <c r="CL495" s="3" t="s">
        <v>115</v>
      </c>
      <c r="CM495" s="3" t="s">
        <v>116</v>
      </c>
      <c r="CN495" s="16" t="s">
        <v>349</v>
      </c>
      <c r="CO495" s="3" t="s">
        <v>118</v>
      </c>
      <c r="CP495" s="3" t="s">
        <v>139</v>
      </c>
      <c r="CQ495" s="3" t="s">
        <v>120</v>
      </c>
      <c r="CR495" s="3" t="s">
        <v>140</v>
      </c>
      <c r="CS495" s="3" t="s">
        <v>384</v>
      </c>
      <c r="CT495" s="16" t="s">
        <v>385</v>
      </c>
      <c r="CU495" s="16" t="s">
        <v>351</v>
      </c>
      <c r="CV495" s="16" t="s">
        <v>657</v>
      </c>
    </row>
    <row r="496" spans="1:100" ht="15" customHeight="1">
      <c r="A496" t="s">
        <v>3242</v>
      </c>
      <c r="B496" s="3" t="s">
        <v>3243</v>
      </c>
      <c r="C496" s="16" t="s">
        <v>97</v>
      </c>
      <c r="D496" s="39" t="s">
        <v>3244</v>
      </c>
      <c r="E496" s="16" t="s">
        <v>97</v>
      </c>
      <c r="F496" s="131" t="s">
        <v>3245</v>
      </c>
      <c r="I496" s="100" t="s">
        <v>342</v>
      </c>
      <c r="J496" s="16" t="s">
        <v>101</v>
      </c>
      <c r="K496" s="16"/>
      <c r="L496" s="3" t="s">
        <v>102</v>
      </c>
      <c r="M496" s="3" t="s">
        <v>103</v>
      </c>
      <c r="N496" s="3" t="s">
        <v>104</v>
      </c>
      <c r="O496" s="16" t="s">
        <v>105</v>
      </c>
      <c r="P496" s="3" t="s">
        <v>3246</v>
      </c>
      <c r="Q496" s="3" t="s">
        <v>3246</v>
      </c>
      <c r="R496" s="3" t="s">
        <v>3246</v>
      </c>
      <c r="S496" t="s">
        <v>3242</v>
      </c>
      <c r="T496" s="130" t="s">
        <v>465</v>
      </c>
      <c r="U496" s="34">
        <v>3</v>
      </c>
      <c r="V496" s="39"/>
      <c r="W496" s="39"/>
      <c r="X496" s="59" t="s">
        <v>108</v>
      </c>
      <c r="Y496" s="93">
        <f>IF(AD496=0, 0, IF(OR(H496="", H496&lt;&gt;0), 1, 0))</f>
        <v>1</v>
      </c>
      <c r="Z496" s="3">
        <v>0</v>
      </c>
      <c r="AA496" s="3" t="s">
        <v>3247</v>
      </c>
      <c r="AD496" s="6">
        <f>ROUND((AG496*(1+AJ496)),2)</f>
        <v>154.02000000000001</v>
      </c>
      <c r="AE496" s="69">
        <v>175.52827400000001</v>
      </c>
      <c r="AF496" s="17">
        <f>(AE496*1)</f>
        <v>175.52827400000001</v>
      </c>
      <c r="AG496" s="6">
        <f>ROUND((AE496*AI496),2)</f>
        <v>114.09</v>
      </c>
      <c r="AH496" s="30" t="s">
        <v>110</v>
      </c>
      <c r="AI496" s="3">
        <v>0.65</v>
      </c>
      <c r="AJ496" s="18">
        <v>0.35</v>
      </c>
      <c r="AK496" s="6">
        <f>ROUND((AD496-(AD496*BG496)),2)</f>
        <v>152.47999999999999</v>
      </c>
      <c r="AL496" s="6">
        <f>ROUND((AD496-(AD496*BH496)),2)</f>
        <v>150.94</v>
      </c>
      <c r="AM496" s="6">
        <f>ROUND((AD496-(AD496*BI496)),2)</f>
        <v>149.4</v>
      </c>
      <c r="AN496" s="6">
        <f>ROUND((AD496-(AD496*BJ496)),2)</f>
        <v>149.4</v>
      </c>
      <c r="AO496" s="6">
        <f>ROUND((AD496-(AD496*BK496)),2)</f>
        <v>154.02000000000001</v>
      </c>
      <c r="BG496" s="12">
        <v>0.01</v>
      </c>
      <c r="BH496" s="12">
        <v>0.02</v>
      </c>
      <c r="BI496" s="12">
        <v>0.03</v>
      </c>
      <c r="BJ496" s="12">
        <v>0.03</v>
      </c>
      <c r="CC496" s="3" t="str">
        <f>IF(B496&lt;&gt;"",CONCATENATE(SUBSTITUTE(B496," ","-"),".jpg"),"")</f>
        <v>Allied-Moulded-AMU864HWF.jpg</v>
      </c>
      <c r="CD496" s="16" t="s">
        <v>111</v>
      </c>
      <c r="CE496" s="3"/>
      <c r="CF496" s="3"/>
      <c r="CG496" s="3" t="s">
        <v>112</v>
      </c>
      <c r="CI496" s="3" t="s">
        <v>97</v>
      </c>
      <c r="CJ496" s="3" t="s">
        <v>467</v>
      </c>
      <c r="CK496" s="3" t="s">
        <v>114</v>
      </c>
      <c r="CL496" s="3" t="s">
        <v>115</v>
      </c>
      <c r="CM496" s="3" t="s">
        <v>116</v>
      </c>
      <c r="CN496" s="16" t="s">
        <v>349</v>
      </c>
      <c r="CO496" s="3" t="s">
        <v>118</v>
      </c>
      <c r="CP496" s="3" t="s">
        <v>139</v>
      </c>
      <c r="CQ496" s="3" t="s">
        <v>120</v>
      </c>
      <c r="CR496" s="3" t="s">
        <v>140</v>
      </c>
      <c r="CS496" s="3" t="s">
        <v>384</v>
      </c>
      <c r="CT496" s="16" t="s">
        <v>385</v>
      </c>
      <c r="CU496" s="16" t="s">
        <v>351</v>
      </c>
      <c r="CV496" s="16" t="s">
        <v>657</v>
      </c>
    </row>
    <row r="497" spans="1:100" ht="15" customHeight="1">
      <c r="A497" t="s">
        <v>3248</v>
      </c>
      <c r="B497" s="3" t="s">
        <v>3249</v>
      </c>
      <c r="C497" s="16" t="s">
        <v>97</v>
      </c>
      <c r="D497" s="39" t="s">
        <v>3250</v>
      </c>
      <c r="E497" s="16" t="s">
        <v>97</v>
      </c>
      <c r="F497" s="131" t="s">
        <v>3251</v>
      </c>
      <c r="I497" s="100" t="s">
        <v>342</v>
      </c>
      <c r="J497" s="16" t="s">
        <v>101</v>
      </c>
      <c r="K497" s="16"/>
      <c r="L497" s="3" t="s">
        <v>102</v>
      </c>
      <c r="M497" s="3" t="s">
        <v>103</v>
      </c>
      <c r="N497" s="3" t="s">
        <v>104</v>
      </c>
      <c r="O497" s="16" t="s">
        <v>105</v>
      </c>
      <c r="P497" s="3" t="s">
        <v>3252</v>
      </c>
      <c r="Q497" s="3" t="s">
        <v>3252</v>
      </c>
      <c r="R497" s="3" t="s">
        <v>3252</v>
      </c>
      <c r="S497" t="s">
        <v>3248</v>
      </c>
      <c r="T497" s="130" t="s">
        <v>465</v>
      </c>
      <c r="U497" s="34">
        <v>3</v>
      </c>
      <c r="V497" s="39"/>
      <c r="W497" s="39"/>
      <c r="X497" s="59" t="s">
        <v>108</v>
      </c>
      <c r="Y497" s="93">
        <f>IF(AD497=0, 0, IF(OR(H497="", H497&lt;&gt;0), 1, 0))</f>
        <v>1</v>
      </c>
      <c r="Z497" s="3">
        <v>0</v>
      </c>
      <c r="AA497" s="3" t="s">
        <v>3253</v>
      </c>
      <c r="AD497" s="6">
        <f>ROUND((AG497*(1+AJ497)),2)</f>
        <v>165.9</v>
      </c>
      <c r="AE497" s="69">
        <v>189.06022757</v>
      </c>
      <c r="AF497" s="17">
        <f>(AE497*1)</f>
        <v>189.06022757</v>
      </c>
      <c r="AG497" s="6">
        <f>ROUND((AE497*AI497),2)</f>
        <v>122.89</v>
      </c>
      <c r="AH497" s="30" t="s">
        <v>110</v>
      </c>
      <c r="AI497" s="3">
        <v>0.65</v>
      </c>
      <c r="AJ497" s="18">
        <v>0.35</v>
      </c>
      <c r="AK497" s="6">
        <f>ROUND((AD497-(AD497*BG497)),2)</f>
        <v>164.24</v>
      </c>
      <c r="AL497" s="6">
        <f>ROUND((AD497-(AD497*BH497)),2)</f>
        <v>162.58000000000001</v>
      </c>
      <c r="AM497" s="6">
        <f>ROUND((AD497-(AD497*BI497)),2)</f>
        <v>160.91999999999999</v>
      </c>
      <c r="AN497" s="6">
        <f>ROUND((AD497-(AD497*BJ497)),2)</f>
        <v>160.91999999999999</v>
      </c>
      <c r="AO497" s="6">
        <f>ROUND((AD497-(AD497*BK497)),2)</f>
        <v>165.9</v>
      </c>
      <c r="BG497" s="12">
        <v>0.01</v>
      </c>
      <c r="BH497" s="12">
        <v>0.02</v>
      </c>
      <c r="BI497" s="12">
        <v>0.03</v>
      </c>
      <c r="BJ497" s="12">
        <v>0.03</v>
      </c>
      <c r="CC497" s="3" t="str">
        <f>IF(B497&lt;&gt;"",CONCATENATE(SUBSTITUTE(B497," ","-"),".jpg"),"")</f>
        <v>Allied-Moulded-AMU864LW.jpg</v>
      </c>
      <c r="CD497" s="16" t="s">
        <v>111</v>
      </c>
      <c r="CE497" s="3"/>
      <c r="CF497" s="3"/>
      <c r="CG497" s="3" t="s">
        <v>112</v>
      </c>
      <c r="CI497" s="3" t="s">
        <v>97</v>
      </c>
      <c r="CJ497" s="3" t="s">
        <v>467</v>
      </c>
      <c r="CK497" s="3" t="s">
        <v>114</v>
      </c>
      <c r="CL497" s="3" t="s">
        <v>115</v>
      </c>
      <c r="CM497" s="3" t="s">
        <v>116</v>
      </c>
      <c r="CN497" t="s">
        <v>117</v>
      </c>
      <c r="CO497" s="3" t="s">
        <v>118</v>
      </c>
      <c r="CP497" s="3" t="s">
        <v>139</v>
      </c>
      <c r="CQ497" s="3" t="s">
        <v>120</v>
      </c>
      <c r="CR497" s="3" t="s">
        <v>140</v>
      </c>
      <c r="CS497" s="16" t="s">
        <v>122</v>
      </c>
      <c r="CT497" s="16" t="s">
        <v>385</v>
      </c>
      <c r="CU497" s="16" t="s">
        <v>351</v>
      </c>
      <c r="CV497" s="16" t="s">
        <v>657</v>
      </c>
    </row>
    <row r="498" spans="1:100" ht="15" customHeight="1">
      <c r="A498" t="s">
        <v>3254</v>
      </c>
      <c r="B498" s="3" t="s">
        <v>3255</v>
      </c>
      <c r="C498" s="16" t="s">
        <v>97</v>
      </c>
      <c r="D498" s="40" t="s">
        <v>3256</v>
      </c>
      <c r="E498" s="16" t="s">
        <v>97</v>
      </c>
      <c r="F498" s="131" t="s">
        <v>3257</v>
      </c>
      <c r="I498" s="100" t="s">
        <v>342</v>
      </c>
      <c r="J498" s="16" t="s">
        <v>101</v>
      </c>
      <c r="K498" s="16"/>
      <c r="L498" s="3" t="s">
        <v>102</v>
      </c>
      <c r="M498" s="3" t="s">
        <v>103</v>
      </c>
      <c r="N498" s="3" t="s">
        <v>104</v>
      </c>
      <c r="O498" s="16" t="s">
        <v>105</v>
      </c>
      <c r="P498" s="3" t="s">
        <v>3258</v>
      </c>
      <c r="Q498" s="3" t="s">
        <v>3258</v>
      </c>
      <c r="R498" s="3" t="s">
        <v>3258</v>
      </c>
      <c r="S498" t="s">
        <v>3254</v>
      </c>
      <c r="T498" s="130" t="s">
        <v>465</v>
      </c>
      <c r="U498" s="35">
        <v>3</v>
      </c>
      <c r="V498" s="40"/>
      <c r="W498" s="40"/>
      <c r="X498" s="59" t="s">
        <v>108</v>
      </c>
      <c r="Y498" s="93">
        <f>IF(AD498=0, 0, IF(OR(H498="", H498&lt;&gt;0), 1, 0))</f>
        <v>1</v>
      </c>
      <c r="Z498" s="3">
        <v>0</v>
      </c>
      <c r="AA498" s="3" t="s">
        <v>3259</v>
      </c>
      <c r="AD498" s="6">
        <f>ROUND((AG498*(1+AJ498)),2)</f>
        <v>170.41</v>
      </c>
      <c r="AE498" s="69">
        <v>194.19849896000002</v>
      </c>
      <c r="AF498" s="17">
        <f>(AE498*1)</f>
        <v>194.19849896000002</v>
      </c>
      <c r="AG498" s="6">
        <f>ROUND((AE498*AI498),2)</f>
        <v>126.23</v>
      </c>
      <c r="AH498" s="30" t="s">
        <v>110</v>
      </c>
      <c r="AI498" s="3">
        <v>0.65</v>
      </c>
      <c r="AJ498" s="18">
        <v>0.35</v>
      </c>
      <c r="AK498" s="6">
        <f>ROUND((AD498-(AD498*BG498)),2)</f>
        <v>168.71</v>
      </c>
      <c r="AL498" s="6">
        <f>ROUND((AD498-(AD498*BH498)),2)</f>
        <v>167</v>
      </c>
      <c r="AM498" s="6">
        <f>ROUND((AD498-(AD498*BI498)),2)</f>
        <v>165.3</v>
      </c>
      <c r="AN498" s="6">
        <f>ROUND((AD498-(AD498*BJ498)),2)</f>
        <v>165.3</v>
      </c>
      <c r="AO498" s="6">
        <f>ROUND((AD498-(AD498*BK498)),2)</f>
        <v>170.41</v>
      </c>
      <c r="BG498" s="12">
        <v>0.01</v>
      </c>
      <c r="BH498" s="12">
        <v>0.02</v>
      </c>
      <c r="BI498" s="12">
        <v>0.03</v>
      </c>
      <c r="BJ498" s="12">
        <v>0.03</v>
      </c>
      <c r="CC498" s="3" t="str">
        <f>IF(B498&lt;&gt;"",CONCATENATE(SUBSTITUTE(B498," ","-"),".jpg"),"")</f>
        <v>Allied-Moulded-AMU864LWF.jpg</v>
      </c>
      <c r="CD498" s="16" t="s">
        <v>111</v>
      </c>
      <c r="CE498" s="3"/>
      <c r="CF498" s="3"/>
      <c r="CG498" s="3" t="s">
        <v>112</v>
      </c>
      <c r="CI498" s="3" t="s">
        <v>97</v>
      </c>
      <c r="CJ498" s="3" t="s">
        <v>467</v>
      </c>
      <c r="CK498" s="3" t="s">
        <v>114</v>
      </c>
      <c r="CL498" s="3" t="s">
        <v>115</v>
      </c>
      <c r="CM498" s="3" t="s">
        <v>116</v>
      </c>
      <c r="CN498" t="s">
        <v>117</v>
      </c>
      <c r="CO498" s="3" t="s">
        <v>118</v>
      </c>
      <c r="CP498" s="3" t="s">
        <v>139</v>
      </c>
      <c r="CQ498" s="3" t="s">
        <v>120</v>
      </c>
      <c r="CR498" s="3" t="s">
        <v>140</v>
      </c>
      <c r="CS498" s="16" t="s">
        <v>122</v>
      </c>
      <c r="CT498" s="16" t="s">
        <v>385</v>
      </c>
      <c r="CU498" s="16" t="s">
        <v>351</v>
      </c>
      <c r="CV498" s="16" t="s">
        <v>657</v>
      </c>
    </row>
    <row r="499" spans="1:100" ht="15" customHeight="1">
      <c r="A499" t="s">
        <v>3260</v>
      </c>
      <c r="B499" s="3" t="s">
        <v>3261</v>
      </c>
      <c r="C499" s="16" t="s">
        <v>97</v>
      </c>
      <c r="D499" s="38" t="s">
        <v>3262</v>
      </c>
      <c r="E499" s="16" t="s">
        <v>97</v>
      </c>
      <c r="F499" s="131" t="s">
        <v>3263</v>
      </c>
      <c r="I499" s="100" t="s">
        <v>342</v>
      </c>
      <c r="J499" s="16" t="s">
        <v>101</v>
      </c>
      <c r="K499" s="16"/>
      <c r="L499" s="3" t="s">
        <v>102</v>
      </c>
      <c r="M499" s="3" t="s">
        <v>103</v>
      </c>
      <c r="N499" s="3" t="s">
        <v>104</v>
      </c>
      <c r="O499" s="16" t="s">
        <v>105</v>
      </c>
      <c r="P499" s="3" t="s">
        <v>3264</v>
      </c>
      <c r="Q499" s="3" t="s">
        <v>3264</v>
      </c>
      <c r="R499" s="3" t="s">
        <v>3264</v>
      </c>
      <c r="S499" t="s">
        <v>3260</v>
      </c>
      <c r="T499" s="130" t="s">
        <v>465</v>
      </c>
      <c r="U499" s="33">
        <v>3</v>
      </c>
      <c r="V499" s="40"/>
      <c r="W499" s="40"/>
      <c r="X499" s="59" t="s">
        <v>108</v>
      </c>
      <c r="Y499" s="93">
        <f>IF(AD499=0, 0, IF(OR(H499="", H499&lt;&gt;0), 1, 0))</f>
        <v>1</v>
      </c>
      <c r="Z499" s="3">
        <v>0</v>
      </c>
      <c r="AA499" s="3" t="s">
        <v>3265</v>
      </c>
      <c r="AD499" s="6">
        <f>ROUND((AG499*(1+AJ499)),2)</f>
        <v>157.61000000000001</v>
      </c>
      <c r="AE499" s="68">
        <v>179.61073564999995</v>
      </c>
      <c r="AF499" s="17">
        <f>(AE499*1)</f>
        <v>179.61073564999995</v>
      </c>
      <c r="AG499" s="6">
        <f>ROUND((AE499*AI499),2)</f>
        <v>116.75</v>
      </c>
      <c r="AH499" s="30" t="s">
        <v>110</v>
      </c>
      <c r="AI499" s="3">
        <v>0.65</v>
      </c>
      <c r="AJ499" s="18">
        <v>0.35</v>
      </c>
      <c r="AK499" s="6">
        <f>ROUND((AD499-(AD499*BG499)),2)</f>
        <v>156.03</v>
      </c>
      <c r="AL499" s="6">
        <f>ROUND((AD499-(AD499*BH499)),2)</f>
        <v>154.46</v>
      </c>
      <c r="AM499" s="6">
        <f>ROUND((AD499-(AD499*BI499)),2)</f>
        <v>152.88</v>
      </c>
      <c r="AN499" s="6">
        <f>ROUND((AD499-(AD499*BJ499)),2)</f>
        <v>152.88</v>
      </c>
      <c r="AO499" s="6">
        <f>ROUND((AD499-(AD499*BK499)),2)</f>
        <v>157.61000000000001</v>
      </c>
      <c r="BG499" s="12">
        <v>0.01</v>
      </c>
      <c r="BH499" s="12">
        <v>0.02</v>
      </c>
      <c r="BI499" s="12">
        <v>0.03</v>
      </c>
      <c r="BJ499" s="12">
        <v>0.03</v>
      </c>
      <c r="CC499" s="3" t="str">
        <f>IF(B499&lt;&gt;"",CONCATENATE(SUBSTITUTE(B499," ","-"),".jpg"),"")</f>
        <v>Allied-Moulded-AMU864NLW.jpg</v>
      </c>
      <c r="CD499" s="16" t="s">
        <v>111</v>
      </c>
      <c r="CE499" s="3"/>
      <c r="CF499" s="3"/>
      <c r="CG499" s="3" t="s">
        <v>112</v>
      </c>
      <c r="CI499" s="3" t="s">
        <v>97</v>
      </c>
      <c r="CJ499" s="3" t="s">
        <v>467</v>
      </c>
      <c r="CK499" s="3" t="s">
        <v>114</v>
      </c>
      <c r="CL499" s="3" t="s">
        <v>115</v>
      </c>
      <c r="CM499" s="3" t="s">
        <v>116</v>
      </c>
      <c r="CN499" t="s">
        <v>117</v>
      </c>
      <c r="CO499" s="3" t="s">
        <v>118</v>
      </c>
      <c r="CP499" s="3" t="s">
        <v>139</v>
      </c>
      <c r="CQ499" s="3" t="s">
        <v>120</v>
      </c>
      <c r="CR499" s="16" t="s">
        <v>121</v>
      </c>
      <c r="CS499" s="16" t="s">
        <v>122</v>
      </c>
      <c r="CT499" s="16" t="s">
        <v>385</v>
      </c>
      <c r="CU499" s="16" t="s">
        <v>351</v>
      </c>
      <c r="CV499" s="16" t="s">
        <v>657</v>
      </c>
    </row>
    <row r="500" spans="1:100" ht="15" customHeight="1">
      <c r="A500" t="s">
        <v>3266</v>
      </c>
      <c r="B500" s="3" t="s">
        <v>3267</v>
      </c>
      <c r="C500" s="16" t="s">
        <v>97</v>
      </c>
      <c r="D500" s="39" t="s">
        <v>3268</v>
      </c>
      <c r="E500" s="16" t="s">
        <v>97</v>
      </c>
      <c r="F500" s="131" t="s">
        <v>3269</v>
      </c>
      <c r="I500" s="100" t="s">
        <v>342</v>
      </c>
      <c r="J500" s="16" t="s">
        <v>101</v>
      </c>
      <c r="K500" s="16"/>
      <c r="L500" s="3" t="s">
        <v>102</v>
      </c>
      <c r="M500" s="3" t="s">
        <v>103</v>
      </c>
      <c r="N500" s="3" t="s">
        <v>104</v>
      </c>
      <c r="O500" s="16" t="s">
        <v>105</v>
      </c>
      <c r="P500" s="3" t="s">
        <v>3270</v>
      </c>
      <c r="Q500" s="3" t="s">
        <v>3270</v>
      </c>
      <c r="R500" s="3" t="s">
        <v>3270</v>
      </c>
      <c r="S500" t="s">
        <v>3266</v>
      </c>
      <c r="T500" s="130" t="s">
        <v>465</v>
      </c>
      <c r="U500" s="34">
        <v>3</v>
      </c>
      <c r="V500" s="39"/>
      <c r="W500" s="39"/>
      <c r="X500" s="59" t="s">
        <v>108</v>
      </c>
      <c r="Y500" s="93">
        <f>IF(AD500=0, 0, IF(OR(H500="", H500&lt;&gt;0), 1, 0))</f>
        <v>1</v>
      </c>
      <c r="Z500" s="3">
        <v>0</v>
      </c>
      <c r="AA500" s="3" t="s">
        <v>3271</v>
      </c>
      <c r="AD500" s="6">
        <f>ROUND((AG500*(1+AJ500)),2)</f>
        <v>161.91999999999999</v>
      </c>
      <c r="AE500" s="69">
        <v>184.52024815999997</v>
      </c>
      <c r="AF500" s="17">
        <f>(AE500*1)</f>
        <v>184.52024815999997</v>
      </c>
      <c r="AG500" s="6">
        <f>ROUND((AE500*AI500),2)</f>
        <v>119.94</v>
      </c>
      <c r="AH500" s="30" t="s">
        <v>110</v>
      </c>
      <c r="AI500" s="3">
        <v>0.65</v>
      </c>
      <c r="AJ500" s="18">
        <v>0.35</v>
      </c>
      <c r="AK500" s="6">
        <f>ROUND((AD500-(AD500*BG500)),2)</f>
        <v>160.30000000000001</v>
      </c>
      <c r="AL500" s="6">
        <f>ROUND((AD500-(AD500*BH500)),2)</f>
        <v>158.68</v>
      </c>
      <c r="AM500" s="6">
        <f>ROUND((AD500-(AD500*BI500)),2)</f>
        <v>157.06</v>
      </c>
      <c r="AN500" s="6">
        <f>ROUND((AD500-(AD500*BJ500)),2)</f>
        <v>157.06</v>
      </c>
      <c r="AO500" s="6">
        <f>ROUND((AD500-(AD500*BK500)),2)</f>
        <v>161.91999999999999</v>
      </c>
      <c r="BG500" s="12">
        <v>0.01</v>
      </c>
      <c r="BH500" s="12">
        <v>0.02</v>
      </c>
      <c r="BI500" s="12">
        <v>0.03</v>
      </c>
      <c r="BJ500" s="12">
        <v>0.03</v>
      </c>
      <c r="CC500" s="3" t="str">
        <f>IF(B500&lt;&gt;"",CONCATENATE(SUBSTITUTE(B500," ","-"),".jpg"),"")</f>
        <v>Allied-Moulded-AMU864NLWF.jpg</v>
      </c>
      <c r="CD500" s="16" t="s">
        <v>111</v>
      </c>
      <c r="CE500" s="3"/>
      <c r="CF500" s="3"/>
      <c r="CG500" s="3" t="s">
        <v>112</v>
      </c>
      <c r="CI500" s="3" t="s">
        <v>97</v>
      </c>
      <c r="CJ500" s="3" t="s">
        <v>467</v>
      </c>
      <c r="CK500" s="3" t="s">
        <v>114</v>
      </c>
      <c r="CL500" s="3" t="s">
        <v>115</v>
      </c>
      <c r="CM500" s="3" t="s">
        <v>116</v>
      </c>
      <c r="CN500" t="s">
        <v>117</v>
      </c>
      <c r="CO500" s="3" t="s">
        <v>118</v>
      </c>
      <c r="CP500" s="3" t="s">
        <v>139</v>
      </c>
      <c r="CQ500" s="3" t="s">
        <v>120</v>
      </c>
      <c r="CR500" s="16" t="s">
        <v>121</v>
      </c>
      <c r="CS500" s="16" t="s">
        <v>122</v>
      </c>
      <c r="CT500" s="16" t="s">
        <v>385</v>
      </c>
      <c r="CU500" s="16" t="s">
        <v>351</v>
      </c>
      <c r="CV500" s="16" t="s">
        <v>657</v>
      </c>
    </row>
    <row r="501" spans="1:100" ht="15" customHeight="1">
      <c r="A501" t="s">
        <v>3272</v>
      </c>
      <c r="B501" s="3" t="s">
        <v>3273</v>
      </c>
      <c r="C501" s="16" t="s">
        <v>97</v>
      </c>
      <c r="D501" s="39" t="s">
        <v>3274</v>
      </c>
      <c r="E501" s="16" t="s">
        <v>97</v>
      </c>
      <c r="F501" s="131" t="s">
        <v>3275</v>
      </c>
      <c r="I501" s="100" t="s">
        <v>342</v>
      </c>
      <c r="J501" s="16" t="s">
        <v>101</v>
      </c>
      <c r="K501" s="16"/>
      <c r="L501" s="3" t="s">
        <v>102</v>
      </c>
      <c r="M501" s="3" t="s">
        <v>103</v>
      </c>
      <c r="N501" s="3" t="s">
        <v>104</v>
      </c>
      <c r="O501" s="16" t="s">
        <v>105</v>
      </c>
      <c r="P501" s="3" t="s">
        <v>3276</v>
      </c>
      <c r="Q501" s="3" t="s">
        <v>3276</v>
      </c>
      <c r="R501" s="3" t="s">
        <v>3276</v>
      </c>
      <c r="S501" t="s">
        <v>3272</v>
      </c>
      <c r="T501" s="130" t="s">
        <v>465</v>
      </c>
      <c r="U501" s="34">
        <v>3</v>
      </c>
      <c r="V501" s="39"/>
      <c r="W501" s="39"/>
      <c r="X501" s="59" t="s">
        <v>108</v>
      </c>
      <c r="Y501" s="93">
        <f>IF(AD501=0, 0, IF(OR(H501="", H501&lt;&gt;0), 1, 0))</f>
        <v>1</v>
      </c>
      <c r="Z501" s="3">
        <v>0</v>
      </c>
      <c r="AA501" s="3" t="s">
        <v>3277</v>
      </c>
      <c r="AD501" s="6">
        <f>ROUND((AG501*(1+AJ501)),2)</f>
        <v>165.9</v>
      </c>
      <c r="AE501" s="69">
        <v>189.06022757</v>
      </c>
      <c r="AF501" s="17">
        <f>(AE501*1)</f>
        <v>189.06022757</v>
      </c>
      <c r="AG501" s="6">
        <f>ROUND((AE501*AI501),2)</f>
        <v>122.89</v>
      </c>
      <c r="AH501" s="30" t="s">
        <v>110</v>
      </c>
      <c r="AI501" s="3">
        <v>0.65</v>
      </c>
      <c r="AJ501" s="18">
        <v>0.35</v>
      </c>
      <c r="AK501" s="6">
        <f>ROUND((AD501-(AD501*BG501)),2)</f>
        <v>164.24</v>
      </c>
      <c r="AL501" s="6">
        <f>ROUND((AD501-(AD501*BH501)),2)</f>
        <v>162.58000000000001</v>
      </c>
      <c r="AM501" s="6">
        <f>ROUND((AD501-(AD501*BI501)),2)</f>
        <v>160.91999999999999</v>
      </c>
      <c r="AN501" s="6">
        <f>ROUND((AD501-(AD501*BJ501)),2)</f>
        <v>160.91999999999999</v>
      </c>
      <c r="AO501" s="6">
        <f>ROUND((AD501-(AD501*BK501)),2)</f>
        <v>165.9</v>
      </c>
      <c r="BG501" s="12">
        <v>0.01</v>
      </c>
      <c r="BH501" s="12">
        <v>0.02</v>
      </c>
      <c r="BI501" s="12">
        <v>0.03</v>
      </c>
      <c r="BJ501" s="12">
        <v>0.03</v>
      </c>
      <c r="CC501" s="3" t="str">
        <f>IF(B501&lt;&gt;"",CONCATENATE(SUBSTITUTE(B501," ","-"),".jpg"),"")</f>
        <v>Allied-Moulded-AMU864TW.jpg</v>
      </c>
      <c r="CD501" s="16" t="s">
        <v>111</v>
      </c>
      <c r="CE501" s="3"/>
      <c r="CF501" s="3"/>
      <c r="CG501" s="3" t="s">
        <v>112</v>
      </c>
      <c r="CI501" s="3" t="s">
        <v>97</v>
      </c>
      <c r="CJ501" s="3" t="s">
        <v>467</v>
      </c>
      <c r="CK501" s="3" t="s">
        <v>114</v>
      </c>
      <c r="CL501" s="3" t="s">
        <v>115</v>
      </c>
      <c r="CM501" s="3" t="s">
        <v>116</v>
      </c>
      <c r="CN501" s="16" t="s">
        <v>132</v>
      </c>
      <c r="CO501" s="3" t="s">
        <v>118</v>
      </c>
      <c r="CP501" s="3" t="s">
        <v>139</v>
      </c>
      <c r="CQ501" s="3" t="s">
        <v>120</v>
      </c>
      <c r="CR501" s="16" t="s">
        <v>121</v>
      </c>
      <c r="CS501" s="16" t="s">
        <v>122</v>
      </c>
      <c r="CT501" s="16" t="s">
        <v>385</v>
      </c>
      <c r="CU501" s="16" t="s">
        <v>351</v>
      </c>
      <c r="CV501" s="16" t="s">
        <v>657</v>
      </c>
    </row>
    <row r="502" spans="1:100" ht="15" customHeight="1">
      <c r="A502" t="s">
        <v>3278</v>
      </c>
      <c r="B502" s="3" t="s">
        <v>3279</v>
      </c>
      <c r="C502" s="16" t="s">
        <v>97</v>
      </c>
      <c r="D502" s="40" t="s">
        <v>3280</v>
      </c>
      <c r="E502" s="16" t="s">
        <v>97</v>
      </c>
      <c r="F502" s="131" t="s">
        <v>3281</v>
      </c>
      <c r="I502" s="100" t="s">
        <v>342</v>
      </c>
      <c r="J502" s="16" t="s">
        <v>101</v>
      </c>
      <c r="K502" s="16"/>
      <c r="L502" s="3" t="s">
        <v>102</v>
      </c>
      <c r="M502" s="3" t="s">
        <v>103</v>
      </c>
      <c r="N502" s="3" t="s">
        <v>104</v>
      </c>
      <c r="O502" s="16" t="s">
        <v>105</v>
      </c>
      <c r="P502" s="3" t="s">
        <v>3282</v>
      </c>
      <c r="Q502" s="3" t="s">
        <v>3282</v>
      </c>
      <c r="R502" s="3" t="s">
        <v>3282</v>
      </c>
      <c r="S502" t="s">
        <v>3278</v>
      </c>
      <c r="T502" s="130" t="s">
        <v>465</v>
      </c>
      <c r="U502" s="35">
        <v>3</v>
      </c>
      <c r="V502" s="40"/>
      <c r="W502" s="40"/>
      <c r="X502" s="59" t="s">
        <v>108</v>
      </c>
      <c r="Y502" s="93">
        <f>IF(AD502=0, 0, IF(OR(H502="", H502&lt;&gt;0), 1, 0))</f>
        <v>1</v>
      </c>
      <c r="Z502" s="3">
        <v>0</v>
      </c>
      <c r="AA502" s="3" t="s">
        <v>3283</v>
      </c>
      <c r="AD502" s="6">
        <f>ROUND((AG502*(1+AJ502)),2)</f>
        <v>170.41</v>
      </c>
      <c r="AE502" s="69">
        <v>194.19849896000002</v>
      </c>
      <c r="AF502" s="17">
        <f>(AE502*1)</f>
        <v>194.19849896000002</v>
      </c>
      <c r="AG502" s="6">
        <f>ROUND((AE502*AI502),2)</f>
        <v>126.23</v>
      </c>
      <c r="AH502" s="30" t="s">
        <v>110</v>
      </c>
      <c r="AI502" s="3">
        <v>0.65</v>
      </c>
      <c r="AJ502" s="18">
        <v>0.35</v>
      </c>
      <c r="AK502" s="6">
        <f>ROUND((AD502-(AD502*BG502)),2)</f>
        <v>168.71</v>
      </c>
      <c r="AL502" s="6">
        <f>ROUND((AD502-(AD502*BH502)),2)</f>
        <v>167</v>
      </c>
      <c r="AM502" s="6">
        <f>ROUND((AD502-(AD502*BI502)),2)</f>
        <v>165.3</v>
      </c>
      <c r="AN502" s="6">
        <f>ROUND((AD502-(AD502*BJ502)),2)</f>
        <v>165.3</v>
      </c>
      <c r="AO502" s="6">
        <f>ROUND((AD502-(AD502*BK502)),2)</f>
        <v>170.41</v>
      </c>
      <c r="BG502" s="12">
        <v>0.01</v>
      </c>
      <c r="BH502" s="12">
        <v>0.02</v>
      </c>
      <c r="BI502" s="12">
        <v>0.03</v>
      </c>
      <c r="BJ502" s="12">
        <v>0.03</v>
      </c>
      <c r="CC502" s="3" t="str">
        <f>IF(B502&lt;&gt;"",CONCATENATE(SUBSTITUTE(B502," ","-"),".jpg"),"")</f>
        <v>Allied-Moulded-AMU864TWF.jpg</v>
      </c>
      <c r="CD502" s="16" t="s">
        <v>111</v>
      </c>
      <c r="CE502" s="3"/>
      <c r="CF502" s="3"/>
      <c r="CG502" s="3" t="s">
        <v>112</v>
      </c>
      <c r="CI502" s="3" t="s">
        <v>97</v>
      </c>
      <c r="CJ502" s="3" t="s">
        <v>467</v>
      </c>
      <c r="CK502" s="3" t="s">
        <v>114</v>
      </c>
      <c r="CL502" s="3" t="s">
        <v>115</v>
      </c>
      <c r="CM502" s="3" t="s">
        <v>116</v>
      </c>
      <c r="CN502" s="16" t="s">
        <v>132</v>
      </c>
      <c r="CO502" s="3" t="s">
        <v>118</v>
      </c>
      <c r="CP502" s="3" t="s">
        <v>139</v>
      </c>
      <c r="CQ502" s="3" t="s">
        <v>120</v>
      </c>
      <c r="CR502" s="16" t="s">
        <v>121</v>
      </c>
      <c r="CS502" s="16" t="s">
        <v>122</v>
      </c>
      <c r="CT502" s="16" t="s">
        <v>385</v>
      </c>
      <c r="CU502" s="16" t="s">
        <v>351</v>
      </c>
      <c r="CV502" s="16" t="s">
        <v>657</v>
      </c>
    </row>
    <row r="503" spans="1:100" ht="15" customHeight="1">
      <c r="A503" t="s">
        <v>3284</v>
      </c>
      <c r="B503" s="3" t="s">
        <v>3285</v>
      </c>
      <c r="C503" s="16" t="s">
        <v>97</v>
      </c>
      <c r="D503" s="40" t="s">
        <v>3286</v>
      </c>
      <c r="E503" s="16" t="s">
        <v>97</v>
      </c>
      <c r="F503" s="131" t="s">
        <v>3287</v>
      </c>
      <c r="I503" s="100" t="s">
        <v>342</v>
      </c>
      <c r="J503" s="16" t="s">
        <v>101</v>
      </c>
      <c r="K503" s="16"/>
      <c r="L503" s="3" t="s">
        <v>102</v>
      </c>
      <c r="M503" s="3" t="s">
        <v>103</v>
      </c>
      <c r="N503" s="3" t="s">
        <v>104</v>
      </c>
      <c r="O503" s="16" t="s">
        <v>105</v>
      </c>
      <c r="P503" s="3" t="s">
        <v>3288</v>
      </c>
      <c r="Q503" s="3" t="s">
        <v>3288</v>
      </c>
      <c r="R503" s="3" t="s">
        <v>3288</v>
      </c>
      <c r="S503" t="s">
        <v>3284</v>
      </c>
      <c r="T503" s="130" t="s">
        <v>465</v>
      </c>
      <c r="U503" s="35">
        <v>3</v>
      </c>
      <c r="V503" s="40"/>
      <c r="W503" s="40"/>
      <c r="X503" s="59" t="s">
        <v>108</v>
      </c>
      <c r="Y503" s="93">
        <f>IF(AD503=0, 0, IF(OR(H503="", H503&lt;&gt;0), 1, 0))</f>
        <v>1</v>
      </c>
      <c r="Z503" s="3">
        <v>0</v>
      </c>
      <c r="AA503" s="3" t="s">
        <v>3289</v>
      </c>
      <c r="AD503" s="6">
        <f>ROUND((AG503*(1+AJ503)),2)</f>
        <v>96.43</v>
      </c>
      <c r="AE503" s="69">
        <v>109.88615873000001</v>
      </c>
      <c r="AF503" s="17">
        <f>(AE503*1)</f>
        <v>109.88615873000001</v>
      </c>
      <c r="AG503" s="6">
        <f>ROUND((AE503*AI503),2)</f>
        <v>71.430000000000007</v>
      </c>
      <c r="AH503" s="30" t="s">
        <v>110</v>
      </c>
      <c r="AI503" s="3">
        <v>0.65</v>
      </c>
      <c r="AJ503" s="18">
        <v>0.35</v>
      </c>
      <c r="AK503" s="6">
        <f>ROUND((AD503-(AD503*BG503)),2)</f>
        <v>95.47</v>
      </c>
      <c r="AL503" s="6">
        <f>ROUND((AD503-(AD503*BH503)),2)</f>
        <v>94.5</v>
      </c>
      <c r="AM503" s="6">
        <f>ROUND((AD503-(AD503*BI503)),2)</f>
        <v>93.54</v>
      </c>
      <c r="AN503" s="6">
        <f>ROUND((AD503-(AD503*BJ503)),2)</f>
        <v>93.54</v>
      </c>
      <c r="AO503" s="6">
        <f>ROUND((AD503-(AD503*BK503)),2)</f>
        <v>96.43</v>
      </c>
      <c r="BG503" s="12">
        <v>0.01</v>
      </c>
      <c r="BH503" s="12">
        <v>0.02</v>
      </c>
      <c r="BI503" s="12">
        <v>0.03</v>
      </c>
      <c r="BJ503" s="12">
        <v>0.03</v>
      </c>
      <c r="CC503" s="3" t="str">
        <f>IF(B503&lt;&gt;"",CONCATENATE(SUBSTITUTE(B503," ","-"),".jpg"),"")</f>
        <v>Allied-Moulded-AMU864CC.jpg</v>
      </c>
      <c r="CD503" s="16" t="s">
        <v>111</v>
      </c>
      <c r="CE503" s="3"/>
      <c r="CF503" s="3"/>
      <c r="CG503" s="3" t="s">
        <v>112</v>
      </c>
      <c r="CI503" s="3" t="s">
        <v>97</v>
      </c>
      <c r="CJ503" s="3" t="s">
        <v>467</v>
      </c>
      <c r="CK503" s="3" t="s">
        <v>114</v>
      </c>
      <c r="CL503" s="3" t="s">
        <v>115</v>
      </c>
      <c r="CM503" s="16"/>
      <c r="CN503" s="16" t="s">
        <v>349</v>
      </c>
      <c r="CO503" s="3" t="s">
        <v>118</v>
      </c>
      <c r="CP503" s="3" t="s">
        <v>139</v>
      </c>
      <c r="CQ503" s="3" t="s">
        <v>120</v>
      </c>
      <c r="CR503" s="16" t="s">
        <v>121</v>
      </c>
      <c r="CS503" s="3" t="s">
        <v>384</v>
      </c>
      <c r="CT503" s="16" t="s">
        <v>385</v>
      </c>
      <c r="CU503" s="16" t="s">
        <v>351</v>
      </c>
      <c r="CV503" s="16" t="s">
        <v>657</v>
      </c>
    </row>
    <row r="504" spans="1:100" ht="15" customHeight="1">
      <c r="A504" t="s">
        <v>3290</v>
      </c>
      <c r="B504" s="3" t="s">
        <v>3291</v>
      </c>
      <c r="C504" s="16" t="s">
        <v>97</v>
      </c>
      <c r="D504" s="39" t="s">
        <v>3292</v>
      </c>
      <c r="E504" s="16" t="s">
        <v>97</v>
      </c>
      <c r="F504" s="131" t="s">
        <v>3293</v>
      </c>
      <c r="I504" s="100" t="s">
        <v>342</v>
      </c>
      <c r="J504" s="16" t="s">
        <v>101</v>
      </c>
      <c r="K504" s="16"/>
      <c r="L504" s="3" t="s">
        <v>102</v>
      </c>
      <c r="M504" s="3" t="s">
        <v>103</v>
      </c>
      <c r="N504" s="3" t="s">
        <v>104</v>
      </c>
      <c r="O504" s="16" t="s">
        <v>105</v>
      </c>
      <c r="P504" s="3" t="s">
        <v>3294</v>
      </c>
      <c r="Q504" s="3" t="s">
        <v>3294</v>
      </c>
      <c r="R504" s="3" t="s">
        <v>3294</v>
      </c>
      <c r="S504" t="s">
        <v>3290</v>
      </c>
      <c r="T504" s="130" t="s">
        <v>465</v>
      </c>
      <c r="U504" s="34">
        <v>3</v>
      </c>
      <c r="V504" s="39"/>
      <c r="W504" s="39"/>
      <c r="X504" s="59" t="s">
        <v>108</v>
      </c>
      <c r="Y504" s="93">
        <f>IF(AD504=0, 0, IF(OR(H504="", H504&lt;&gt;0), 1, 0))</f>
        <v>1</v>
      </c>
      <c r="Z504" s="3">
        <v>0</v>
      </c>
      <c r="AA504" s="3" t="s">
        <v>3295</v>
      </c>
      <c r="AD504" s="6">
        <f>ROUND((AG504*(1+AJ504)),2)</f>
        <v>98.55</v>
      </c>
      <c r="AE504" s="69">
        <v>112.312127</v>
      </c>
      <c r="AF504" s="17">
        <f>(AE504*1)</f>
        <v>112.312127</v>
      </c>
      <c r="AG504" s="6">
        <f>ROUND((AE504*AI504),2)</f>
        <v>73</v>
      </c>
      <c r="AH504" s="30" t="s">
        <v>110</v>
      </c>
      <c r="AI504" s="3">
        <v>0.65</v>
      </c>
      <c r="AJ504" s="18">
        <v>0.35</v>
      </c>
      <c r="AK504" s="6">
        <f>ROUND((AD504-(AD504*BG504)),2)</f>
        <v>97.56</v>
      </c>
      <c r="AL504" s="6">
        <f>ROUND((AD504-(AD504*BH504)),2)</f>
        <v>96.58</v>
      </c>
      <c r="AM504" s="6">
        <f>ROUND((AD504-(AD504*BI504)),2)</f>
        <v>95.59</v>
      </c>
      <c r="AN504" s="6">
        <f>ROUND((AD504-(AD504*BJ504)),2)</f>
        <v>95.59</v>
      </c>
      <c r="AO504" s="6">
        <f>ROUND((AD504-(AD504*BK504)),2)</f>
        <v>98.55</v>
      </c>
      <c r="BG504" s="12">
        <v>0.01</v>
      </c>
      <c r="BH504" s="12">
        <v>0.02</v>
      </c>
      <c r="BI504" s="12">
        <v>0.03</v>
      </c>
      <c r="BJ504" s="12">
        <v>0.03</v>
      </c>
      <c r="CC504" s="3" t="str">
        <f>IF(B504&lt;&gt;"",CONCATENATE(SUBSTITUTE(B504," ","-"),".jpg"),"")</f>
        <v>Allied-Moulded-AMU864CCF.jpg</v>
      </c>
      <c r="CD504" s="16" t="s">
        <v>111</v>
      </c>
      <c r="CE504" s="3"/>
      <c r="CF504" s="3"/>
      <c r="CG504" s="3" t="s">
        <v>112</v>
      </c>
      <c r="CI504" s="3" t="s">
        <v>97</v>
      </c>
      <c r="CJ504" s="3" t="s">
        <v>467</v>
      </c>
      <c r="CK504" s="3" t="s">
        <v>114</v>
      </c>
      <c r="CL504" s="3" t="s">
        <v>115</v>
      </c>
      <c r="CM504" s="16"/>
      <c r="CN504" s="16" t="s">
        <v>349</v>
      </c>
      <c r="CO504" s="3" t="s">
        <v>118</v>
      </c>
      <c r="CP504" s="3" t="s">
        <v>139</v>
      </c>
      <c r="CQ504" s="3" t="s">
        <v>120</v>
      </c>
      <c r="CR504" s="16" t="s">
        <v>121</v>
      </c>
      <c r="CS504" s="3" t="s">
        <v>384</v>
      </c>
      <c r="CT504" s="16" t="s">
        <v>385</v>
      </c>
      <c r="CU504" s="16" t="s">
        <v>351</v>
      </c>
      <c r="CV504" s="16" t="s">
        <v>657</v>
      </c>
    </row>
    <row r="505" spans="1:100" ht="15" customHeight="1">
      <c r="A505" t="s">
        <v>3296</v>
      </c>
      <c r="B505" s="3" t="s">
        <v>3297</v>
      </c>
      <c r="C505" s="16" t="s">
        <v>97</v>
      </c>
      <c r="D505" s="39" t="s">
        <v>3298</v>
      </c>
      <c r="E505" s="16" t="s">
        <v>97</v>
      </c>
      <c r="F505" s="131" t="s">
        <v>3299</v>
      </c>
      <c r="I505" s="100" t="s">
        <v>342</v>
      </c>
      <c r="J505" s="16" t="s">
        <v>101</v>
      </c>
      <c r="K505" s="16"/>
      <c r="L505" s="3" t="s">
        <v>102</v>
      </c>
      <c r="M505" s="3" t="s">
        <v>103</v>
      </c>
      <c r="N505" s="3" t="s">
        <v>104</v>
      </c>
      <c r="O505" s="16" t="s">
        <v>105</v>
      </c>
      <c r="P505" s="3" t="s">
        <v>3300</v>
      </c>
      <c r="Q505" s="3" t="s">
        <v>3300</v>
      </c>
      <c r="R505" s="3" t="s">
        <v>3300</v>
      </c>
      <c r="S505" t="s">
        <v>3296</v>
      </c>
      <c r="T505" s="130" t="s">
        <v>465</v>
      </c>
      <c r="U505" s="34">
        <v>3</v>
      </c>
      <c r="V505" s="39"/>
      <c r="W505" s="39"/>
      <c r="X505" s="59" t="s">
        <v>108</v>
      </c>
      <c r="Y505" s="93">
        <f>IF(AD505=0, 0, IF(OR(H505="", H505&lt;&gt;0), 1, 0))</f>
        <v>1</v>
      </c>
      <c r="Z505" s="3">
        <v>0</v>
      </c>
      <c r="AA505" s="3" t="s">
        <v>3301</v>
      </c>
      <c r="AD505" s="6">
        <f>ROUND((AG505*(1+AJ505)),2)</f>
        <v>103.4</v>
      </c>
      <c r="AE505" s="69">
        <v>117.83035303000001</v>
      </c>
      <c r="AF505" s="17">
        <f>(AE505*1)</f>
        <v>117.83035303000001</v>
      </c>
      <c r="AG505" s="6">
        <f>ROUND((AE505*AI505),2)</f>
        <v>76.59</v>
      </c>
      <c r="AH505" s="30" t="s">
        <v>110</v>
      </c>
      <c r="AI505" s="3">
        <v>0.65</v>
      </c>
      <c r="AJ505" s="18">
        <v>0.35</v>
      </c>
      <c r="AK505" s="6">
        <f>ROUND((AD505-(AD505*BG505)),2)</f>
        <v>102.37</v>
      </c>
      <c r="AL505" s="6">
        <f>ROUND((AD505-(AD505*BH505)),2)</f>
        <v>101.33</v>
      </c>
      <c r="AM505" s="6">
        <f>ROUND((AD505-(AD505*BI505)),2)</f>
        <v>100.3</v>
      </c>
      <c r="AN505" s="6">
        <f>ROUND((AD505-(AD505*BJ505)),2)</f>
        <v>100.3</v>
      </c>
      <c r="AO505" s="6">
        <f>ROUND((AD505-(AD505*BK505)),2)</f>
        <v>103.4</v>
      </c>
      <c r="BG505" s="12">
        <v>0.01</v>
      </c>
      <c r="BH505" s="12">
        <v>0.02</v>
      </c>
      <c r="BI505" s="12">
        <v>0.03</v>
      </c>
      <c r="BJ505" s="12">
        <v>0.03</v>
      </c>
      <c r="CC505" s="3" t="str">
        <f>IF(B505&lt;&gt;"",CONCATENATE(SUBSTITUTE(B505," ","-"),".jpg"),"")</f>
        <v>Allied-Moulded-AMU864CCH.jpg</v>
      </c>
      <c r="CD505" s="16" t="s">
        <v>111</v>
      </c>
      <c r="CE505" s="3"/>
      <c r="CF505" s="3"/>
      <c r="CG505" s="3" t="s">
        <v>112</v>
      </c>
      <c r="CI505" s="3" t="s">
        <v>97</v>
      </c>
      <c r="CJ505" s="3" t="s">
        <v>467</v>
      </c>
      <c r="CK505" s="3" t="s">
        <v>114</v>
      </c>
      <c r="CL505" s="3" t="s">
        <v>115</v>
      </c>
      <c r="CM505" s="3" t="s">
        <v>116</v>
      </c>
      <c r="CN505" s="16" t="s">
        <v>349</v>
      </c>
      <c r="CO505" s="3" t="s">
        <v>118</v>
      </c>
      <c r="CP505" s="3" t="s">
        <v>139</v>
      </c>
      <c r="CQ505" s="3" t="s">
        <v>120</v>
      </c>
      <c r="CR505" s="16" t="s">
        <v>121</v>
      </c>
      <c r="CS505" s="3" t="s">
        <v>384</v>
      </c>
      <c r="CT505" s="16" t="s">
        <v>385</v>
      </c>
      <c r="CU505" s="16" t="s">
        <v>351</v>
      </c>
      <c r="CV505" s="16" t="s">
        <v>657</v>
      </c>
    </row>
    <row r="506" spans="1:100" ht="15" customHeight="1">
      <c r="A506" t="s">
        <v>3302</v>
      </c>
      <c r="B506" s="3" t="s">
        <v>3303</v>
      </c>
      <c r="C506" s="16" t="s">
        <v>97</v>
      </c>
      <c r="D506" s="40" t="s">
        <v>3304</v>
      </c>
      <c r="E506" s="16" t="s">
        <v>97</v>
      </c>
      <c r="F506" s="131" t="s">
        <v>3305</v>
      </c>
      <c r="I506" s="100" t="s">
        <v>342</v>
      </c>
      <c r="J506" s="16" t="s">
        <v>101</v>
      </c>
      <c r="K506" s="16"/>
      <c r="L506" s="3" t="s">
        <v>102</v>
      </c>
      <c r="M506" s="3" t="s">
        <v>103</v>
      </c>
      <c r="N506" s="3" t="s">
        <v>104</v>
      </c>
      <c r="O506" s="16" t="s">
        <v>105</v>
      </c>
      <c r="P506" s="3" t="s">
        <v>3306</v>
      </c>
      <c r="Q506" s="3" t="s">
        <v>3306</v>
      </c>
      <c r="R506" s="3" t="s">
        <v>3306</v>
      </c>
      <c r="S506" t="s">
        <v>3302</v>
      </c>
      <c r="T506" s="130" t="s">
        <v>465</v>
      </c>
      <c r="U506" s="35">
        <v>3</v>
      </c>
      <c r="V506" s="40"/>
      <c r="W506" s="40"/>
      <c r="X506" s="59" t="s">
        <v>108</v>
      </c>
      <c r="Y506" s="93">
        <f>IF(AD506=0, 0, IF(OR(H506="", H506&lt;&gt;0), 1, 0))</f>
        <v>1</v>
      </c>
      <c r="Z506" s="3">
        <v>0</v>
      </c>
      <c r="AA506" s="3" t="s">
        <v>3307</v>
      </c>
      <c r="AD506" s="6">
        <f>ROUND((AG506*(1+AJ506)),2)</f>
        <v>105.75</v>
      </c>
      <c r="AE506" s="69">
        <v>120.51258735999998</v>
      </c>
      <c r="AF506" s="17">
        <f>(AE506*1)</f>
        <v>120.51258735999998</v>
      </c>
      <c r="AG506" s="6">
        <f>ROUND((AE506*AI506),2)</f>
        <v>78.33</v>
      </c>
      <c r="AH506" s="30" t="s">
        <v>110</v>
      </c>
      <c r="AI506" s="3">
        <v>0.65</v>
      </c>
      <c r="AJ506" s="18">
        <v>0.35</v>
      </c>
      <c r="AK506" s="6">
        <f>ROUND((AD506-(AD506*BG506)),2)</f>
        <v>104.69</v>
      </c>
      <c r="AL506" s="6">
        <f>ROUND((AD506-(AD506*BH506)),2)</f>
        <v>103.64</v>
      </c>
      <c r="AM506" s="6">
        <f>ROUND((AD506-(AD506*BI506)),2)</f>
        <v>102.58</v>
      </c>
      <c r="AN506" s="6">
        <f>ROUND((AD506-(AD506*BJ506)),2)</f>
        <v>102.58</v>
      </c>
      <c r="AO506" s="6">
        <f>ROUND((AD506-(AD506*BK506)),2)</f>
        <v>105.75</v>
      </c>
      <c r="BG506" s="12">
        <v>0.01</v>
      </c>
      <c r="BH506" s="12">
        <v>0.02</v>
      </c>
      <c r="BI506" s="12">
        <v>0.03</v>
      </c>
      <c r="BJ506" s="12">
        <v>0.03</v>
      </c>
      <c r="CC506" s="3" t="str">
        <f>IF(B506&lt;&gt;"",CONCATENATE(SUBSTITUTE(B506," ","-"),".jpg"),"")</f>
        <v>Allied-Moulded-AMU864CCHF.jpg</v>
      </c>
      <c r="CD506" s="16" t="s">
        <v>111</v>
      </c>
      <c r="CE506" s="3"/>
      <c r="CF506" s="3"/>
      <c r="CG506" s="3" t="s">
        <v>112</v>
      </c>
      <c r="CI506" s="3" t="s">
        <v>97</v>
      </c>
      <c r="CJ506" s="3" t="s">
        <v>467</v>
      </c>
      <c r="CK506" s="3" t="s">
        <v>114</v>
      </c>
      <c r="CL506" s="3" t="s">
        <v>115</v>
      </c>
      <c r="CM506" s="3" t="s">
        <v>116</v>
      </c>
      <c r="CN506" s="16" t="s">
        <v>349</v>
      </c>
      <c r="CO506" s="3" t="s">
        <v>118</v>
      </c>
      <c r="CP506" s="3" t="s">
        <v>139</v>
      </c>
      <c r="CQ506" s="3" t="s">
        <v>120</v>
      </c>
      <c r="CR506" s="16" t="s">
        <v>121</v>
      </c>
      <c r="CS506" s="3" t="s">
        <v>384</v>
      </c>
      <c r="CT506" s="16" t="s">
        <v>385</v>
      </c>
      <c r="CU506" s="16" t="s">
        <v>351</v>
      </c>
      <c r="CV506" s="16" t="s">
        <v>657</v>
      </c>
    </row>
    <row r="507" spans="1:100" ht="15" customHeight="1">
      <c r="A507" t="s">
        <v>3308</v>
      </c>
      <c r="B507" s="3" t="s">
        <v>3309</v>
      </c>
      <c r="C507" s="16" t="s">
        <v>97</v>
      </c>
      <c r="D507" s="40" t="s">
        <v>3310</v>
      </c>
      <c r="E507" s="16" t="s">
        <v>97</v>
      </c>
      <c r="F507" s="131" t="s">
        <v>3311</v>
      </c>
      <c r="I507" s="100" t="s">
        <v>342</v>
      </c>
      <c r="J507" s="16" t="s">
        <v>101</v>
      </c>
      <c r="K507" s="16"/>
      <c r="L507" s="3" t="s">
        <v>102</v>
      </c>
      <c r="M507" s="3" t="s">
        <v>103</v>
      </c>
      <c r="N507" s="3" t="s">
        <v>104</v>
      </c>
      <c r="O507" s="16" t="s">
        <v>105</v>
      </c>
      <c r="P507" s="3" t="s">
        <v>3312</v>
      </c>
      <c r="Q507" s="3" t="s">
        <v>3312</v>
      </c>
      <c r="R507" s="3" t="s">
        <v>3312</v>
      </c>
      <c r="S507" t="s">
        <v>3308</v>
      </c>
      <c r="T507" s="130" t="s">
        <v>465</v>
      </c>
      <c r="U507" s="35">
        <v>3</v>
      </c>
      <c r="V507" s="40"/>
      <c r="W507" s="40"/>
      <c r="X507" s="59" t="s">
        <v>108</v>
      </c>
      <c r="Y507" s="93">
        <f>IF(AD507=0, 0, IF(OR(H507="", H507&lt;&gt;0), 1, 0))</f>
        <v>1</v>
      </c>
      <c r="Z507" s="3">
        <v>0</v>
      </c>
      <c r="AA507" s="3" t="s">
        <v>3313</v>
      </c>
      <c r="AD507" s="6">
        <f>ROUND((AG507*(1+AJ507)),2)</f>
        <v>125.06</v>
      </c>
      <c r="AE507" s="69">
        <v>142.51715303999998</v>
      </c>
      <c r="AF507" s="17">
        <f>(AE507*1)</f>
        <v>142.51715303999998</v>
      </c>
      <c r="AG507" s="6">
        <f>ROUND((AE507*AI507),2)</f>
        <v>92.64</v>
      </c>
      <c r="AH507" s="30" t="s">
        <v>110</v>
      </c>
      <c r="AI507" s="3">
        <v>0.65</v>
      </c>
      <c r="AJ507" s="18">
        <v>0.35</v>
      </c>
      <c r="AK507" s="6">
        <f>ROUND((AD507-(AD507*BG507)),2)</f>
        <v>123.81</v>
      </c>
      <c r="AL507" s="6">
        <f>ROUND((AD507-(AD507*BH507)),2)</f>
        <v>122.56</v>
      </c>
      <c r="AM507" s="6">
        <f>ROUND((AD507-(AD507*BI507)),2)</f>
        <v>121.31</v>
      </c>
      <c r="AN507" s="6">
        <f>ROUND((AD507-(AD507*BJ507)),2)</f>
        <v>121.31</v>
      </c>
      <c r="AO507" s="6">
        <f>ROUND((AD507-(AD507*BK507)),2)</f>
        <v>125.06</v>
      </c>
      <c r="BG507" s="12">
        <v>0.01</v>
      </c>
      <c r="BH507" s="12">
        <v>0.02</v>
      </c>
      <c r="BI507" s="12">
        <v>0.03</v>
      </c>
      <c r="BJ507" s="12">
        <v>0.03</v>
      </c>
      <c r="CC507" s="3" t="str">
        <f>IF(B507&lt;&gt;"",CONCATENATE(SUBSTITUTE(B507," ","-"),".jpg"),"")</f>
        <v>Allied-Moulded-AMU864CCL.jpg</v>
      </c>
      <c r="CD507" s="16" t="s">
        <v>111</v>
      </c>
      <c r="CE507" s="3"/>
      <c r="CF507" s="3"/>
      <c r="CG507" s="3" t="s">
        <v>112</v>
      </c>
      <c r="CI507" s="3" t="s">
        <v>97</v>
      </c>
      <c r="CJ507" s="3" t="s">
        <v>467</v>
      </c>
      <c r="CK507" s="3" t="s">
        <v>114</v>
      </c>
      <c r="CL507" s="3" t="s">
        <v>115</v>
      </c>
      <c r="CM507" s="3" t="s">
        <v>116</v>
      </c>
      <c r="CN507" t="s">
        <v>117</v>
      </c>
      <c r="CO507" s="3" t="s">
        <v>118</v>
      </c>
      <c r="CP507" s="3" t="s">
        <v>139</v>
      </c>
      <c r="CQ507" s="3" t="s">
        <v>120</v>
      </c>
      <c r="CR507" s="16" t="s">
        <v>121</v>
      </c>
      <c r="CS507" s="16" t="s">
        <v>122</v>
      </c>
      <c r="CT507" s="16" t="s">
        <v>385</v>
      </c>
      <c r="CU507" s="16" t="s">
        <v>351</v>
      </c>
      <c r="CV507" s="16" t="s">
        <v>657</v>
      </c>
    </row>
    <row r="508" spans="1:100" ht="15" customHeight="1">
      <c r="A508" t="s">
        <v>3314</v>
      </c>
      <c r="B508" s="3" t="s">
        <v>3315</v>
      </c>
      <c r="C508" s="16" t="s">
        <v>97</v>
      </c>
      <c r="D508" s="39" t="s">
        <v>3316</v>
      </c>
      <c r="E508" s="16" t="s">
        <v>97</v>
      </c>
      <c r="F508" s="131" t="s">
        <v>3317</v>
      </c>
      <c r="I508" s="100" t="s">
        <v>342</v>
      </c>
      <c r="J508" s="16" t="s">
        <v>101</v>
      </c>
      <c r="K508" s="16"/>
      <c r="L508" s="3" t="s">
        <v>102</v>
      </c>
      <c r="M508" s="3" t="s">
        <v>103</v>
      </c>
      <c r="N508" s="3" t="s">
        <v>104</v>
      </c>
      <c r="O508" s="16" t="s">
        <v>105</v>
      </c>
      <c r="P508" s="3" t="s">
        <v>3318</v>
      </c>
      <c r="Q508" s="3" t="s">
        <v>3318</v>
      </c>
      <c r="R508" s="3" t="s">
        <v>3318</v>
      </c>
      <c r="S508" t="s">
        <v>3314</v>
      </c>
      <c r="T508" s="130" t="s">
        <v>465</v>
      </c>
      <c r="U508" s="34">
        <v>3</v>
      </c>
      <c r="V508" s="39"/>
      <c r="W508" s="39"/>
      <c r="X508" s="59" t="s">
        <v>108</v>
      </c>
      <c r="Y508" s="93">
        <f>IF(AD508=0, 0, IF(OR(H508="", H508&lt;&gt;0), 1, 0))</f>
        <v>1</v>
      </c>
      <c r="Z508" s="3">
        <v>0</v>
      </c>
      <c r="AA508" s="3" t="s">
        <v>3319</v>
      </c>
      <c r="AD508" s="6">
        <f>ROUND((AG508*(1+AJ508)),2)</f>
        <v>127.93</v>
      </c>
      <c r="AE508" s="69">
        <v>145.78025277999998</v>
      </c>
      <c r="AF508" s="17">
        <f>(AE508*1)</f>
        <v>145.78025277999998</v>
      </c>
      <c r="AG508" s="6">
        <f>ROUND((AE508*AI508),2)</f>
        <v>94.76</v>
      </c>
      <c r="AH508" s="30" t="s">
        <v>110</v>
      </c>
      <c r="AI508" s="3">
        <v>0.65</v>
      </c>
      <c r="AJ508" s="18">
        <v>0.35</v>
      </c>
      <c r="AK508" s="6">
        <f>ROUND((AD508-(AD508*BG508)),2)</f>
        <v>126.65</v>
      </c>
      <c r="AL508" s="6">
        <f>ROUND((AD508-(AD508*BH508)),2)</f>
        <v>125.37</v>
      </c>
      <c r="AM508" s="6">
        <f>ROUND((AD508-(AD508*BI508)),2)</f>
        <v>124.09</v>
      </c>
      <c r="AN508" s="6">
        <f>ROUND((AD508-(AD508*BJ508)),2)</f>
        <v>124.09</v>
      </c>
      <c r="AO508" s="6">
        <f>ROUND((AD508-(AD508*BK508)),2)</f>
        <v>127.93</v>
      </c>
      <c r="BG508" s="12">
        <v>0.01</v>
      </c>
      <c r="BH508" s="12">
        <v>0.02</v>
      </c>
      <c r="BI508" s="12">
        <v>0.03</v>
      </c>
      <c r="BJ508" s="12">
        <v>0.03</v>
      </c>
      <c r="CC508" s="3" t="str">
        <f>IF(B508&lt;&gt;"",CONCATENATE(SUBSTITUTE(B508," ","-"),".jpg"),"")</f>
        <v>Allied-Moulded-AMU864CCLF.jpg</v>
      </c>
      <c r="CD508" s="16" t="s">
        <v>111</v>
      </c>
      <c r="CE508" s="3"/>
      <c r="CF508" s="3"/>
      <c r="CG508" s="3" t="s">
        <v>112</v>
      </c>
      <c r="CI508" s="3" t="s">
        <v>97</v>
      </c>
      <c r="CJ508" s="3" t="s">
        <v>467</v>
      </c>
      <c r="CK508" s="3" t="s">
        <v>114</v>
      </c>
      <c r="CL508" s="3" t="s">
        <v>115</v>
      </c>
      <c r="CM508" s="3" t="s">
        <v>116</v>
      </c>
      <c r="CN508" t="s">
        <v>117</v>
      </c>
      <c r="CO508" s="3" t="s">
        <v>118</v>
      </c>
      <c r="CP508" s="3" t="s">
        <v>139</v>
      </c>
      <c r="CQ508" s="3" t="s">
        <v>120</v>
      </c>
      <c r="CR508" s="16" t="s">
        <v>121</v>
      </c>
      <c r="CS508" s="16" t="s">
        <v>122</v>
      </c>
      <c r="CT508" s="16" t="s">
        <v>385</v>
      </c>
      <c r="CU508" s="16" t="s">
        <v>351</v>
      </c>
      <c r="CV508" s="16" t="s">
        <v>657</v>
      </c>
    </row>
    <row r="509" spans="1:100" ht="15" customHeight="1">
      <c r="A509" t="s">
        <v>3320</v>
      </c>
      <c r="B509" s="3" t="s">
        <v>3321</v>
      </c>
      <c r="C509" s="16" t="s">
        <v>97</v>
      </c>
      <c r="D509" s="39" t="s">
        <v>3322</v>
      </c>
      <c r="E509" s="16" t="s">
        <v>97</v>
      </c>
      <c r="F509" s="131" t="s">
        <v>3323</v>
      </c>
      <c r="I509" s="100" t="s">
        <v>342</v>
      </c>
      <c r="J509" s="16" t="s">
        <v>101</v>
      </c>
      <c r="K509" s="16"/>
      <c r="L509" s="3" t="s">
        <v>102</v>
      </c>
      <c r="M509" s="3" t="s">
        <v>103</v>
      </c>
      <c r="N509" s="3" t="s">
        <v>104</v>
      </c>
      <c r="O509" s="16" t="s">
        <v>105</v>
      </c>
      <c r="P509" s="3" t="s">
        <v>3324</v>
      </c>
      <c r="Q509" s="3" t="s">
        <v>3324</v>
      </c>
      <c r="R509" s="3" t="s">
        <v>3324</v>
      </c>
      <c r="S509" t="s">
        <v>3320</v>
      </c>
      <c r="T509" s="130" t="s">
        <v>465</v>
      </c>
      <c r="U509" s="34">
        <v>3</v>
      </c>
      <c r="V509" s="39"/>
      <c r="W509" s="39"/>
      <c r="X509" s="59" t="s">
        <v>108</v>
      </c>
      <c r="Y509" s="93">
        <f>IF(AD509=0, 0, IF(OR(H509="", H509&lt;&gt;0), 1, 0))</f>
        <v>1</v>
      </c>
      <c r="Z509" s="3">
        <v>0</v>
      </c>
      <c r="AA509" s="3" t="s">
        <v>3325</v>
      </c>
      <c r="AD509" s="6">
        <f>ROUND((AG509*(1+AJ509)),2)</f>
        <v>118.83</v>
      </c>
      <c r="AE509" s="69">
        <v>135.41008815000001</v>
      </c>
      <c r="AF509" s="17">
        <f>(AE509*1)</f>
        <v>135.41008815000001</v>
      </c>
      <c r="AG509" s="6">
        <f>ROUND((AE509*AI509),2)</f>
        <v>88.02</v>
      </c>
      <c r="AH509" s="30" t="s">
        <v>110</v>
      </c>
      <c r="AI509" s="3">
        <v>0.65</v>
      </c>
      <c r="AJ509" s="18">
        <v>0.35</v>
      </c>
      <c r="AK509" s="6">
        <f>ROUND((AD509-(AD509*BG509)),2)</f>
        <v>117.64</v>
      </c>
      <c r="AL509" s="6">
        <f>ROUND((AD509-(AD509*BH509)),2)</f>
        <v>116.45</v>
      </c>
      <c r="AM509" s="6">
        <f>ROUND((AD509-(AD509*BI509)),2)</f>
        <v>115.27</v>
      </c>
      <c r="AN509" s="6">
        <f>ROUND((AD509-(AD509*BJ509)),2)</f>
        <v>115.27</v>
      </c>
      <c r="AO509" s="6">
        <f>ROUND((AD509-(AD509*BK509)),2)</f>
        <v>118.83</v>
      </c>
      <c r="BG509" s="12">
        <v>0.01</v>
      </c>
      <c r="BH509" s="12">
        <v>0.02</v>
      </c>
      <c r="BI509" s="12">
        <v>0.03</v>
      </c>
      <c r="BJ509" s="12">
        <v>0.03</v>
      </c>
      <c r="CC509" s="3" t="str">
        <f>IF(B509&lt;&gt;"",CONCATENATE(SUBSTITUTE(B509," ","-"),".jpg"),"")</f>
        <v>Allied-Moulded-AMU864CCNL.jpg</v>
      </c>
      <c r="CD509" s="16" t="s">
        <v>111</v>
      </c>
      <c r="CE509" s="3"/>
      <c r="CF509" s="3"/>
      <c r="CG509" s="3" t="s">
        <v>112</v>
      </c>
      <c r="CI509" s="3" t="s">
        <v>97</v>
      </c>
      <c r="CJ509" s="3" t="s">
        <v>467</v>
      </c>
      <c r="CK509" s="3" t="s">
        <v>114</v>
      </c>
      <c r="CL509" s="3" t="s">
        <v>115</v>
      </c>
      <c r="CM509" s="3" t="s">
        <v>116</v>
      </c>
      <c r="CN509" t="s">
        <v>117</v>
      </c>
      <c r="CO509" s="3" t="s">
        <v>118</v>
      </c>
      <c r="CP509" s="3" t="s">
        <v>139</v>
      </c>
      <c r="CQ509" s="3" t="s">
        <v>120</v>
      </c>
      <c r="CR509" s="16" t="s">
        <v>121</v>
      </c>
      <c r="CS509" s="16" t="s">
        <v>122</v>
      </c>
      <c r="CT509" s="16" t="s">
        <v>385</v>
      </c>
      <c r="CU509" s="16" t="s">
        <v>351</v>
      </c>
      <c r="CV509" s="16" t="s">
        <v>657</v>
      </c>
    </row>
    <row r="510" spans="1:100" ht="15" customHeight="1">
      <c r="A510" t="s">
        <v>3326</v>
      </c>
      <c r="B510" s="3" t="s">
        <v>3327</v>
      </c>
      <c r="C510" s="16" t="s">
        <v>97</v>
      </c>
      <c r="D510" s="40" t="s">
        <v>3328</v>
      </c>
      <c r="E510" s="16" t="s">
        <v>97</v>
      </c>
      <c r="F510" s="131" t="s">
        <v>3329</v>
      </c>
      <c r="I510" s="100" t="s">
        <v>342</v>
      </c>
      <c r="J510" s="16" t="s">
        <v>101</v>
      </c>
      <c r="K510" s="16"/>
      <c r="L510" s="3" t="s">
        <v>102</v>
      </c>
      <c r="M510" s="3" t="s">
        <v>103</v>
      </c>
      <c r="N510" s="3" t="s">
        <v>104</v>
      </c>
      <c r="O510" s="16" t="s">
        <v>105</v>
      </c>
      <c r="P510" s="3" t="s">
        <v>3330</v>
      </c>
      <c r="Q510" s="3" t="s">
        <v>3330</v>
      </c>
      <c r="R510" s="3" t="s">
        <v>3330</v>
      </c>
      <c r="S510" t="s">
        <v>3326</v>
      </c>
      <c r="T510" s="130" t="s">
        <v>465</v>
      </c>
      <c r="U510" s="35">
        <v>3</v>
      </c>
      <c r="V510" s="40"/>
      <c r="W510" s="40"/>
      <c r="X510" s="59" t="s">
        <v>108</v>
      </c>
      <c r="Y510" s="93">
        <f>IF(AD510=0, 0, IF(OR(H510="", H510&lt;&gt;0), 1, 0))</f>
        <v>1</v>
      </c>
      <c r="Z510" s="3">
        <v>0</v>
      </c>
      <c r="AA510" s="3" t="s">
        <v>3331</v>
      </c>
      <c r="AD510" s="6">
        <f>ROUND((AG510*(1+AJ510)),2)</f>
        <v>121.53</v>
      </c>
      <c r="AE510" s="69">
        <v>138.48526129999999</v>
      </c>
      <c r="AF510" s="17">
        <f>(AE510*1)</f>
        <v>138.48526129999999</v>
      </c>
      <c r="AG510" s="6">
        <f>ROUND((AE510*AI510),2)</f>
        <v>90.02</v>
      </c>
      <c r="AH510" s="30" t="s">
        <v>110</v>
      </c>
      <c r="AI510" s="3">
        <v>0.65</v>
      </c>
      <c r="AJ510" s="18">
        <v>0.35</v>
      </c>
      <c r="AK510" s="6">
        <f>ROUND((AD510-(AD510*BG510)),2)</f>
        <v>120.31</v>
      </c>
      <c r="AL510" s="6">
        <f>ROUND((AD510-(AD510*BH510)),2)</f>
        <v>119.1</v>
      </c>
      <c r="AM510" s="6">
        <f>ROUND((AD510-(AD510*BI510)),2)</f>
        <v>117.88</v>
      </c>
      <c r="AN510" s="6">
        <f>ROUND((AD510-(AD510*BJ510)),2)</f>
        <v>117.88</v>
      </c>
      <c r="AO510" s="6">
        <f>ROUND((AD510-(AD510*BK510)),2)</f>
        <v>121.53</v>
      </c>
      <c r="BG510" s="12">
        <v>0.01</v>
      </c>
      <c r="BH510" s="12">
        <v>0.02</v>
      </c>
      <c r="BI510" s="12">
        <v>0.03</v>
      </c>
      <c r="BJ510" s="12">
        <v>0.03</v>
      </c>
      <c r="CC510" s="3" t="str">
        <f>IF(B510&lt;&gt;"",CONCATENATE(SUBSTITUTE(B510," ","-"),".jpg"),"")</f>
        <v>Allied-Moulded-AMU864CCNLF.jpg</v>
      </c>
      <c r="CD510" s="16" t="s">
        <v>111</v>
      </c>
      <c r="CE510" s="3"/>
      <c r="CF510" s="3"/>
      <c r="CG510" s="3" t="s">
        <v>112</v>
      </c>
      <c r="CI510" s="3" t="s">
        <v>97</v>
      </c>
      <c r="CJ510" s="3" t="s">
        <v>467</v>
      </c>
      <c r="CK510" s="3" t="s">
        <v>114</v>
      </c>
      <c r="CL510" s="3" t="s">
        <v>115</v>
      </c>
      <c r="CM510" s="3" t="s">
        <v>116</v>
      </c>
      <c r="CN510" t="s">
        <v>117</v>
      </c>
      <c r="CO510" s="3" t="s">
        <v>118</v>
      </c>
      <c r="CP510" s="3" t="s">
        <v>139</v>
      </c>
      <c r="CQ510" s="3" t="s">
        <v>120</v>
      </c>
      <c r="CR510" s="16" t="s">
        <v>121</v>
      </c>
      <c r="CS510" s="16" t="s">
        <v>122</v>
      </c>
      <c r="CT510" s="16" t="s">
        <v>385</v>
      </c>
      <c r="CU510" s="16" t="s">
        <v>351</v>
      </c>
      <c r="CV510" s="16" t="s">
        <v>657</v>
      </c>
    </row>
    <row r="511" spans="1:100" ht="15" customHeight="1">
      <c r="A511" t="s">
        <v>3332</v>
      </c>
      <c r="B511" s="3" t="s">
        <v>3333</v>
      </c>
      <c r="C511" s="16" t="s">
        <v>97</v>
      </c>
      <c r="D511" s="40" t="s">
        <v>3334</v>
      </c>
      <c r="E511" s="16" t="s">
        <v>97</v>
      </c>
      <c r="F511" s="131" t="s">
        <v>3335</v>
      </c>
      <c r="I511" s="100" t="s">
        <v>342</v>
      </c>
      <c r="J511" s="16" t="s">
        <v>101</v>
      </c>
      <c r="K511" s="16"/>
      <c r="L511" s="3" t="s">
        <v>102</v>
      </c>
      <c r="M511" s="3" t="s">
        <v>103</v>
      </c>
      <c r="N511" s="3" t="s">
        <v>104</v>
      </c>
      <c r="O511" s="16" t="s">
        <v>105</v>
      </c>
      <c r="P511" s="3" t="s">
        <v>3336</v>
      </c>
      <c r="Q511" s="3" t="s">
        <v>3336</v>
      </c>
      <c r="R511" s="3" t="s">
        <v>3336</v>
      </c>
      <c r="S511" t="s">
        <v>3332</v>
      </c>
      <c r="T511" s="130" t="s">
        <v>465</v>
      </c>
      <c r="U511" s="51">
        <v>3</v>
      </c>
      <c r="V511" s="58"/>
      <c r="W511" s="58"/>
      <c r="X511" s="59" t="s">
        <v>108</v>
      </c>
      <c r="Y511" s="93">
        <f>IF(AD511=0, 0, IF(OR(H511="", H511&lt;&gt;0), 1, 0))</f>
        <v>1</v>
      </c>
      <c r="Z511" s="3">
        <v>0</v>
      </c>
      <c r="AA511" s="3" t="s">
        <v>3337</v>
      </c>
      <c r="AD511" s="6">
        <f>ROUND((AG511*(1+AJ511)),2)</f>
        <v>125.06</v>
      </c>
      <c r="AE511" s="69">
        <v>142.51715303999998</v>
      </c>
      <c r="AF511" s="17">
        <f>(AE511*1)</f>
        <v>142.51715303999998</v>
      </c>
      <c r="AG511" s="6">
        <f>ROUND((AE511*AI511),2)</f>
        <v>92.64</v>
      </c>
      <c r="AH511" s="30" t="s">
        <v>110</v>
      </c>
      <c r="AI511" s="3">
        <v>0.65</v>
      </c>
      <c r="AJ511" s="18">
        <v>0.35</v>
      </c>
      <c r="AK511" s="6">
        <f>ROUND((AD511-(AD511*BG511)),2)</f>
        <v>123.81</v>
      </c>
      <c r="AL511" s="6">
        <f>ROUND((AD511-(AD511*BH511)),2)</f>
        <v>122.56</v>
      </c>
      <c r="AM511" s="6">
        <f>ROUND((AD511-(AD511*BI511)),2)</f>
        <v>121.31</v>
      </c>
      <c r="AN511" s="6">
        <f>ROUND((AD511-(AD511*BJ511)),2)</f>
        <v>121.31</v>
      </c>
      <c r="AO511" s="6">
        <f>ROUND((AD511-(AD511*BK511)),2)</f>
        <v>125.06</v>
      </c>
      <c r="BG511" s="12">
        <v>0.01</v>
      </c>
      <c r="BH511" s="12">
        <v>0.02</v>
      </c>
      <c r="BI511" s="12">
        <v>0.03</v>
      </c>
      <c r="BJ511" s="12">
        <v>0.03</v>
      </c>
      <c r="CC511" s="3" t="str">
        <f>IF(B511&lt;&gt;"",CONCATENATE(SUBSTITUTE(B511," ","-"),".jpg"),"")</f>
        <v>Allied-Moulded-AMU864CCT.jpg</v>
      </c>
      <c r="CD511" s="16" t="s">
        <v>111</v>
      </c>
      <c r="CE511" s="3"/>
      <c r="CF511" s="3"/>
      <c r="CG511" s="3" t="s">
        <v>112</v>
      </c>
      <c r="CI511" s="3" t="s">
        <v>97</v>
      </c>
      <c r="CJ511" s="3" t="s">
        <v>467</v>
      </c>
      <c r="CK511" s="3" t="s">
        <v>114</v>
      </c>
      <c r="CL511" s="3" t="s">
        <v>115</v>
      </c>
      <c r="CM511" s="3" t="s">
        <v>116</v>
      </c>
      <c r="CN511" s="16" t="s">
        <v>132</v>
      </c>
      <c r="CO511" s="3" t="s">
        <v>118</v>
      </c>
      <c r="CP511" s="3" t="s">
        <v>139</v>
      </c>
      <c r="CQ511" s="3" t="s">
        <v>120</v>
      </c>
      <c r="CR511" s="16" t="s">
        <v>121</v>
      </c>
      <c r="CS511" s="16" t="s">
        <v>122</v>
      </c>
      <c r="CT511" s="16" t="s">
        <v>385</v>
      </c>
      <c r="CU511" s="16" t="s">
        <v>351</v>
      </c>
      <c r="CV511" s="16" t="s">
        <v>657</v>
      </c>
    </row>
    <row r="512" spans="1:100" ht="15" customHeight="1">
      <c r="A512" t="s">
        <v>3338</v>
      </c>
      <c r="B512" s="3" t="s">
        <v>3339</v>
      </c>
      <c r="C512" s="16" t="s">
        <v>97</v>
      </c>
      <c r="D512" s="39" t="s">
        <v>3340</v>
      </c>
      <c r="E512" s="16" t="s">
        <v>97</v>
      </c>
      <c r="F512" s="131" t="s">
        <v>3341</v>
      </c>
      <c r="I512" s="100" t="s">
        <v>342</v>
      </c>
      <c r="J512" s="16" t="s">
        <v>101</v>
      </c>
      <c r="K512" s="16"/>
      <c r="L512" s="3" t="s">
        <v>102</v>
      </c>
      <c r="M512" s="3" t="s">
        <v>103</v>
      </c>
      <c r="N512" s="3" t="s">
        <v>104</v>
      </c>
      <c r="O512" s="16" t="s">
        <v>105</v>
      </c>
      <c r="P512" s="3" t="s">
        <v>3342</v>
      </c>
      <c r="Q512" s="3" t="s">
        <v>3342</v>
      </c>
      <c r="R512" s="3" t="s">
        <v>3342</v>
      </c>
      <c r="S512" t="s">
        <v>3338</v>
      </c>
      <c r="T512" s="130" t="s">
        <v>465</v>
      </c>
      <c r="U512" s="50">
        <v>3</v>
      </c>
      <c r="V512" s="54"/>
      <c r="W512" s="54"/>
      <c r="X512" s="59" t="s">
        <v>108</v>
      </c>
      <c r="Y512" s="93">
        <f>IF(AD512=0, 0, IF(OR(H512="", H512&lt;&gt;0), 1, 0))</f>
        <v>1</v>
      </c>
      <c r="Z512" s="3">
        <v>0</v>
      </c>
      <c r="AA512" s="3" t="s">
        <v>3343</v>
      </c>
      <c r="AD512" s="6">
        <f>ROUND((AG512*(1+AJ512)),2)</f>
        <v>127.93</v>
      </c>
      <c r="AE512" s="69">
        <v>145.78025277999998</v>
      </c>
      <c r="AF512" s="17">
        <f>(AE512*1)</f>
        <v>145.78025277999998</v>
      </c>
      <c r="AG512" s="6">
        <f>ROUND((AE512*AI512),2)</f>
        <v>94.76</v>
      </c>
      <c r="AH512" s="30" t="s">
        <v>110</v>
      </c>
      <c r="AI512" s="3">
        <v>0.65</v>
      </c>
      <c r="AJ512" s="18">
        <v>0.35</v>
      </c>
      <c r="AK512" s="6">
        <f>ROUND((AD512-(AD512*BG512)),2)</f>
        <v>126.65</v>
      </c>
      <c r="AL512" s="6">
        <f>ROUND((AD512-(AD512*BH512)),2)</f>
        <v>125.37</v>
      </c>
      <c r="AM512" s="6">
        <f>ROUND((AD512-(AD512*BI512)),2)</f>
        <v>124.09</v>
      </c>
      <c r="AN512" s="6">
        <f>ROUND((AD512-(AD512*BJ512)),2)</f>
        <v>124.09</v>
      </c>
      <c r="AO512" s="6">
        <f>ROUND((AD512-(AD512*BK512)),2)</f>
        <v>127.93</v>
      </c>
      <c r="BG512" s="12">
        <v>0.01</v>
      </c>
      <c r="BH512" s="12">
        <v>0.02</v>
      </c>
      <c r="BI512" s="12">
        <v>0.03</v>
      </c>
      <c r="BJ512" s="12">
        <v>0.03</v>
      </c>
      <c r="CC512" s="3" t="str">
        <f>IF(B512&lt;&gt;"",CONCATENATE(SUBSTITUTE(B512," ","-"),".jpg"),"")</f>
        <v>Allied-Moulded-AMU864CCTF.jpg</v>
      </c>
      <c r="CD512" s="16" t="s">
        <v>111</v>
      </c>
      <c r="CE512" s="3"/>
      <c r="CF512" s="3"/>
      <c r="CG512" s="3" t="s">
        <v>112</v>
      </c>
      <c r="CI512" s="3" t="s">
        <v>97</v>
      </c>
      <c r="CJ512" s="3" t="s">
        <v>467</v>
      </c>
      <c r="CK512" s="3" t="s">
        <v>114</v>
      </c>
      <c r="CL512" s="3" t="s">
        <v>115</v>
      </c>
      <c r="CM512" s="3" t="s">
        <v>116</v>
      </c>
      <c r="CN512" s="16" t="s">
        <v>132</v>
      </c>
      <c r="CO512" s="3" t="s">
        <v>118</v>
      </c>
      <c r="CP512" s="3" t="s">
        <v>139</v>
      </c>
      <c r="CQ512" s="3" t="s">
        <v>120</v>
      </c>
      <c r="CR512" s="16" t="s">
        <v>121</v>
      </c>
      <c r="CS512" s="16" t="s">
        <v>122</v>
      </c>
      <c r="CT512" s="16" t="s">
        <v>385</v>
      </c>
      <c r="CU512" s="16" t="s">
        <v>351</v>
      </c>
      <c r="CV512" s="16" t="s">
        <v>657</v>
      </c>
    </row>
    <row r="513" spans="1:100" ht="15" customHeight="1">
      <c r="A513" t="s">
        <v>3344</v>
      </c>
      <c r="B513" s="3" t="s">
        <v>3345</v>
      </c>
      <c r="C513" s="16" t="s">
        <v>97</v>
      </c>
      <c r="D513" s="40" t="s">
        <v>3346</v>
      </c>
      <c r="E513" s="16" t="s">
        <v>97</v>
      </c>
      <c r="F513" s="131" t="s">
        <v>3347</v>
      </c>
      <c r="I513" s="100" t="s">
        <v>342</v>
      </c>
      <c r="J513" s="16" t="s">
        <v>101</v>
      </c>
      <c r="K513" s="16"/>
      <c r="L513" s="3" t="s">
        <v>102</v>
      </c>
      <c r="M513" s="3" t="s">
        <v>103</v>
      </c>
      <c r="N513" s="3" t="s">
        <v>104</v>
      </c>
      <c r="O513" s="16" t="s">
        <v>478</v>
      </c>
      <c r="P513" s="3" t="s">
        <v>3348</v>
      </c>
      <c r="Q513" s="3" t="s">
        <v>3348</v>
      </c>
      <c r="R513" s="3" t="s">
        <v>3348</v>
      </c>
      <c r="S513" t="s">
        <v>3344</v>
      </c>
      <c r="T513" s="130" t="s">
        <v>465</v>
      </c>
      <c r="U513" s="51">
        <v>3</v>
      </c>
      <c r="V513" s="58"/>
      <c r="W513" s="58"/>
      <c r="X513" s="59" t="s">
        <v>108</v>
      </c>
      <c r="Y513" s="93">
        <f>IF(AD513=0, 0, IF(OR(H513="", H513&lt;&gt;0), 1, 0))</f>
        <v>1</v>
      </c>
      <c r="Z513" s="3">
        <v>0</v>
      </c>
      <c r="AA513" s="3" t="s">
        <v>3349</v>
      </c>
      <c r="AD513" s="6">
        <f>ROUND((AG513*(1+AJ513)),2)</f>
        <v>73.849999999999994</v>
      </c>
      <c r="AE513" s="69">
        <v>84.160274100000009</v>
      </c>
      <c r="AF513" s="17">
        <f>(AE513*1)</f>
        <v>84.160274100000009</v>
      </c>
      <c r="AG513" s="6">
        <f>ROUND((AE513*AI513),2)</f>
        <v>54.7</v>
      </c>
      <c r="AH513" s="30" t="s">
        <v>110</v>
      </c>
      <c r="AI513" s="3">
        <v>0.65</v>
      </c>
      <c r="AJ513" s="18">
        <v>0.35</v>
      </c>
      <c r="AK513" s="6">
        <f>ROUND((AD513-(AD513*BG513)),2)</f>
        <v>73.11</v>
      </c>
      <c r="AL513" s="6">
        <f>ROUND((AD513-(AD513*BH513)),2)</f>
        <v>72.37</v>
      </c>
      <c r="AM513" s="6">
        <f>ROUND((AD513-(AD513*BI513)),2)</f>
        <v>71.63</v>
      </c>
      <c r="AN513" s="6">
        <f>ROUND((AD513-(AD513*BJ513)),2)</f>
        <v>71.63</v>
      </c>
      <c r="AO513" s="6">
        <f>ROUND((AD513-(AD513*BK513)),2)</f>
        <v>73.849999999999994</v>
      </c>
      <c r="BG513" s="12">
        <v>0.01</v>
      </c>
      <c r="BH513" s="12">
        <v>0.02</v>
      </c>
      <c r="BI513" s="12">
        <v>0.03</v>
      </c>
      <c r="BJ513" s="12">
        <v>0.03</v>
      </c>
      <c r="CC513" s="3" t="str">
        <f>IF(B513&lt;&gt;"",CONCATENATE(SUBSTITUTE(B513," ","-"),".jpg"),"")</f>
        <v>Allied-Moulded-AMP884CCNL.jpg</v>
      </c>
      <c r="CD513" s="16" t="s">
        <v>111</v>
      </c>
      <c r="CE513" s="3"/>
      <c r="CF513" s="3"/>
      <c r="CG513" s="3" t="s">
        <v>112</v>
      </c>
      <c r="CI513" s="3" t="s">
        <v>97</v>
      </c>
      <c r="CJ513" s="3" t="s">
        <v>481</v>
      </c>
      <c r="CK513" s="3" t="s">
        <v>114</v>
      </c>
      <c r="CL513" s="3" t="s">
        <v>115</v>
      </c>
      <c r="CM513" s="3" t="s">
        <v>116</v>
      </c>
      <c r="CN513" t="s">
        <v>117</v>
      </c>
      <c r="CO513" s="3" t="s">
        <v>482</v>
      </c>
      <c r="CP513" s="3" t="s">
        <v>139</v>
      </c>
      <c r="CQ513" s="3" t="s">
        <v>120</v>
      </c>
      <c r="CR513" s="16" t="s">
        <v>121</v>
      </c>
      <c r="CS513" s="16" t="s">
        <v>122</v>
      </c>
      <c r="CT513" s="16" t="s">
        <v>385</v>
      </c>
      <c r="CU513" s="16" t="s">
        <v>351</v>
      </c>
      <c r="CV513" s="16" t="s">
        <v>657</v>
      </c>
    </row>
    <row r="514" spans="1:100" ht="15" customHeight="1">
      <c r="A514" t="s">
        <v>3350</v>
      </c>
      <c r="B514" s="3" t="s">
        <v>3351</v>
      </c>
      <c r="C514" s="16" t="s">
        <v>97</v>
      </c>
      <c r="D514" s="39" t="s">
        <v>3352</v>
      </c>
      <c r="E514" s="16" t="s">
        <v>97</v>
      </c>
      <c r="F514" s="131" t="s">
        <v>3353</v>
      </c>
      <c r="I514" s="100" t="s">
        <v>342</v>
      </c>
      <c r="J514" s="16" t="s">
        <v>101</v>
      </c>
      <c r="K514" s="16"/>
      <c r="L514" s="3" t="s">
        <v>102</v>
      </c>
      <c r="M514" s="3" t="s">
        <v>103</v>
      </c>
      <c r="N514" s="3" t="s">
        <v>104</v>
      </c>
      <c r="O514" s="16" t="s">
        <v>478</v>
      </c>
      <c r="P514" s="3" t="s">
        <v>3354</v>
      </c>
      <c r="Q514" s="3" t="s">
        <v>3354</v>
      </c>
      <c r="R514" s="3" t="s">
        <v>3354</v>
      </c>
      <c r="S514" t="s">
        <v>3350</v>
      </c>
      <c r="T514" s="130" t="s">
        <v>465</v>
      </c>
      <c r="U514" s="50">
        <v>2</v>
      </c>
      <c r="V514" s="54"/>
      <c r="W514" s="54"/>
      <c r="X514" s="59" t="s">
        <v>108</v>
      </c>
      <c r="Y514" s="93">
        <f>IF(AD514=0, 0, IF(OR(H514="", H514&lt;&gt;0), 1, 0))</f>
        <v>1</v>
      </c>
      <c r="Z514" s="3">
        <v>0</v>
      </c>
      <c r="AA514" s="3" t="s">
        <v>3355</v>
      </c>
      <c r="AD514" s="6">
        <f>ROUND((AG514*(1+AJ514)),2)</f>
        <v>57.38</v>
      </c>
      <c r="AE514" s="69">
        <v>65.390945549999998</v>
      </c>
      <c r="AF514" s="17">
        <f>(AE514*1)</f>
        <v>65.390945549999998</v>
      </c>
      <c r="AG514" s="6">
        <f>ROUND((AE514*AI514),2)</f>
        <v>42.5</v>
      </c>
      <c r="AH514" s="30" t="s">
        <v>110</v>
      </c>
      <c r="AI514" s="3">
        <v>0.65</v>
      </c>
      <c r="AJ514" s="18">
        <v>0.35</v>
      </c>
      <c r="AK514" s="6">
        <f>ROUND((AD514-(AD514*BG514)),2)</f>
        <v>56.81</v>
      </c>
      <c r="AL514" s="6">
        <f>ROUND((AD514-(AD514*BH514)),2)</f>
        <v>56.23</v>
      </c>
      <c r="AM514" s="6">
        <f>ROUND((AD514-(AD514*BI514)),2)</f>
        <v>55.66</v>
      </c>
      <c r="AN514" s="6">
        <f>ROUND((AD514-(AD514*BJ514)),2)</f>
        <v>55.66</v>
      </c>
      <c r="AO514" s="6">
        <f>ROUND((AD514-(AD514*BK514)),2)</f>
        <v>57.38</v>
      </c>
      <c r="BG514" s="12">
        <v>0.01</v>
      </c>
      <c r="BH514" s="12">
        <v>0.02</v>
      </c>
      <c r="BI514" s="12">
        <v>0.03</v>
      </c>
      <c r="BJ514" s="12">
        <v>0.03</v>
      </c>
      <c r="CC514" s="3" t="str">
        <f>IF(B514&lt;&gt;"",CONCATENATE(SUBSTITUTE(B514," ","-"),".jpg"),"")</f>
        <v>Allied-Moulded-AMP864CC.jpg</v>
      </c>
      <c r="CD514" s="16" t="s">
        <v>111</v>
      </c>
      <c r="CE514" s="3"/>
      <c r="CF514" s="3"/>
      <c r="CG514" s="3" t="s">
        <v>112</v>
      </c>
      <c r="CI514" s="3" t="s">
        <v>97</v>
      </c>
      <c r="CJ514" s="3" t="s">
        <v>481</v>
      </c>
      <c r="CK514" s="3" t="s">
        <v>114</v>
      </c>
      <c r="CL514" s="3" t="s">
        <v>115</v>
      </c>
      <c r="CM514" s="16"/>
      <c r="CN514" s="16" t="s">
        <v>349</v>
      </c>
      <c r="CO514" s="3" t="s">
        <v>482</v>
      </c>
      <c r="CP514" s="3" t="s">
        <v>139</v>
      </c>
      <c r="CQ514" s="3" t="s">
        <v>120</v>
      </c>
      <c r="CR514" s="16" t="s">
        <v>121</v>
      </c>
      <c r="CS514" s="3" t="s">
        <v>384</v>
      </c>
      <c r="CT514" s="16" t="s">
        <v>385</v>
      </c>
      <c r="CU514" s="16" t="s">
        <v>351</v>
      </c>
      <c r="CV514" s="16" t="s">
        <v>657</v>
      </c>
    </row>
    <row r="515" spans="1:100" ht="15" customHeight="1">
      <c r="A515" t="s">
        <v>3356</v>
      </c>
      <c r="B515" s="3" t="s">
        <v>3357</v>
      </c>
      <c r="C515" s="16" t="s">
        <v>97</v>
      </c>
      <c r="D515" s="40" t="s">
        <v>3358</v>
      </c>
      <c r="E515" s="16" t="s">
        <v>97</v>
      </c>
      <c r="F515" s="131" t="s">
        <v>3359</v>
      </c>
      <c r="I515" s="100" t="s">
        <v>342</v>
      </c>
      <c r="J515" s="16" t="s">
        <v>101</v>
      </c>
      <c r="K515" s="16"/>
      <c r="L515" s="3" t="s">
        <v>102</v>
      </c>
      <c r="M515" s="3" t="s">
        <v>103</v>
      </c>
      <c r="N515" s="3" t="s">
        <v>104</v>
      </c>
      <c r="O515" s="16" t="s">
        <v>478</v>
      </c>
      <c r="P515" s="3" t="s">
        <v>3360</v>
      </c>
      <c r="Q515" s="3" t="s">
        <v>3360</v>
      </c>
      <c r="R515" s="3" t="s">
        <v>3360</v>
      </c>
      <c r="S515" t="s">
        <v>3356</v>
      </c>
      <c r="T515" s="130" t="s">
        <v>465</v>
      </c>
      <c r="U515" s="51">
        <v>2</v>
      </c>
      <c r="V515" s="58"/>
      <c r="W515" s="58"/>
      <c r="X515" s="59" t="s">
        <v>108</v>
      </c>
      <c r="Y515" s="93">
        <f>IF(AD515=0, 0, IF(OR(H515="", H515&lt;&gt;0), 1, 0))</f>
        <v>1</v>
      </c>
      <c r="Z515" s="3">
        <v>0</v>
      </c>
      <c r="AA515" s="3" t="s">
        <v>3361</v>
      </c>
      <c r="AD515" s="6">
        <f>ROUND((AG515*(1+AJ515)),2)</f>
        <v>60.25</v>
      </c>
      <c r="AE515" s="69">
        <v>68.662080899999992</v>
      </c>
      <c r="AF515" s="17">
        <f>(AE515*1)</f>
        <v>68.662080899999992</v>
      </c>
      <c r="AG515" s="6">
        <f>ROUND((AE515*AI515),2)</f>
        <v>44.63</v>
      </c>
      <c r="AH515" s="30" t="s">
        <v>110</v>
      </c>
      <c r="AI515" s="3">
        <v>0.65</v>
      </c>
      <c r="AJ515" s="18">
        <v>0.35</v>
      </c>
      <c r="AK515" s="6">
        <f>ROUND((AD515-(AD515*BG515)),2)</f>
        <v>59.65</v>
      </c>
      <c r="AL515" s="6">
        <f>ROUND((AD515-(AD515*BH515)),2)</f>
        <v>59.05</v>
      </c>
      <c r="AM515" s="6">
        <f>ROUND((AD515-(AD515*BI515)),2)</f>
        <v>58.44</v>
      </c>
      <c r="AN515" s="6">
        <f>ROUND((AD515-(AD515*BJ515)),2)</f>
        <v>58.44</v>
      </c>
      <c r="AO515" s="6">
        <f>ROUND((AD515-(AD515*BK515)),2)</f>
        <v>60.25</v>
      </c>
      <c r="BG515" s="12">
        <v>0.01</v>
      </c>
      <c r="BH515" s="12">
        <v>0.02</v>
      </c>
      <c r="BI515" s="12">
        <v>0.03</v>
      </c>
      <c r="BJ515" s="12">
        <v>0.03</v>
      </c>
      <c r="CC515" s="3" t="str">
        <f>IF(B515&lt;&gt;"",CONCATENATE(SUBSTITUTE(B515," ","-"),".jpg"),"")</f>
        <v>Allied-Moulded-AMP864CCF.jpg</v>
      </c>
      <c r="CD515" s="16" t="s">
        <v>111</v>
      </c>
      <c r="CE515" s="3"/>
      <c r="CF515" s="3"/>
      <c r="CG515" s="3" t="s">
        <v>112</v>
      </c>
      <c r="CI515" s="3" t="s">
        <v>97</v>
      </c>
      <c r="CJ515" s="3" t="s">
        <v>481</v>
      </c>
      <c r="CK515" s="3" t="s">
        <v>114</v>
      </c>
      <c r="CL515" s="3" t="s">
        <v>115</v>
      </c>
      <c r="CM515" s="16"/>
      <c r="CN515" s="16" t="s">
        <v>349</v>
      </c>
      <c r="CO515" s="3" t="s">
        <v>482</v>
      </c>
      <c r="CP515" s="3" t="s">
        <v>139</v>
      </c>
      <c r="CQ515" s="3" t="s">
        <v>120</v>
      </c>
      <c r="CR515" s="16" t="s">
        <v>121</v>
      </c>
      <c r="CS515" s="3" t="s">
        <v>384</v>
      </c>
      <c r="CT515" s="16" t="s">
        <v>385</v>
      </c>
      <c r="CU515" s="16" t="s">
        <v>351</v>
      </c>
      <c r="CV515" s="16" t="s">
        <v>657</v>
      </c>
    </row>
    <row r="516" spans="1:100" ht="15" customHeight="1">
      <c r="A516" t="s">
        <v>3362</v>
      </c>
      <c r="B516" s="3" t="s">
        <v>3363</v>
      </c>
      <c r="C516" s="16" t="s">
        <v>97</v>
      </c>
      <c r="D516" s="40" t="s">
        <v>3364</v>
      </c>
      <c r="E516" s="16" t="s">
        <v>97</v>
      </c>
      <c r="F516" s="131" t="s">
        <v>3365</v>
      </c>
      <c r="I516" s="100" t="s">
        <v>342</v>
      </c>
      <c r="J516" s="16" t="s">
        <v>101</v>
      </c>
      <c r="K516" s="16"/>
      <c r="L516" s="3" t="s">
        <v>102</v>
      </c>
      <c r="M516" s="3" t="s">
        <v>103</v>
      </c>
      <c r="N516" s="3" t="s">
        <v>104</v>
      </c>
      <c r="O516" s="16" t="s">
        <v>478</v>
      </c>
      <c r="P516" s="3" t="s">
        <v>3366</v>
      </c>
      <c r="Q516" s="3" t="s">
        <v>3366</v>
      </c>
      <c r="R516" s="3" t="s">
        <v>3366</v>
      </c>
      <c r="S516" t="s">
        <v>3362</v>
      </c>
      <c r="T516" s="130" t="s">
        <v>465</v>
      </c>
      <c r="U516" s="51">
        <v>2</v>
      </c>
      <c r="V516" s="58"/>
      <c r="W516" s="58"/>
      <c r="X516" s="59" t="s">
        <v>108</v>
      </c>
      <c r="Y516" s="93">
        <f>IF(AD516=0, 0, IF(OR(H516="", H516&lt;&gt;0), 1, 0))</f>
        <v>1</v>
      </c>
      <c r="Z516" s="3">
        <v>0</v>
      </c>
      <c r="AA516" s="3" t="s">
        <v>3367</v>
      </c>
      <c r="AD516" s="6">
        <f>ROUND((AG516*(1+AJ516)),2)</f>
        <v>61.56</v>
      </c>
      <c r="AE516" s="69">
        <v>70.154734649999995</v>
      </c>
      <c r="AF516" s="17">
        <f>(AE516*1)</f>
        <v>70.154734649999995</v>
      </c>
      <c r="AG516" s="6">
        <f>ROUND((AE516*AI516),2)</f>
        <v>45.6</v>
      </c>
      <c r="AH516" s="30" t="s">
        <v>110</v>
      </c>
      <c r="AI516" s="3">
        <v>0.65</v>
      </c>
      <c r="AJ516" s="18">
        <v>0.35</v>
      </c>
      <c r="AK516" s="6">
        <f>ROUND((AD516-(AD516*BG516)),2)</f>
        <v>60.94</v>
      </c>
      <c r="AL516" s="6">
        <f>ROUND((AD516-(AD516*BH516)),2)</f>
        <v>60.33</v>
      </c>
      <c r="AM516" s="6">
        <f>ROUND((AD516-(AD516*BI516)),2)</f>
        <v>59.71</v>
      </c>
      <c r="AN516" s="6">
        <f>ROUND((AD516-(AD516*BJ516)),2)</f>
        <v>59.71</v>
      </c>
      <c r="AO516" s="6">
        <f>ROUND((AD516-(AD516*BK516)),2)</f>
        <v>61.56</v>
      </c>
      <c r="BG516" s="12">
        <v>0.01</v>
      </c>
      <c r="BH516" s="12">
        <v>0.02</v>
      </c>
      <c r="BI516" s="12">
        <v>0.03</v>
      </c>
      <c r="BJ516" s="12">
        <v>0.03</v>
      </c>
      <c r="CC516" s="3" t="str">
        <f>IF(B516&lt;&gt;"",CONCATENATE(SUBSTITUTE(B516," ","-"),".jpg"),"")</f>
        <v>Allied-Moulded-AMP864CCH.jpg</v>
      </c>
      <c r="CD516" s="16" t="s">
        <v>111</v>
      </c>
      <c r="CE516" s="3"/>
      <c r="CF516" s="3"/>
      <c r="CG516" s="3" t="s">
        <v>112</v>
      </c>
      <c r="CI516" s="3" t="s">
        <v>97</v>
      </c>
      <c r="CJ516" s="3" t="s">
        <v>481</v>
      </c>
      <c r="CK516" s="3" t="s">
        <v>114</v>
      </c>
      <c r="CL516" s="3" t="s">
        <v>115</v>
      </c>
      <c r="CM516" s="3" t="s">
        <v>116</v>
      </c>
      <c r="CN516" s="16" t="s">
        <v>349</v>
      </c>
      <c r="CO516" s="3" t="s">
        <v>482</v>
      </c>
      <c r="CP516" s="3" t="s">
        <v>139</v>
      </c>
      <c r="CQ516" s="3" t="s">
        <v>120</v>
      </c>
      <c r="CR516" s="16" t="s">
        <v>121</v>
      </c>
      <c r="CS516" s="3" t="s">
        <v>384</v>
      </c>
      <c r="CT516" s="16" t="s">
        <v>385</v>
      </c>
      <c r="CU516" s="16" t="s">
        <v>351</v>
      </c>
      <c r="CV516" s="16" t="s">
        <v>657</v>
      </c>
    </row>
    <row r="517" spans="1:100" ht="15" customHeight="1">
      <c r="A517" t="s">
        <v>3368</v>
      </c>
      <c r="B517" s="3" t="s">
        <v>3369</v>
      </c>
      <c r="C517" s="16" t="s">
        <v>97</v>
      </c>
      <c r="D517" s="39" t="s">
        <v>3370</v>
      </c>
      <c r="E517" s="16" t="s">
        <v>97</v>
      </c>
      <c r="F517" s="131" t="s">
        <v>3371</v>
      </c>
      <c r="I517" s="100" t="s">
        <v>342</v>
      </c>
      <c r="J517" s="16" t="s">
        <v>101</v>
      </c>
      <c r="K517" s="16"/>
      <c r="L517" s="3" t="s">
        <v>102</v>
      </c>
      <c r="M517" s="3" t="s">
        <v>103</v>
      </c>
      <c r="N517" s="3" t="s">
        <v>104</v>
      </c>
      <c r="O517" s="16" t="s">
        <v>478</v>
      </c>
      <c r="P517" s="3" t="s">
        <v>3372</v>
      </c>
      <c r="Q517" s="3" t="s">
        <v>3372</v>
      </c>
      <c r="R517" s="3" t="s">
        <v>3372</v>
      </c>
      <c r="S517" t="s">
        <v>3368</v>
      </c>
      <c r="T517" s="130" t="s">
        <v>465</v>
      </c>
      <c r="U517" s="50">
        <v>2</v>
      </c>
      <c r="V517" s="54"/>
      <c r="W517" s="54"/>
      <c r="X517" s="59" t="s">
        <v>108</v>
      </c>
      <c r="Y517" s="93">
        <f>IF(AD517=0, 0, IF(OR(H517="", H517&lt;&gt;0), 1, 0))</f>
        <v>1</v>
      </c>
      <c r="Z517" s="3">
        <v>0</v>
      </c>
      <c r="AA517" s="3" t="s">
        <v>3373</v>
      </c>
      <c r="AD517" s="6">
        <f>ROUND((AG517*(1+AJ517)),2)</f>
        <v>64.64</v>
      </c>
      <c r="AE517" s="69">
        <v>73.664060399999997</v>
      </c>
      <c r="AF517" s="17">
        <f>(AE517*1)</f>
        <v>73.664060399999997</v>
      </c>
      <c r="AG517" s="6">
        <f>ROUND((AE517*AI517),2)</f>
        <v>47.88</v>
      </c>
      <c r="AH517" s="30" t="s">
        <v>110</v>
      </c>
      <c r="AI517" s="3">
        <v>0.65</v>
      </c>
      <c r="AJ517" s="18">
        <v>0.35</v>
      </c>
      <c r="AK517" s="6">
        <f>ROUND((AD517-(AD517*BG517)),2)</f>
        <v>63.99</v>
      </c>
      <c r="AL517" s="6">
        <f>ROUND((AD517-(AD517*BH517)),2)</f>
        <v>63.35</v>
      </c>
      <c r="AM517" s="6">
        <f>ROUND((AD517-(AD517*BI517)),2)</f>
        <v>62.7</v>
      </c>
      <c r="AN517" s="6">
        <f>ROUND((AD517-(AD517*BJ517)),2)</f>
        <v>62.7</v>
      </c>
      <c r="AO517" s="6">
        <f>ROUND((AD517-(AD517*BK517)),2)</f>
        <v>64.64</v>
      </c>
      <c r="BG517" s="12">
        <v>0.01</v>
      </c>
      <c r="BH517" s="12">
        <v>0.02</v>
      </c>
      <c r="BI517" s="12">
        <v>0.03</v>
      </c>
      <c r="BJ517" s="12">
        <v>0.03</v>
      </c>
      <c r="CC517" s="3" t="str">
        <f>IF(B517&lt;&gt;"",CONCATENATE(SUBSTITUTE(B517," ","-"),".jpg"),"")</f>
        <v>Allied-Moulded-AMP864CCHF.jpg</v>
      </c>
      <c r="CD517" s="16" t="s">
        <v>111</v>
      </c>
      <c r="CE517" s="3"/>
      <c r="CF517" s="3"/>
      <c r="CG517" s="3" t="s">
        <v>112</v>
      </c>
      <c r="CI517" s="3" t="s">
        <v>97</v>
      </c>
      <c r="CJ517" s="3" t="s">
        <v>481</v>
      </c>
      <c r="CK517" s="3" t="s">
        <v>114</v>
      </c>
      <c r="CL517" s="3" t="s">
        <v>115</v>
      </c>
      <c r="CM517" s="3" t="s">
        <v>116</v>
      </c>
      <c r="CN517" s="16" t="s">
        <v>349</v>
      </c>
      <c r="CO517" s="3" t="s">
        <v>482</v>
      </c>
      <c r="CP517" s="3" t="s">
        <v>139</v>
      </c>
      <c r="CQ517" s="3" t="s">
        <v>120</v>
      </c>
      <c r="CR517" s="16" t="s">
        <v>121</v>
      </c>
      <c r="CS517" s="3" t="s">
        <v>384</v>
      </c>
      <c r="CT517" s="16" t="s">
        <v>385</v>
      </c>
      <c r="CU517" s="16" t="s">
        <v>351</v>
      </c>
      <c r="CV517" s="16" t="s">
        <v>657</v>
      </c>
    </row>
    <row r="518" spans="1:100" ht="15" customHeight="1">
      <c r="A518" t="s">
        <v>3374</v>
      </c>
      <c r="B518" s="3" t="s">
        <v>3375</v>
      </c>
      <c r="C518" s="16" t="s">
        <v>97</v>
      </c>
      <c r="D518" s="39" t="s">
        <v>3376</v>
      </c>
      <c r="E518" s="16" t="s">
        <v>97</v>
      </c>
      <c r="F518" s="131" t="s">
        <v>3377</v>
      </c>
      <c r="I518" s="100" t="s">
        <v>342</v>
      </c>
      <c r="J518" s="16" t="s">
        <v>101</v>
      </c>
      <c r="K518" s="16"/>
      <c r="L518" s="3" t="s">
        <v>102</v>
      </c>
      <c r="M518" s="3" t="s">
        <v>103</v>
      </c>
      <c r="N518" s="3" t="s">
        <v>104</v>
      </c>
      <c r="O518" s="16" t="s">
        <v>478</v>
      </c>
      <c r="P518" s="3" t="s">
        <v>3378</v>
      </c>
      <c r="Q518" s="3" t="s">
        <v>3378</v>
      </c>
      <c r="R518" s="3" t="s">
        <v>3378</v>
      </c>
      <c r="S518" t="s">
        <v>3374</v>
      </c>
      <c r="T518" s="130" t="s">
        <v>465</v>
      </c>
      <c r="U518" s="50">
        <v>2</v>
      </c>
      <c r="V518" s="54"/>
      <c r="W518" s="54"/>
      <c r="X518" s="59" t="s">
        <v>108</v>
      </c>
      <c r="Y518" s="93">
        <f>IF(AD518=0, 0, IF(OR(H518="", H518&lt;&gt;0), 1, 0))</f>
        <v>1</v>
      </c>
      <c r="Z518" s="3">
        <v>0</v>
      </c>
      <c r="AA518" s="3" t="s">
        <v>3379</v>
      </c>
      <c r="AD518" s="6">
        <f>ROUND((AG518*(1+AJ518)),2)</f>
        <v>74.489999999999995</v>
      </c>
      <c r="AE518" s="69">
        <v>84.890723400000013</v>
      </c>
      <c r="AF518" s="17">
        <f>(AE518*1)</f>
        <v>84.890723400000013</v>
      </c>
      <c r="AG518" s="6">
        <f>ROUND((AE518*AI518),2)</f>
        <v>55.18</v>
      </c>
      <c r="AH518" s="30" t="s">
        <v>110</v>
      </c>
      <c r="AI518" s="3">
        <v>0.65</v>
      </c>
      <c r="AJ518" s="18">
        <v>0.35</v>
      </c>
      <c r="AK518" s="6">
        <f>ROUND((AD518-(AD518*BG518)),2)</f>
        <v>73.75</v>
      </c>
      <c r="AL518" s="6">
        <f>ROUND((AD518-(AD518*BH518)),2)</f>
        <v>73</v>
      </c>
      <c r="AM518" s="6">
        <f>ROUND((AD518-(AD518*BI518)),2)</f>
        <v>72.260000000000005</v>
      </c>
      <c r="AN518" s="6">
        <f>ROUND((AD518-(AD518*BJ518)),2)</f>
        <v>72.260000000000005</v>
      </c>
      <c r="AO518" s="6">
        <f>ROUND((AD518-(AD518*BK518)),2)</f>
        <v>74.489999999999995</v>
      </c>
      <c r="BG518" s="12">
        <v>0.01</v>
      </c>
      <c r="BH518" s="12">
        <v>0.02</v>
      </c>
      <c r="BI518" s="12">
        <v>0.03</v>
      </c>
      <c r="BJ518" s="12">
        <v>0.03</v>
      </c>
      <c r="CC518" s="3" t="str">
        <f>IF(B518&lt;&gt;"",CONCATENATE(SUBSTITUTE(B518," ","-"),".jpg"),"")</f>
        <v>Allied-Moulded-AMP864CCL.jpg</v>
      </c>
      <c r="CD518" s="16" t="s">
        <v>111</v>
      </c>
      <c r="CE518" s="3"/>
      <c r="CF518" s="3"/>
      <c r="CG518" s="3" t="s">
        <v>112</v>
      </c>
      <c r="CI518" s="3" t="s">
        <v>97</v>
      </c>
      <c r="CJ518" s="3" t="s">
        <v>481</v>
      </c>
      <c r="CK518" s="3" t="s">
        <v>114</v>
      </c>
      <c r="CL518" s="3" t="s">
        <v>115</v>
      </c>
      <c r="CM518" s="3" t="s">
        <v>116</v>
      </c>
      <c r="CN518" t="s">
        <v>117</v>
      </c>
      <c r="CO518" s="3" t="s">
        <v>482</v>
      </c>
      <c r="CP518" s="3" t="s">
        <v>139</v>
      </c>
      <c r="CQ518" s="3" t="s">
        <v>120</v>
      </c>
      <c r="CR518" s="16" t="s">
        <v>121</v>
      </c>
      <c r="CS518" s="16" t="s">
        <v>122</v>
      </c>
      <c r="CT518" s="16" t="s">
        <v>385</v>
      </c>
      <c r="CU518" s="16" t="s">
        <v>351</v>
      </c>
      <c r="CV518" s="16" t="s">
        <v>657</v>
      </c>
    </row>
    <row r="519" spans="1:100" ht="15" customHeight="1">
      <c r="A519" t="s">
        <v>3380</v>
      </c>
      <c r="B519" s="3" t="s">
        <v>3381</v>
      </c>
      <c r="C519" s="16" t="s">
        <v>97</v>
      </c>
      <c r="D519" s="40" t="s">
        <v>3382</v>
      </c>
      <c r="E519" s="16" t="s">
        <v>97</v>
      </c>
      <c r="F519" s="131" t="s">
        <v>3383</v>
      </c>
      <c r="I519" s="100" t="s">
        <v>342</v>
      </c>
      <c r="J519" s="16" t="s">
        <v>101</v>
      </c>
      <c r="K519" s="16"/>
      <c r="L519" s="3" t="s">
        <v>102</v>
      </c>
      <c r="M519" s="3" t="s">
        <v>103</v>
      </c>
      <c r="N519" s="3" t="s">
        <v>104</v>
      </c>
      <c r="O519" s="16" t="s">
        <v>478</v>
      </c>
      <c r="P519" s="3" t="s">
        <v>3384</v>
      </c>
      <c r="Q519" s="3" t="s">
        <v>3384</v>
      </c>
      <c r="R519" s="3" t="s">
        <v>3384</v>
      </c>
      <c r="S519" t="s">
        <v>3380</v>
      </c>
      <c r="T519" s="130" t="s">
        <v>465</v>
      </c>
      <c r="U519" s="51">
        <v>2</v>
      </c>
      <c r="V519" s="58"/>
      <c r="W519" s="58"/>
      <c r="X519" s="59" t="s">
        <v>108</v>
      </c>
      <c r="Y519" s="93">
        <f>IF(AD519=0, 0, IF(OR(H519="", H519&lt;&gt;0), 1, 0))</f>
        <v>1</v>
      </c>
      <c r="Z519" s="3">
        <v>0</v>
      </c>
      <c r="AA519" s="3" t="s">
        <v>3385</v>
      </c>
      <c r="AD519" s="6">
        <f>ROUND((AG519*(1+AJ519)),2)</f>
        <v>78.23</v>
      </c>
      <c r="AE519" s="69">
        <v>89.146374449999996</v>
      </c>
      <c r="AF519" s="17">
        <f>(AE519*1)</f>
        <v>89.146374449999996</v>
      </c>
      <c r="AG519" s="6">
        <f>ROUND((AE519*AI519),2)</f>
        <v>57.95</v>
      </c>
      <c r="AH519" s="30" t="s">
        <v>110</v>
      </c>
      <c r="AI519" s="3">
        <v>0.65</v>
      </c>
      <c r="AJ519" s="18">
        <v>0.35</v>
      </c>
      <c r="AK519" s="6">
        <f>ROUND((AD519-(AD519*BG519)),2)</f>
        <v>77.45</v>
      </c>
      <c r="AL519" s="6">
        <f>ROUND((AD519-(AD519*BH519)),2)</f>
        <v>76.67</v>
      </c>
      <c r="AM519" s="6">
        <f>ROUND((AD519-(AD519*BI519)),2)</f>
        <v>75.88</v>
      </c>
      <c r="AN519" s="6">
        <f>ROUND((AD519-(AD519*BJ519)),2)</f>
        <v>75.88</v>
      </c>
      <c r="AO519" s="6">
        <f>ROUND((AD519-(AD519*BK519)),2)</f>
        <v>78.23</v>
      </c>
      <c r="BG519" s="12">
        <v>0.01</v>
      </c>
      <c r="BH519" s="12">
        <v>0.02</v>
      </c>
      <c r="BI519" s="12">
        <v>0.03</v>
      </c>
      <c r="BJ519" s="12">
        <v>0.03</v>
      </c>
      <c r="CC519" s="3" t="str">
        <f>IF(B519&lt;&gt;"",CONCATENATE(SUBSTITUTE(B519," ","-"),".jpg"),"")</f>
        <v>Allied-Moulded-AMP864CCLF.jpg</v>
      </c>
      <c r="CD519" s="16" t="s">
        <v>111</v>
      </c>
      <c r="CE519" s="3"/>
      <c r="CF519" s="3"/>
      <c r="CG519" s="3" t="s">
        <v>112</v>
      </c>
      <c r="CI519" s="3" t="s">
        <v>97</v>
      </c>
      <c r="CJ519" s="3" t="s">
        <v>481</v>
      </c>
      <c r="CK519" s="3" t="s">
        <v>114</v>
      </c>
      <c r="CL519" s="3" t="s">
        <v>115</v>
      </c>
      <c r="CM519" s="3" t="s">
        <v>116</v>
      </c>
      <c r="CN519" t="s">
        <v>117</v>
      </c>
      <c r="CO519" s="3" t="s">
        <v>482</v>
      </c>
      <c r="CP519" s="3" t="s">
        <v>139</v>
      </c>
      <c r="CQ519" s="3" t="s">
        <v>120</v>
      </c>
      <c r="CR519" s="16" t="s">
        <v>121</v>
      </c>
      <c r="CS519" s="16" t="s">
        <v>122</v>
      </c>
      <c r="CT519" s="16" t="s">
        <v>385</v>
      </c>
      <c r="CU519" s="16" t="s">
        <v>351</v>
      </c>
      <c r="CV519" s="16" t="s">
        <v>657</v>
      </c>
    </row>
    <row r="520" spans="1:100" ht="15" customHeight="1">
      <c r="A520" t="s">
        <v>3386</v>
      </c>
      <c r="B520" s="3" t="s">
        <v>3387</v>
      </c>
      <c r="C520" s="16" t="s">
        <v>97</v>
      </c>
      <c r="D520" s="39" t="s">
        <v>3388</v>
      </c>
      <c r="E520" s="16" t="s">
        <v>97</v>
      </c>
      <c r="F520" s="131" t="s">
        <v>3389</v>
      </c>
      <c r="I520" s="100" t="s">
        <v>342</v>
      </c>
      <c r="J520" s="16" t="s">
        <v>101</v>
      </c>
      <c r="K520" s="16"/>
      <c r="L520" s="3" t="s">
        <v>102</v>
      </c>
      <c r="M520" s="3" t="s">
        <v>103</v>
      </c>
      <c r="N520" s="3" t="s">
        <v>104</v>
      </c>
      <c r="O520" s="16" t="s">
        <v>478</v>
      </c>
      <c r="P520" s="3" t="s">
        <v>3390</v>
      </c>
      <c r="Q520" s="3" t="s">
        <v>3390</v>
      </c>
      <c r="R520" s="3" t="s">
        <v>3390</v>
      </c>
      <c r="S520" t="s">
        <v>3386</v>
      </c>
      <c r="T520" s="130" t="s">
        <v>465</v>
      </c>
      <c r="U520" s="50">
        <v>2</v>
      </c>
      <c r="V520" s="54"/>
      <c r="W520" s="54"/>
      <c r="X520" s="59" t="s">
        <v>108</v>
      </c>
      <c r="Y520" s="93">
        <f>IF(AD520=0, 0, IF(OR(H520="", H520&lt;&gt;0), 1, 0))</f>
        <v>1</v>
      </c>
      <c r="Z520" s="3">
        <v>0</v>
      </c>
      <c r="AA520" s="3" t="s">
        <v>3391</v>
      </c>
      <c r="AD520" s="6">
        <f>ROUND((AG520*(1+AJ520)),2)</f>
        <v>74.290000000000006</v>
      </c>
      <c r="AE520" s="69">
        <v>84.6684111</v>
      </c>
      <c r="AF520" s="17">
        <f>(AE520*1)</f>
        <v>84.6684111</v>
      </c>
      <c r="AG520" s="6">
        <f>ROUND((AE520*AI520),2)</f>
        <v>55.03</v>
      </c>
      <c r="AH520" s="30" t="s">
        <v>110</v>
      </c>
      <c r="AI520" s="3">
        <v>0.65</v>
      </c>
      <c r="AJ520" s="18">
        <v>0.35</v>
      </c>
      <c r="AK520" s="6">
        <f>ROUND((AD520-(AD520*BG520)),2)</f>
        <v>73.55</v>
      </c>
      <c r="AL520" s="6">
        <f>ROUND((AD520-(AD520*BH520)),2)</f>
        <v>72.8</v>
      </c>
      <c r="AM520" s="6">
        <f>ROUND((AD520-(AD520*BI520)),2)</f>
        <v>72.06</v>
      </c>
      <c r="AN520" s="6">
        <f>ROUND((AD520-(AD520*BJ520)),2)</f>
        <v>72.06</v>
      </c>
      <c r="AO520" s="6">
        <f>ROUND((AD520-(AD520*BK520)),2)</f>
        <v>74.290000000000006</v>
      </c>
      <c r="BG520" s="12">
        <v>0.01</v>
      </c>
      <c r="BH520" s="12">
        <v>0.02</v>
      </c>
      <c r="BI520" s="12">
        <v>0.03</v>
      </c>
      <c r="BJ520" s="12">
        <v>0.03</v>
      </c>
      <c r="CC520" s="3" t="str">
        <f>IF(B520&lt;&gt;"",CONCATENATE(SUBSTITUTE(B520," ","-"),".jpg"),"")</f>
        <v>Allied-Moulded-AMP864CCNLF.jpg</v>
      </c>
      <c r="CD520" s="16" t="s">
        <v>111</v>
      </c>
      <c r="CE520" s="3"/>
      <c r="CF520" s="3"/>
      <c r="CG520" s="3" t="s">
        <v>112</v>
      </c>
      <c r="CI520" s="3" t="s">
        <v>97</v>
      </c>
      <c r="CJ520" s="3" t="s">
        <v>481</v>
      </c>
      <c r="CK520" s="3" t="s">
        <v>114</v>
      </c>
      <c r="CL520" s="3" t="s">
        <v>115</v>
      </c>
      <c r="CM520" s="3" t="s">
        <v>116</v>
      </c>
      <c r="CN520" t="s">
        <v>117</v>
      </c>
      <c r="CO520" s="3" t="s">
        <v>482</v>
      </c>
      <c r="CP520" s="3" t="s">
        <v>139</v>
      </c>
      <c r="CQ520" s="3" t="s">
        <v>120</v>
      </c>
      <c r="CR520" s="16" t="s">
        <v>121</v>
      </c>
      <c r="CS520" s="16" t="s">
        <v>122</v>
      </c>
      <c r="CT520" s="16" t="s">
        <v>385</v>
      </c>
      <c r="CU520" s="16" t="s">
        <v>351</v>
      </c>
      <c r="CV520" s="16" t="s">
        <v>657</v>
      </c>
    </row>
    <row r="521" spans="1:100" ht="15" customHeight="1">
      <c r="A521" t="s">
        <v>3392</v>
      </c>
      <c r="B521" s="3" t="s">
        <v>3393</v>
      </c>
      <c r="C521" s="16" t="s">
        <v>97</v>
      </c>
      <c r="D521" s="39" t="s">
        <v>3394</v>
      </c>
      <c r="E521" s="16" t="s">
        <v>97</v>
      </c>
      <c r="F521" s="131" t="s">
        <v>3395</v>
      </c>
      <c r="I521" s="100" t="s">
        <v>342</v>
      </c>
      <c r="J521" s="16" t="s">
        <v>101</v>
      </c>
      <c r="K521" s="16"/>
      <c r="L521" s="3" t="s">
        <v>102</v>
      </c>
      <c r="M521" s="3" t="s">
        <v>103</v>
      </c>
      <c r="N521" s="3" t="s">
        <v>104</v>
      </c>
      <c r="O521" s="16" t="s">
        <v>478</v>
      </c>
      <c r="P521" s="2" t="s">
        <v>3396</v>
      </c>
      <c r="Q521" s="2" t="s">
        <v>3396</v>
      </c>
      <c r="R521" s="2" t="s">
        <v>3396</v>
      </c>
      <c r="S521" t="s">
        <v>3392</v>
      </c>
      <c r="T521" s="130" t="s">
        <v>465</v>
      </c>
      <c r="U521" s="50">
        <v>2</v>
      </c>
      <c r="V521" s="54"/>
      <c r="W521" s="54"/>
      <c r="X521" s="59" t="s">
        <v>108</v>
      </c>
      <c r="Y521" s="93">
        <f>IF(AD521=0, 0, IF(OR(H521="", H521&lt;&gt;0), 1, 0))</f>
        <v>1</v>
      </c>
      <c r="Z521" s="3">
        <v>0</v>
      </c>
      <c r="AA521" s="3" t="s">
        <v>3397</v>
      </c>
      <c r="AD521" s="6">
        <f>ROUND((AG521*(1+AJ521)),2)</f>
        <v>52.16</v>
      </c>
      <c r="AE521" s="69">
        <v>59.452087800000001</v>
      </c>
      <c r="AF521" s="17">
        <f>(AE521*1)</f>
        <v>59.452087800000001</v>
      </c>
      <c r="AG521" s="6">
        <f>ROUND((AE521*AI521),2)</f>
        <v>38.64</v>
      </c>
      <c r="AH521" s="30" t="s">
        <v>110</v>
      </c>
      <c r="AI521" s="3">
        <v>0.65</v>
      </c>
      <c r="AJ521" s="18">
        <v>0.35</v>
      </c>
      <c r="AK521" s="6">
        <f>ROUND((AD521-(AD521*BG521)),2)</f>
        <v>51.64</v>
      </c>
      <c r="AL521" s="6">
        <f>ROUND((AD521-(AD521*BH521)),2)</f>
        <v>51.12</v>
      </c>
      <c r="AM521" s="6">
        <f>ROUND((AD521-(AD521*BI521)),2)</f>
        <v>50.6</v>
      </c>
      <c r="AN521" s="6">
        <f>ROUND((AD521-(AD521*BJ521)),2)</f>
        <v>50.6</v>
      </c>
      <c r="AO521" s="6">
        <f>ROUND((AD521-(AD521*BK521)),2)</f>
        <v>52.16</v>
      </c>
      <c r="BG521" s="12">
        <v>0.01</v>
      </c>
      <c r="BH521" s="12">
        <v>0.02</v>
      </c>
      <c r="BI521" s="12">
        <v>0.03</v>
      </c>
      <c r="BJ521" s="12">
        <v>0.03</v>
      </c>
      <c r="CC521" s="3" t="str">
        <f>IF(B521&lt;&gt;"",CONCATENATE(SUBSTITUTE(B521," ","-"),".jpg"),"")</f>
        <v>Allied-Moulded-AMP864.jpg</v>
      </c>
      <c r="CD521" s="16" t="s">
        <v>111</v>
      </c>
      <c r="CE521" s="3"/>
      <c r="CF521" s="3"/>
      <c r="CG521" s="3" t="s">
        <v>112</v>
      </c>
      <c r="CI521" s="3" t="s">
        <v>97</v>
      </c>
      <c r="CJ521" s="3" t="s">
        <v>481</v>
      </c>
      <c r="CK521" s="3" t="s">
        <v>114</v>
      </c>
      <c r="CL521" s="3" t="s">
        <v>115</v>
      </c>
      <c r="CM521" s="16"/>
      <c r="CN521" s="16" t="s">
        <v>349</v>
      </c>
      <c r="CO521" s="3" t="s">
        <v>482</v>
      </c>
      <c r="CP521" s="3" t="s">
        <v>139</v>
      </c>
      <c r="CQ521" s="3" t="s">
        <v>120</v>
      </c>
      <c r="CR521" s="3" t="s">
        <v>140</v>
      </c>
      <c r="CS521" s="3" t="s">
        <v>384</v>
      </c>
      <c r="CT521" s="16" t="s">
        <v>385</v>
      </c>
      <c r="CU521" s="16" t="s">
        <v>351</v>
      </c>
      <c r="CV521" s="16" t="s">
        <v>657</v>
      </c>
    </row>
    <row r="522" spans="1:100" ht="15" customHeight="1">
      <c r="A522" t="s">
        <v>3398</v>
      </c>
      <c r="B522" s="3" t="s">
        <v>3399</v>
      </c>
      <c r="C522" s="16" t="s">
        <v>97</v>
      </c>
      <c r="D522" s="38" t="s">
        <v>3400</v>
      </c>
      <c r="E522" s="16" t="s">
        <v>97</v>
      </c>
      <c r="F522" s="131" t="s">
        <v>3401</v>
      </c>
      <c r="I522" s="100" t="s">
        <v>342</v>
      </c>
      <c r="J522" s="16" t="s">
        <v>101</v>
      </c>
      <c r="K522" s="16"/>
      <c r="L522" s="3" t="s">
        <v>102</v>
      </c>
      <c r="M522" s="3" t="s">
        <v>103</v>
      </c>
      <c r="N522" s="3" t="s">
        <v>104</v>
      </c>
      <c r="O522" s="16" t="s">
        <v>478</v>
      </c>
      <c r="P522" s="2" t="s">
        <v>3402</v>
      </c>
      <c r="Q522" s="2" t="s">
        <v>3402</v>
      </c>
      <c r="R522" s="2" t="s">
        <v>3402</v>
      </c>
      <c r="S522" t="s">
        <v>3398</v>
      </c>
      <c r="T522" s="130" t="s">
        <v>465</v>
      </c>
      <c r="U522" s="49">
        <v>2</v>
      </c>
      <c r="V522" s="58"/>
      <c r="W522" s="58"/>
      <c r="X522" s="59" t="s">
        <v>108</v>
      </c>
      <c r="Y522" s="93">
        <f>IF(AD522=0, 0, IF(OR(H522="", H522&lt;&gt;0), 1, 0))</f>
        <v>1</v>
      </c>
      <c r="Z522" s="3">
        <v>0</v>
      </c>
      <c r="AA522" s="3" t="s">
        <v>3403</v>
      </c>
      <c r="AD522" s="6">
        <f>ROUND((AG522*(1+AJ522)),2)</f>
        <v>54.77</v>
      </c>
      <c r="AE522" s="68">
        <v>62.421518249999998</v>
      </c>
      <c r="AF522" s="17">
        <f>(AE522*1)</f>
        <v>62.421518249999998</v>
      </c>
      <c r="AG522" s="6">
        <f>ROUND((AE522*AI522),2)</f>
        <v>40.57</v>
      </c>
      <c r="AH522" s="30" t="s">
        <v>110</v>
      </c>
      <c r="AI522" s="3">
        <v>0.65</v>
      </c>
      <c r="AJ522" s="18">
        <v>0.35</v>
      </c>
      <c r="AK522" s="6">
        <f>ROUND((AD522-(AD522*BG522)),2)</f>
        <v>54.22</v>
      </c>
      <c r="AL522" s="6">
        <f>ROUND((AD522-(AD522*BH522)),2)</f>
        <v>53.67</v>
      </c>
      <c r="AM522" s="6">
        <f>ROUND((AD522-(AD522*BI522)),2)</f>
        <v>53.13</v>
      </c>
      <c r="AN522" s="6">
        <f>ROUND((AD522-(AD522*BJ522)),2)</f>
        <v>53.13</v>
      </c>
      <c r="AO522" s="6">
        <f>ROUND((AD522-(AD522*BK522)),2)</f>
        <v>54.77</v>
      </c>
      <c r="BG522" s="12">
        <v>0.01</v>
      </c>
      <c r="BH522" s="12">
        <v>0.02</v>
      </c>
      <c r="BI522" s="12">
        <v>0.03</v>
      </c>
      <c r="BJ522" s="12">
        <v>0.03</v>
      </c>
      <c r="CC522" s="3" t="str">
        <f>IF(B522&lt;&gt;"",CONCATENATE(SUBSTITUTE(B522," ","-"),".jpg"),"")</f>
        <v>Allied-Moulded-AMP864F.jpg</v>
      </c>
      <c r="CD522" s="16" t="s">
        <v>111</v>
      </c>
      <c r="CE522" s="3"/>
      <c r="CF522" s="3"/>
      <c r="CG522" s="3" t="s">
        <v>112</v>
      </c>
      <c r="CI522" s="3" t="s">
        <v>97</v>
      </c>
      <c r="CJ522" s="3" t="s">
        <v>481</v>
      </c>
      <c r="CK522" s="3" t="s">
        <v>114</v>
      </c>
      <c r="CL522" s="3" t="s">
        <v>115</v>
      </c>
      <c r="CM522" s="16"/>
      <c r="CN522" s="16" t="s">
        <v>349</v>
      </c>
      <c r="CO522" s="3" t="s">
        <v>482</v>
      </c>
      <c r="CP522" s="3" t="s">
        <v>139</v>
      </c>
      <c r="CQ522" s="3" t="s">
        <v>120</v>
      </c>
      <c r="CR522" s="3" t="s">
        <v>140</v>
      </c>
      <c r="CS522" s="3" t="s">
        <v>384</v>
      </c>
      <c r="CT522" s="16" t="s">
        <v>385</v>
      </c>
      <c r="CU522" s="16" t="s">
        <v>351</v>
      </c>
      <c r="CV522" s="16" t="s">
        <v>657</v>
      </c>
    </row>
    <row r="523" spans="1:100" ht="15" customHeight="1">
      <c r="A523" t="s">
        <v>3404</v>
      </c>
      <c r="B523" s="3" t="s">
        <v>3405</v>
      </c>
      <c r="C523" s="16" t="s">
        <v>97</v>
      </c>
      <c r="D523" s="40" t="s">
        <v>3406</v>
      </c>
      <c r="E523" s="16" t="s">
        <v>97</v>
      </c>
      <c r="F523" s="131" t="s">
        <v>3407</v>
      </c>
      <c r="I523" s="100" t="s">
        <v>342</v>
      </c>
      <c r="J523" s="16" t="s">
        <v>101</v>
      </c>
      <c r="K523" s="16"/>
      <c r="L523" s="3" t="s">
        <v>102</v>
      </c>
      <c r="M523" s="3" t="s">
        <v>103</v>
      </c>
      <c r="N523" s="3" t="s">
        <v>104</v>
      </c>
      <c r="O523" s="16" t="s">
        <v>478</v>
      </c>
      <c r="P523" s="2" t="s">
        <v>3408</v>
      </c>
      <c r="Q523" s="2" t="s">
        <v>3408</v>
      </c>
      <c r="R523" s="2" t="s">
        <v>3408</v>
      </c>
      <c r="S523" t="s">
        <v>3404</v>
      </c>
      <c r="T523" s="130" t="s">
        <v>465</v>
      </c>
      <c r="U523" s="51">
        <v>2</v>
      </c>
      <c r="V523" s="58"/>
      <c r="W523" s="58"/>
      <c r="X523" s="59" t="s">
        <v>108</v>
      </c>
      <c r="Y523" s="93">
        <f>IF(AD523=0, 0, IF(OR(H523="", H523&lt;&gt;0), 1, 0))</f>
        <v>1</v>
      </c>
      <c r="Z523" s="3">
        <v>0</v>
      </c>
      <c r="AA523" s="3" t="s">
        <v>3409</v>
      </c>
      <c r="AD523" s="6">
        <f>ROUND((AG523*(1+AJ523)),2)</f>
        <v>55.98</v>
      </c>
      <c r="AE523" s="69">
        <v>63.803015849999994</v>
      </c>
      <c r="AF523" s="17">
        <f>(AE523*1)</f>
        <v>63.803015849999994</v>
      </c>
      <c r="AG523" s="6">
        <f>ROUND((AE523*AI523),2)</f>
        <v>41.47</v>
      </c>
      <c r="AH523" s="30" t="s">
        <v>110</v>
      </c>
      <c r="AI523" s="3">
        <v>0.65</v>
      </c>
      <c r="AJ523" s="18">
        <v>0.35</v>
      </c>
      <c r="AK523" s="6">
        <f>ROUND((AD523-(AD523*BG523)),2)</f>
        <v>55.42</v>
      </c>
      <c r="AL523" s="6">
        <f>ROUND((AD523-(AD523*BH523)),2)</f>
        <v>54.86</v>
      </c>
      <c r="AM523" s="6">
        <f>ROUND((AD523-(AD523*BI523)),2)</f>
        <v>54.3</v>
      </c>
      <c r="AN523" s="6">
        <f>ROUND((AD523-(AD523*BJ523)),2)</f>
        <v>54.3</v>
      </c>
      <c r="AO523" s="6">
        <f>ROUND((AD523-(AD523*BK523)),2)</f>
        <v>55.98</v>
      </c>
      <c r="BG523" s="12">
        <v>0.01</v>
      </c>
      <c r="BH523" s="12">
        <v>0.02</v>
      </c>
      <c r="BI523" s="12">
        <v>0.03</v>
      </c>
      <c r="BJ523" s="12">
        <v>0.03</v>
      </c>
      <c r="CC523" s="3" t="str">
        <f>IF(B523&lt;&gt;"",CONCATENATE(SUBSTITUTE(B523," ","-"),".jpg"),"")</f>
        <v>Allied-Moulded-AMP864H.jpg</v>
      </c>
      <c r="CD523" s="16" t="s">
        <v>111</v>
      </c>
      <c r="CE523" s="3"/>
      <c r="CF523" s="3"/>
      <c r="CG523" s="3" t="s">
        <v>112</v>
      </c>
      <c r="CI523" s="3" t="s">
        <v>97</v>
      </c>
      <c r="CJ523" s="3" t="s">
        <v>481</v>
      </c>
      <c r="CK523" s="3" t="s">
        <v>114</v>
      </c>
      <c r="CL523" s="3" t="s">
        <v>115</v>
      </c>
      <c r="CM523" s="3" t="s">
        <v>116</v>
      </c>
      <c r="CN523" s="16" t="s">
        <v>349</v>
      </c>
      <c r="CO523" s="3" t="s">
        <v>482</v>
      </c>
      <c r="CP523" s="3" t="s">
        <v>139</v>
      </c>
      <c r="CQ523" s="3" t="s">
        <v>120</v>
      </c>
      <c r="CR523" s="3" t="s">
        <v>140</v>
      </c>
      <c r="CS523" s="3" t="s">
        <v>384</v>
      </c>
      <c r="CT523" s="16" t="s">
        <v>385</v>
      </c>
      <c r="CU523" s="16" t="s">
        <v>351</v>
      </c>
      <c r="CV523" s="16" t="s">
        <v>657</v>
      </c>
    </row>
    <row r="524" spans="1:100" ht="15" customHeight="1">
      <c r="A524" t="s">
        <v>3410</v>
      </c>
      <c r="B524" s="3" t="s">
        <v>3411</v>
      </c>
      <c r="C524" s="16" t="s">
        <v>97</v>
      </c>
      <c r="D524" s="39" t="s">
        <v>3412</v>
      </c>
      <c r="E524" s="16" t="s">
        <v>97</v>
      </c>
      <c r="F524" s="131" t="s">
        <v>3413</v>
      </c>
      <c r="I524" s="100" t="s">
        <v>342</v>
      </c>
      <c r="J524" s="16" t="s">
        <v>101</v>
      </c>
      <c r="K524" s="16"/>
      <c r="L524" s="3" t="s">
        <v>102</v>
      </c>
      <c r="M524" s="3" t="s">
        <v>103</v>
      </c>
      <c r="N524" s="3" t="s">
        <v>104</v>
      </c>
      <c r="O524" s="16" t="s">
        <v>478</v>
      </c>
      <c r="P524" s="2" t="s">
        <v>3414</v>
      </c>
      <c r="Q524" s="2" t="s">
        <v>3414</v>
      </c>
      <c r="R524" s="2" t="s">
        <v>3414</v>
      </c>
      <c r="S524" t="s">
        <v>3410</v>
      </c>
      <c r="T524" s="130" t="s">
        <v>465</v>
      </c>
      <c r="U524" s="50">
        <v>2</v>
      </c>
      <c r="V524" s="54"/>
      <c r="W524" s="54"/>
      <c r="X524" s="59" t="s">
        <v>108</v>
      </c>
      <c r="Y524" s="93">
        <f>IF(AD524=0, 0, IF(OR(H524="", H524&lt;&gt;0), 1, 0))</f>
        <v>1</v>
      </c>
      <c r="Z524" s="3">
        <v>0</v>
      </c>
      <c r="AA524" s="3" t="s">
        <v>3415</v>
      </c>
      <c r="AD524" s="6">
        <f>ROUND((AG524*(1+AJ524)),2)</f>
        <v>58.77</v>
      </c>
      <c r="AE524" s="69">
        <v>66.962996099999998</v>
      </c>
      <c r="AF524" s="17">
        <f>(AE524*1)</f>
        <v>66.962996099999998</v>
      </c>
      <c r="AG524" s="6">
        <f>ROUND((AE524*AI524),2)</f>
        <v>43.53</v>
      </c>
      <c r="AH524" s="30" t="s">
        <v>110</v>
      </c>
      <c r="AI524" s="3">
        <v>0.65</v>
      </c>
      <c r="AJ524" s="18">
        <v>0.35</v>
      </c>
      <c r="AK524" s="6">
        <f>ROUND((AD524-(AD524*BG524)),2)</f>
        <v>58.18</v>
      </c>
      <c r="AL524" s="6">
        <f>ROUND((AD524-(AD524*BH524)),2)</f>
        <v>57.59</v>
      </c>
      <c r="AM524" s="6">
        <f>ROUND((AD524-(AD524*BI524)),2)</f>
        <v>57.01</v>
      </c>
      <c r="AN524" s="6">
        <f>ROUND((AD524-(AD524*BJ524)),2)</f>
        <v>57.01</v>
      </c>
      <c r="AO524" s="6">
        <f>ROUND((AD524-(AD524*BK524)),2)</f>
        <v>58.77</v>
      </c>
      <c r="BG524" s="12">
        <v>0.01</v>
      </c>
      <c r="BH524" s="12">
        <v>0.02</v>
      </c>
      <c r="BI524" s="12">
        <v>0.03</v>
      </c>
      <c r="BJ524" s="12">
        <v>0.03</v>
      </c>
      <c r="CC524" s="3" t="str">
        <f>IF(B524&lt;&gt;"",CONCATENATE(SUBSTITUTE(B524," ","-"),".jpg"),"")</f>
        <v>Allied-Moulded-AMP864HF.jpg</v>
      </c>
      <c r="CD524" s="16" t="s">
        <v>111</v>
      </c>
      <c r="CE524" s="3"/>
      <c r="CF524" s="3"/>
      <c r="CG524" s="3" t="s">
        <v>112</v>
      </c>
      <c r="CI524" s="3" t="s">
        <v>97</v>
      </c>
      <c r="CJ524" s="3" t="s">
        <v>481</v>
      </c>
      <c r="CK524" s="3" t="s">
        <v>114</v>
      </c>
      <c r="CL524" s="3" t="s">
        <v>115</v>
      </c>
      <c r="CM524" s="3" t="s">
        <v>116</v>
      </c>
      <c r="CN524" s="16" t="s">
        <v>349</v>
      </c>
      <c r="CO524" s="3" t="s">
        <v>482</v>
      </c>
      <c r="CP524" s="3" t="s">
        <v>139</v>
      </c>
      <c r="CQ524" s="3" t="s">
        <v>120</v>
      </c>
      <c r="CR524" s="3" t="s">
        <v>140</v>
      </c>
      <c r="CS524" s="3" t="s">
        <v>384</v>
      </c>
      <c r="CT524" s="16" t="s">
        <v>385</v>
      </c>
      <c r="CU524" s="16" t="s">
        <v>351</v>
      </c>
      <c r="CV524" s="16" t="s">
        <v>657</v>
      </c>
    </row>
    <row r="525" spans="1:100" ht="15" customHeight="1">
      <c r="A525" t="s">
        <v>3416</v>
      </c>
      <c r="B525" s="3" t="s">
        <v>3417</v>
      </c>
      <c r="C525" s="16" t="s">
        <v>97</v>
      </c>
      <c r="D525" s="39" t="s">
        <v>3418</v>
      </c>
      <c r="E525" s="16" t="s">
        <v>97</v>
      </c>
      <c r="F525" s="131" t="s">
        <v>3419</v>
      </c>
      <c r="I525" s="100" t="s">
        <v>342</v>
      </c>
      <c r="J525" s="16" t="s">
        <v>101</v>
      </c>
      <c r="K525" s="16"/>
      <c r="L525" s="3" t="s">
        <v>102</v>
      </c>
      <c r="M525" s="3" t="s">
        <v>103</v>
      </c>
      <c r="N525" s="3" t="s">
        <v>104</v>
      </c>
      <c r="O525" s="16" t="s">
        <v>478</v>
      </c>
      <c r="P525" s="2" t="s">
        <v>3420</v>
      </c>
      <c r="Q525" s="2" t="s">
        <v>3420</v>
      </c>
      <c r="R525" s="2" t="s">
        <v>3420</v>
      </c>
      <c r="S525" t="s">
        <v>3416</v>
      </c>
      <c r="T525" s="130" t="s">
        <v>465</v>
      </c>
      <c r="U525" s="50">
        <v>2</v>
      </c>
      <c r="V525" s="54"/>
      <c r="W525" s="54"/>
      <c r="X525" s="59" t="s">
        <v>108</v>
      </c>
      <c r="Y525" s="93">
        <f>IF(AD525=0, 0, IF(OR(H525="", H525&lt;&gt;0), 1, 0))</f>
        <v>1</v>
      </c>
      <c r="Z525" s="3">
        <v>0</v>
      </c>
      <c r="AA525" s="3" t="s">
        <v>3421</v>
      </c>
      <c r="AD525" s="6">
        <f>ROUND((AG525*(1+AJ525)),2)</f>
        <v>67.72</v>
      </c>
      <c r="AE525" s="69">
        <v>77.173384049999996</v>
      </c>
      <c r="AF525" s="17">
        <f>(AE525*1)</f>
        <v>77.173384049999996</v>
      </c>
      <c r="AG525" s="6">
        <f>ROUND((AE525*AI525),2)</f>
        <v>50.16</v>
      </c>
      <c r="AH525" s="30" t="s">
        <v>110</v>
      </c>
      <c r="AI525" s="3">
        <v>0.65</v>
      </c>
      <c r="AJ525" s="18">
        <v>0.35</v>
      </c>
      <c r="AK525" s="6">
        <f>ROUND((AD525-(AD525*BG525)),2)</f>
        <v>67.040000000000006</v>
      </c>
      <c r="AL525" s="6">
        <f>ROUND((AD525-(AD525*BH525)),2)</f>
        <v>66.37</v>
      </c>
      <c r="AM525" s="6">
        <f>ROUND((AD525-(AD525*BI525)),2)</f>
        <v>65.69</v>
      </c>
      <c r="AN525" s="6">
        <f>ROUND((AD525-(AD525*BJ525)),2)</f>
        <v>65.69</v>
      </c>
      <c r="AO525" s="6">
        <f>ROUND((AD525-(AD525*BK525)),2)</f>
        <v>67.72</v>
      </c>
      <c r="BG525" s="12">
        <v>0.01</v>
      </c>
      <c r="BH525" s="12">
        <v>0.02</v>
      </c>
      <c r="BI525" s="12">
        <v>0.03</v>
      </c>
      <c r="BJ525" s="12">
        <v>0.03</v>
      </c>
      <c r="CC525" s="3" t="str">
        <f>IF(B525&lt;&gt;"",CONCATENATE(SUBSTITUTE(B525," ","-"),".jpg"),"")</f>
        <v>Allied-Moulded-AMP864L.jpg</v>
      </c>
      <c r="CD525" s="16" t="s">
        <v>111</v>
      </c>
      <c r="CE525" s="3"/>
      <c r="CF525" s="3"/>
      <c r="CG525" s="3" t="s">
        <v>112</v>
      </c>
      <c r="CI525" s="3" t="s">
        <v>97</v>
      </c>
      <c r="CJ525" s="3" t="s">
        <v>481</v>
      </c>
      <c r="CK525" s="3" t="s">
        <v>114</v>
      </c>
      <c r="CL525" s="3" t="s">
        <v>115</v>
      </c>
      <c r="CM525" s="3" t="s">
        <v>116</v>
      </c>
      <c r="CN525" t="s">
        <v>117</v>
      </c>
      <c r="CO525" s="3" t="s">
        <v>482</v>
      </c>
      <c r="CP525" s="3" t="s">
        <v>139</v>
      </c>
      <c r="CQ525" s="3" t="s">
        <v>120</v>
      </c>
      <c r="CR525" s="3" t="s">
        <v>140</v>
      </c>
      <c r="CS525" s="16" t="s">
        <v>122</v>
      </c>
      <c r="CT525" s="16" t="s">
        <v>385</v>
      </c>
      <c r="CU525" s="16" t="s">
        <v>351</v>
      </c>
      <c r="CV525" s="16" t="s">
        <v>657</v>
      </c>
    </row>
    <row r="526" spans="1:100" ht="15" customHeight="1">
      <c r="A526" t="s">
        <v>3422</v>
      </c>
      <c r="B526" s="3" t="s">
        <v>3423</v>
      </c>
      <c r="C526" s="16" t="s">
        <v>97</v>
      </c>
      <c r="D526" s="40" t="s">
        <v>3424</v>
      </c>
      <c r="E526" s="16" t="s">
        <v>97</v>
      </c>
      <c r="F526" s="131" t="s">
        <v>3425</v>
      </c>
      <c r="I526" s="100" t="s">
        <v>342</v>
      </c>
      <c r="J526" s="16" t="s">
        <v>101</v>
      </c>
      <c r="K526" s="16"/>
      <c r="L526" s="3" t="s">
        <v>102</v>
      </c>
      <c r="M526" s="3" t="s">
        <v>103</v>
      </c>
      <c r="N526" s="3" t="s">
        <v>104</v>
      </c>
      <c r="O526" s="16" t="s">
        <v>478</v>
      </c>
      <c r="P526" s="2" t="s">
        <v>3426</v>
      </c>
      <c r="Q526" s="2" t="s">
        <v>3426</v>
      </c>
      <c r="R526" s="2" t="s">
        <v>3426</v>
      </c>
      <c r="S526" t="s">
        <v>3422</v>
      </c>
      <c r="T526" s="130" t="s">
        <v>465</v>
      </c>
      <c r="U526" s="51">
        <v>2</v>
      </c>
      <c r="V526" s="58"/>
      <c r="W526" s="58"/>
      <c r="X526" s="59" t="s">
        <v>108</v>
      </c>
      <c r="Y526" s="93">
        <f>IF(AD526=0, 0, IF(OR(H526="", H526&lt;&gt;0), 1, 0))</f>
        <v>1</v>
      </c>
      <c r="Z526" s="3">
        <v>0</v>
      </c>
      <c r="AA526" s="3" t="s">
        <v>3427</v>
      </c>
      <c r="AD526" s="6">
        <f>ROUND((AG526*(1+AJ526)),2)</f>
        <v>71.099999999999994</v>
      </c>
      <c r="AE526" s="69">
        <v>81.032052149999998</v>
      </c>
      <c r="AF526" s="17">
        <f>(AE526*1)</f>
        <v>81.032052149999998</v>
      </c>
      <c r="AG526" s="6">
        <f>ROUND((AE526*AI526),2)</f>
        <v>52.67</v>
      </c>
      <c r="AH526" s="30" t="s">
        <v>110</v>
      </c>
      <c r="AI526" s="3">
        <v>0.65</v>
      </c>
      <c r="AJ526" s="18">
        <v>0.35</v>
      </c>
      <c r="AK526" s="6">
        <f>ROUND((AD526-(AD526*BG526)),2)</f>
        <v>70.39</v>
      </c>
      <c r="AL526" s="6">
        <f>ROUND((AD526-(AD526*BH526)),2)</f>
        <v>69.680000000000007</v>
      </c>
      <c r="AM526" s="6">
        <f>ROUND((AD526-(AD526*BI526)),2)</f>
        <v>68.97</v>
      </c>
      <c r="AN526" s="6">
        <f>ROUND((AD526-(AD526*BJ526)),2)</f>
        <v>68.97</v>
      </c>
      <c r="AO526" s="6">
        <f>ROUND((AD526-(AD526*BK526)),2)</f>
        <v>71.099999999999994</v>
      </c>
      <c r="BG526" s="12">
        <v>0.01</v>
      </c>
      <c r="BH526" s="12">
        <v>0.02</v>
      </c>
      <c r="BI526" s="12">
        <v>0.03</v>
      </c>
      <c r="BJ526" s="12">
        <v>0.03</v>
      </c>
      <c r="CC526" s="3" t="str">
        <f>IF(B526&lt;&gt;"",CONCATENATE(SUBSTITUTE(B526," ","-"),".jpg"),"")</f>
        <v>Allied-Moulded-AMP864LF.jpg</v>
      </c>
      <c r="CD526" s="16" t="s">
        <v>111</v>
      </c>
      <c r="CE526" s="3"/>
      <c r="CF526" s="3"/>
      <c r="CG526" s="3" t="s">
        <v>112</v>
      </c>
      <c r="CI526" s="3" t="s">
        <v>97</v>
      </c>
      <c r="CJ526" s="3" t="s">
        <v>481</v>
      </c>
      <c r="CK526" s="3" t="s">
        <v>114</v>
      </c>
      <c r="CL526" s="3" t="s">
        <v>115</v>
      </c>
      <c r="CM526" s="3" t="s">
        <v>116</v>
      </c>
      <c r="CN526" t="s">
        <v>117</v>
      </c>
      <c r="CO526" s="3" t="s">
        <v>482</v>
      </c>
      <c r="CP526" s="3" t="s">
        <v>139</v>
      </c>
      <c r="CQ526" s="3" t="s">
        <v>120</v>
      </c>
      <c r="CR526" s="3" t="s">
        <v>140</v>
      </c>
      <c r="CS526" s="16" t="s">
        <v>122</v>
      </c>
      <c r="CT526" s="16" t="s">
        <v>385</v>
      </c>
      <c r="CU526" s="16" t="s">
        <v>351</v>
      </c>
      <c r="CV526" s="16" t="s">
        <v>657</v>
      </c>
    </row>
    <row r="527" spans="1:100" ht="15" customHeight="1">
      <c r="A527" t="s">
        <v>3428</v>
      </c>
      <c r="B527" s="3" t="s">
        <v>3429</v>
      </c>
      <c r="C527" s="16" t="s">
        <v>97</v>
      </c>
      <c r="D527" s="40" t="s">
        <v>3430</v>
      </c>
      <c r="E527" s="16" t="s">
        <v>97</v>
      </c>
      <c r="F527" s="131" t="s">
        <v>3431</v>
      </c>
      <c r="I527" s="100" t="s">
        <v>342</v>
      </c>
      <c r="J527" s="16" t="s">
        <v>101</v>
      </c>
      <c r="K527" s="16"/>
      <c r="L527" s="3" t="s">
        <v>102</v>
      </c>
      <c r="M527" s="3" t="s">
        <v>103</v>
      </c>
      <c r="N527" s="3" t="s">
        <v>104</v>
      </c>
      <c r="O527" s="16" t="s">
        <v>478</v>
      </c>
      <c r="P527" s="2" t="s">
        <v>3432</v>
      </c>
      <c r="Q527" s="2" t="s">
        <v>3432</v>
      </c>
      <c r="R527" s="2" t="s">
        <v>3432</v>
      </c>
      <c r="S527" t="s">
        <v>3428</v>
      </c>
      <c r="T527" s="130" t="s">
        <v>465</v>
      </c>
      <c r="U527" s="51">
        <v>2</v>
      </c>
      <c r="V527" s="58"/>
      <c r="W527" s="58"/>
      <c r="X527" s="59" t="s">
        <v>108</v>
      </c>
      <c r="Y527" s="93">
        <f>IF(AD527=0, 0, IF(OR(H527="", H527&lt;&gt;0), 1, 0))</f>
        <v>1</v>
      </c>
      <c r="Z527" s="3">
        <v>0</v>
      </c>
      <c r="AA527" s="3" t="s">
        <v>3433</v>
      </c>
      <c r="AD527" s="6">
        <f>ROUND((AG527*(1+AJ527)),2)</f>
        <v>64.34</v>
      </c>
      <c r="AE527" s="69">
        <v>73.330595099999996</v>
      </c>
      <c r="AF527" s="17">
        <f>(AE527*1)</f>
        <v>73.330595099999996</v>
      </c>
      <c r="AG527" s="6">
        <f>ROUND((AE527*AI527),2)</f>
        <v>47.66</v>
      </c>
      <c r="AH527" s="30" t="s">
        <v>110</v>
      </c>
      <c r="AI527" s="3">
        <v>0.65</v>
      </c>
      <c r="AJ527" s="18">
        <v>0.35</v>
      </c>
      <c r="AK527" s="6">
        <f>ROUND((AD527-(AD527*BG527)),2)</f>
        <v>63.7</v>
      </c>
      <c r="AL527" s="6">
        <f>ROUND((AD527-(AD527*BH527)),2)</f>
        <v>63.05</v>
      </c>
      <c r="AM527" s="6">
        <f>ROUND((AD527-(AD527*BI527)),2)</f>
        <v>62.41</v>
      </c>
      <c r="AN527" s="6">
        <f>ROUND((AD527-(AD527*BJ527)),2)</f>
        <v>62.41</v>
      </c>
      <c r="AO527" s="6">
        <f>ROUND((AD527-(AD527*BK527)),2)</f>
        <v>64.34</v>
      </c>
      <c r="BG527" s="12">
        <v>0.01</v>
      </c>
      <c r="BH527" s="12">
        <v>0.02</v>
      </c>
      <c r="BI527" s="12">
        <v>0.03</v>
      </c>
      <c r="BJ527" s="12">
        <v>0.03</v>
      </c>
      <c r="CC527" s="3" t="str">
        <f>IF(B527&lt;&gt;"",CONCATENATE(SUBSTITUTE(B527," ","-"),".jpg"),"")</f>
        <v>Allied-Moulded-AMP864NL.jpg</v>
      </c>
      <c r="CD527" s="16" t="s">
        <v>111</v>
      </c>
      <c r="CE527" s="3"/>
      <c r="CF527" s="3"/>
      <c r="CG527" s="3" t="s">
        <v>112</v>
      </c>
      <c r="CI527" s="3" t="s">
        <v>97</v>
      </c>
      <c r="CJ527" s="3" t="s">
        <v>481</v>
      </c>
      <c r="CK527" s="3" t="s">
        <v>114</v>
      </c>
      <c r="CL527" s="3" t="s">
        <v>115</v>
      </c>
      <c r="CM527" s="3" t="s">
        <v>116</v>
      </c>
      <c r="CN527" t="s">
        <v>117</v>
      </c>
      <c r="CO527" s="3" t="s">
        <v>482</v>
      </c>
      <c r="CP527" s="3" t="s">
        <v>139</v>
      </c>
      <c r="CQ527" s="3" t="s">
        <v>120</v>
      </c>
      <c r="CR527" s="3" t="s">
        <v>140</v>
      </c>
      <c r="CS527" s="16" t="s">
        <v>122</v>
      </c>
      <c r="CT527" s="16" t="s">
        <v>385</v>
      </c>
      <c r="CU527" s="16" t="s">
        <v>351</v>
      </c>
      <c r="CV527" s="16" t="s">
        <v>657</v>
      </c>
    </row>
    <row r="528" spans="1:100" ht="15" customHeight="1">
      <c r="A528" t="s">
        <v>3434</v>
      </c>
      <c r="B528" s="3" t="s">
        <v>3435</v>
      </c>
      <c r="C528" s="16" t="s">
        <v>97</v>
      </c>
      <c r="D528" s="39" t="s">
        <v>3436</v>
      </c>
      <c r="E528" s="16" t="s">
        <v>97</v>
      </c>
      <c r="F528" s="131" t="s">
        <v>3437</v>
      </c>
      <c r="I528" s="100" t="s">
        <v>342</v>
      </c>
      <c r="J528" s="16" t="s">
        <v>101</v>
      </c>
      <c r="K528" s="16"/>
      <c r="L528" s="3" t="s">
        <v>102</v>
      </c>
      <c r="M528" s="3" t="s">
        <v>103</v>
      </c>
      <c r="N528" s="3" t="s">
        <v>104</v>
      </c>
      <c r="O528" s="16" t="s">
        <v>478</v>
      </c>
      <c r="P528" s="2" t="s">
        <v>3438</v>
      </c>
      <c r="Q528" s="2" t="s">
        <v>3438</v>
      </c>
      <c r="R528" s="2" t="s">
        <v>3438</v>
      </c>
      <c r="S528" t="s">
        <v>3434</v>
      </c>
      <c r="T528" s="130" t="s">
        <v>465</v>
      </c>
      <c r="U528" s="50">
        <v>2</v>
      </c>
      <c r="V528" s="54"/>
      <c r="W528" s="54"/>
      <c r="X528" s="59" t="s">
        <v>108</v>
      </c>
      <c r="Y528" s="93">
        <f>IF(AD528=0, 0, IF(OR(H528="", H528&lt;&gt;0), 1, 0))</f>
        <v>1</v>
      </c>
      <c r="Z528" s="3">
        <v>0</v>
      </c>
      <c r="AA528" s="3" t="s">
        <v>3439</v>
      </c>
      <c r="AD528" s="6">
        <f>ROUND((AG528*(1+AJ528)),2)</f>
        <v>67.540000000000006</v>
      </c>
      <c r="AE528" s="69">
        <v>76.96695299999999</v>
      </c>
      <c r="AF528" s="17">
        <f>(AE528*1)</f>
        <v>76.96695299999999</v>
      </c>
      <c r="AG528" s="6">
        <f>ROUND((AE528*AI528),2)</f>
        <v>50.03</v>
      </c>
      <c r="AH528" s="30" t="s">
        <v>110</v>
      </c>
      <c r="AI528" s="3">
        <v>0.65</v>
      </c>
      <c r="AJ528" s="18">
        <v>0.35</v>
      </c>
      <c r="AK528" s="6">
        <f>ROUND((AD528-(AD528*BG528)),2)</f>
        <v>66.86</v>
      </c>
      <c r="AL528" s="6">
        <f>ROUND((AD528-(AD528*BH528)),2)</f>
        <v>66.19</v>
      </c>
      <c r="AM528" s="6">
        <f>ROUND((AD528-(AD528*BI528)),2)</f>
        <v>65.510000000000005</v>
      </c>
      <c r="AN528" s="6">
        <f>ROUND((AD528-(AD528*BJ528)),2)</f>
        <v>65.510000000000005</v>
      </c>
      <c r="AO528" s="6">
        <f>ROUND((AD528-(AD528*BK528)),2)</f>
        <v>67.540000000000006</v>
      </c>
      <c r="BG528" s="12">
        <v>0.01</v>
      </c>
      <c r="BH528" s="12">
        <v>0.02</v>
      </c>
      <c r="BI528" s="12">
        <v>0.03</v>
      </c>
      <c r="BJ528" s="12">
        <v>0.03</v>
      </c>
      <c r="CC528" s="3" t="str">
        <f>IF(B528&lt;&gt;"",CONCATENATE(SUBSTITUTE(B528," ","-"),".jpg"),"")</f>
        <v>Allied-Moulded-AMP864NLF.jpg</v>
      </c>
      <c r="CD528" s="16" t="s">
        <v>111</v>
      </c>
      <c r="CE528" s="3"/>
      <c r="CF528" s="3"/>
      <c r="CG528" s="3" t="s">
        <v>112</v>
      </c>
      <c r="CI528" s="3" t="s">
        <v>97</v>
      </c>
      <c r="CJ528" s="3" t="s">
        <v>481</v>
      </c>
      <c r="CK528" s="3" t="s">
        <v>114</v>
      </c>
      <c r="CL528" s="3" t="s">
        <v>115</v>
      </c>
      <c r="CM528" s="3" t="s">
        <v>116</v>
      </c>
      <c r="CN528" t="s">
        <v>117</v>
      </c>
      <c r="CO528" s="3" t="s">
        <v>482</v>
      </c>
      <c r="CP528" s="3" t="s">
        <v>139</v>
      </c>
      <c r="CQ528" s="3" t="s">
        <v>120</v>
      </c>
      <c r="CR528" s="3" t="s">
        <v>140</v>
      </c>
      <c r="CS528" s="16" t="s">
        <v>122</v>
      </c>
      <c r="CT528" s="16" t="s">
        <v>385</v>
      </c>
      <c r="CU528" s="16" t="s">
        <v>351</v>
      </c>
      <c r="CV528" s="16" t="s">
        <v>657</v>
      </c>
    </row>
    <row r="529" spans="1:100" ht="15" customHeight="1">
      <c r="A529" t="s">
        <v>3440</v>
      </c>
      <c r="B529" s="3" t="s">
        <v>3441</v>
      </c>
      <c r="C529" s="16" t="s">
        <v>97</v>
      </c>
      <c r="D529" s="40" t="s">
        <v>3442</v>
      </c>
      <c r="E529" s="16" t="s">
        <v>97</v>
      </c>
      <c r="F529" s="131" t="s">
        <v>3443</v>
      </c>
      <c r="I529" s="100" t="s">
        <v>342</v>
      </c>
      <c r="J529" s="16" t="s">
        <v>101</v>
      </c>
      <c r="K529" s="16"/>
      <c r="L529" s="3" t="s">
        <v>102</v>
      </c>
      <c r="M529" s="3" t="s">
        <v>103</v>
      </c>
      <c r="N529" s="3" t="s">
        <v>104</v>
      </c>
      <c r="O529" s="16" t="s">
        <v>105</v>
      </c>
      <c r="P529" s="3" t="s">
        <v>3444</v>
      </c>
      <c r="Q529" s="3" t="s">
        <v>3444</v>
      </c>
      <c r="R529" s="3" t="s">
        <v>3444</v>
      </c>
      <c r="S529" t="s">
        <v>3440</v>
      </c>
      <c r="T529" s="130" t="s">
        <v>107</v>
      </c>
      <c r="U529" s="51">
        <v>7</v>
      </c>
      <c r="V529" s="58"/>
      <c r="W529" s="58"/>
      <c r="X529" s="59" t="s">
        <v>108</v>
      </c>
      <c r="Y529" s="93">
        <f>IF(AD529=0, 0, IF(OR(H529="", H529&lt;&gt;0), 1, 0))</f>
        <v>1</v>
      </c>
      <c r="Z529" s="3">
        <v>0</v>
      </c>
      <c r="AA529" s="3" t="s">
        <v>3445</v>
      </c>
      <c r="AD529" s="6">
        <f>ROUND((AG529*(1+AJ529)),2)</f>
        <v>126.99</v>
      </c>
      <c r="AE529" s="69">
        <v>144.71624217999999</v>
      </c>
      <c r="AF529" s="17">
        <f>(AE529*1)</f>
        <v>144.71624217999999</v>
      </c>
      <c r="AG529" s="6">
        <f>ROUND((AE529*AI529),2)</f>
        <v>94.07</v>
      </c>
      <c r="AH529" s="30" t="s">
        <v>110</v>
      </c>
      <c r="AI529" s="3">
        <v>0.65</v>
      </c>
      <c r="AJ529" s="18">
        <v>0.35</v>
      </c>
      <c r="AK529" s="6">
        <f>ROUND((AD529-(AD529*BG529)),2)</f>
        <v>125.72</v>
      </c>
      <c r="AL529" s="6">
        <f>ROUND((AD529-(AD529*BH529)),2)</f>
        <v>124.45</v>
      </c>
      <c r="AM529" s="6">
        <f>ROUND((AD529-(AD529*BI529)),2)</f>
        <v>123.18</v>
      </c>
      <c r="AN529" s="6">
        <f>ROUND((AD529-(AD529*BJ529)),2)</f>
        <v>123.18</v>
      </c>
      <c r="AO529" s="6">
        <f>ROUND((AD529-(AD529*BK529)),2)</f>
        <v>126.99</v>
      </c>
      <c r="BG529" s="12">
        <v>0.01</v>
      </c>
      <c r="BH529" s="12">
        <v>0.02</v>
      </c>
      <c r="BI529" s="12">
        <v>0.03</v>
      </c>
      <c r="BJ529" s="12">
        <v>0.03</v>
      </c>
      <c r="CC529" s="3" t="str">
        <f>IF(B529&lt;&gt;"",CONCATENATE(SUBSTITUTE(B529," ","-"),".jpg"),"")</f>
        <v>Allied-Moulded-AM1086RT.jpg</v>
      </c>
      <c r="CD529" s="16" t="s">
        <v>111</v>
      </c>
      <c r="CE529" s="3"/>
      <c r="CF529" s="3"/>
      <c r="CG529" s="3" t="s">
        <v>112</v>
      </c>
      <c r="CI529" s="3" t="s">
        <v>97</v>
      </c>
      <c r="CJ529" s="3" t="s">
        <v>383</v>
      </c>
      <c r="CK529" s="3" t="s">
        <v>114</v>
      </c>
      <c r="CL529" s="3" t="s">
        <v>115</v>
      </c>
      <c r="CM529" s="3" t="s">
        <v>116</v>
      </c>
      <c r="CN529" s="16" t="s">
        <v>132</v>
      </c>
      <c r="CO529" s="3" t="s">
        <v>118</v>
      </c>
      <c r="CP529" s="3" t="s">
        <v>139</v>
      </c>
      <c r="CQ529" s="3" t="s">
        <v>120</v>
      </c>
      <c r="CR529" s="3" t="s">
        <v>140</v>
      </c>
      <c r="CS529" s="16" t="s">
        <v>122</v>
      </c>
      <c r="CT529" s="16" t="s">
        <v>167</v>
      </c>
      <c r="CU529" s="16" t="s">
        <v>385</v>
      </c>
      <c r="CV529" s="16" t="s">
        <v>385</v>
      </c>
    </row>
    <row r="530" spans="1:100" ht="15" customHeight="1">
      <c r="A530" t="s">
        <v>3446</v>
      </c>
      <c r="B530" s="3" t="s">
        <v>3447</v>
      </c>
      <c r="C530" s="16" t="s">
        <v>97</v>
      </c>
      <c r="D530" s="40" t="s">
        <v>3448</v>
      </c>
      <c r="E530" s="16" t="s">
        <v>97</v>
      </c>
      <c r="F530" s="131" t="s">
        <v>3449</v>
      </c>
      <c r="I530" s="100" t="s">
        <v>342</v>
      </c>
      <c r="J530" s="16" t="s">
        <v>101</v>
      </c>
      <c r="K530" s="16"/>
      <c r="L530" s="3" t="s">
        <v>102</v>
      </c>
      <c r="M530" s="3" t="s">
        <v>103</v>
      </c>
      <c r="N530" s="3" t="s">
        <v>104</v>
      </c>
      <c r="O530" s="16" t="s">
        <v>105</v>
      </c>
      <c r="P530" s="3" t="s">
        <v>3450</v>
      </c>
      <c r="Q530" s="3" t="s">
        <v>3450</v>
      </c>
      <c r="R530" s="3" t="s">
        <v>3450</v>
      </c>
      <c r="S530" t="s">
        <v>3446</v>
      </c>
      <c r="T530" s="130" t="s">
        <v>107</v>
      </c>
      <c r="U530" s="51">
        <v>7</v>
      </c>
      <c r="V530" s="58"/>
      <c r="W530" s="58"/>
      <c r="X530" s="59" t="s">
        <v>108</v>
      </c>
      <c r="Y530" s="93">
        <f>IF(AD530=0, 0, IF(OR(H530="", H530&lt;&gt;0), 1, 0))</f>
        <v>1</v>
      </c>
      <c r="Z530" s="3">
        <v>0</v>
      </c>
      <c r="AA530" s="3" t="s">
        <v>3451</v>
      </c>
      <c r="AD530" s="6">
        <f>ROUND((AG530*(1+AJ530)),2)</f>
        <v>165.08</v>
      </c>
      <c r="AE530" s="69">
        <v>188.12110446999998</v>
      </c>
      <c r="AF530" s="17">
        <f>(AE530*1)</f>
        <v>188.12110446999998</v>
      </c>
      <c r="AG530" s="6">
        <f>ROUND((AE530*AI530),2)</f>
        <v>122.28</v>
      </c>
      <c r="AH530" s="30" t="s">
        <v>110</v>
      </c>
      <c r="AI530" s="3">
        <v>0.65</v>
      </c>
      <c r="AJ530" s="18">
        <v>0.35</v>
      </c>
      <c r="AK530" s="6">
        <f>ROUND((AD530-(AD530*BG530)),2)</f>
        <v>163.43</v>
      </c>
      <c r="AL530" s="6">
        <f>ROUND((AD530-(AD530*BH530)),2)</f>
        <v>161.78</v>
      </c>
      <c r="AM530" s="6">
        <f>ROUND((AD530-(AD530*BI530)),2)</f>
        <v>160.13</v>
      </c>
      <c r="AN530" s="6">
        <f>ROUND((AD530-(AD530*BJ530)),2)</f>
        <v>160.13</v>
      </c>
      <c r="AO530" s="6">
        <f>ROUND((AD530-(AD530*BK530)),2)</f>
        <v>165.08</v>
      </c>
      <c r="BG530" s="12">
        <v>0.01</v>
      </c>
      <c r="BH530" s="12">
        <v>0.02</v>
      </c>
      <c r="BI530" s="12">
        <v>0.03</v>
      </c>
      <c r="BJ530" s="12">
        <v>0.03</v>
      </c>
      <c r="CC530" s="3" t="str">
        <f>IF(B530&lt;&gt;"",CONCATENATE(SUBSTITUTE(B530," ","-"),".jpg"),"")</f>
        <v>Allied-Moulded-AM1084RW.jpg</v>
      </c>
      <c r="CD530" s="16" t="s">
        <v>111</v>
      </c>
      <c r="CE530" s="3"/>
      <c r="CF530" s="3"/>
      <c r="CG530" s="3" t="s">
        <v>112</v>
      </c>
      <c r="CI530" s="3" t="s">
        <v>97</v>
      </c>
      <c r="CJ530" s="3" t="s">
        <v>383</v>
      </c>
      <c r="CK530" s="3" t="s">
        <v>114</v>
      </c>
      <c r="CL530" s="3" t="s">
        <v>115</v>
      </c>
      <c r="CM530" s="16"/>
      <c r="CN530" s="16" t="s">
        <v>349</v>
      </c>
      <c r="CO530" s="3" t="s">
        <v>118</v>
      </c>
      <c r="CP530" s="3" t="s">
        <v>139</v>
      </c>
      <c r="CQ530" s="3" t="s">
        <v>120</v>
      </c>
      <c r="CR530" s="16" t="s">
        <v>121</v>
      </c>
      <c r="CS530" s="3" t="s">
        <v>384</v>
      </c>
      <c r="CT530" s="16" t="s">
        <v>167</v>
      </c>
      <c r="CU530" s="16" t="s">
        <v>385</v>
      </c>
      <c r="CV530" s="16" t="s">
        <v>351</v>
      </c>
    </row>
    <row r="531" spans="1:100" ht="15" customHeight="1">
      <c r="A531" t="s">
        <v>3452</v>
      </c>
      <c r="B531" s="3" t="s">
        <v>3453</v>
      </c>
      <c r="C531" s="16" t="s">
        <v>97</v>
      </c>
      <c r="D531" s="39" t="s">
        <v>3454</v>
      </c>
      <c r="E531" s="16" t="s">
        <v>97</v>
      </c>
      <c r="F531" s="131" t="s">
        <v>3455</v>
      </c>
      <c r="I531" s="100" t="s">
        <v>342</v>
      </c>
      <c r="J531" s="16" t="s">
        <v>101</v>
      </c>
      <c r="K531" s="16"/>
      <c r="L531" s="3" t="s">
        <v>102</v>
      </c>
      <c r="M531" s="3" t="s">
        <v>103</v>
      </c>
      <c r="N531" s="3" t="s">
        <v>104</v>
      </c>
      <c r="O531" s="16" t="s">
        <v>105</v>
      </c>
      <c r="P531" s="3" t="s">
        <v>3456</v>
      </c>
      <c r="Q531" s="3" t="s">
        <v>3456</v>
      </c>
      <c r="R531" s="3" t="s">
        <v>3456</v>
      </c>
      <c r="S531" t="s">
        <v>3452</v>
      </c>
      <c r="T531" s="130" t="s">
        <v>107</v>
      </c>
      <c r="U531" s="50">
        <v>7</v>
      </c>
      <c r="V531" s="54"/>
      <c r="W531" s="54"/>
      <c r="X531" s="59" t="s">
        <v>108</v>
      </c>
      <c r="Y531" s="93">
        <f>IF(AD531=0, 0, IF(OR(H531="", H531&lt;&gt;0), 1, 0))</f>
        <v>1</v>
      </c>
      <c r="Z531" s="3">
        <v>0</v>
      </c>
      <c r="AA531" s="3" t="s">
        <v>3457</v>
      </c>
      <c r="AD531" s="6">
        <f>ROUND((AG531*(1+AJ531)),2)</f>
        <v>180.72</v>
      </c>
      <c r="AE531" s="69">
        <v>205.95197830999999</v>
      </c>
      <c r="AF531" s="17">
        <f>(AE531*1)</f>
        <v>205.95197830999999</v>
      </c>
      <c r="AG531" s="6">
        <f>ROUND((AE531*AI531),2)</f>
        <v>133.87</v>
      </c>
      <c r="AH531" s="30" t="s">
        <v>110</v>
      </c>
      <c r="AI531" s="3">
        <v>0.65</v>
      </c>
      <c r="AJ531" s="18">
        <v>0.35</v>
      </c>
      <c r="AK531" s="6">
        <f>ROUND((AD531-(AD531*BG531)),2)</f>
        <v>178.91</v>
      </c>
      <c r="AL531" s="6">
        <f>ROUND((AD531-(AD531*BH531)),2)</f>
        <v>177.11</v>
      </c>
      <c r="AM531" s="6">
        <f>ROUND((AD531-(AD531*BI531)),2)</f>
        <v>175.3</v>
      </c>
      <c r="AN531" s="6">
        <f>ROUND((AD531-(AD531*BJ531)),2)</f>
        <v>175.3</v>
      </c>
      <c r="AO531" s="6">
        <f>ROUND((AD531-(AD531*BK531)),2)</f>
        <v>180.72</v>
      </c>
      <c r="BG531" s="12">
        <v>0.01</v>
      </c>
      <c r="BH531" s="12">
        <v>0.02</v>
      </c>
      <c r="BI531" s="12">
        <v>0.03</v>
      </c>
      <c r="BJ531" s="12">
        <v>0.03</v>
      </c>
      <c r="CC531" s="3" t="str">
        <f>IF(B531&lt;&gt;"",CONCATENATE(SUBSTITUTE(B531," ","-"),".jpg"),"")</f>
        <v>Allied-Moulded-AM1086RW.jpg</v>
      </c>
      <c r="CD531" s="16" t="s">
        <v>111</v>
      </c>
      <c r="CE531" s="3"/>
      <c r="CF531" s="3"/>
      <c r="CG531" s="3" t="s">
        <v>112</v>
      </c>
      <c r="CI531" s="3" t="s">
        <v>97</v>
      </c>
      <c r="CJ531" s="3" t="s">
        <v>383</v>
      </c>
      <c r="CK531" s="3" t="s">
        <v>114</v>
      </c>
      <c r="CL531" s="3" t="s">
        <v>115</v>
      </c>
      <c r="CM531" s="16"/>
      <c r="CN531" s="16" t="s">
        <v>349</v>
      </c>
      <c r="CO531" s="3" t="s">
        <v>118</v>
      </c>
      <c r="CP531" s="3" t="s">
        <v>139</v>
      </c>
      <c r="CQ531" s="3" t="s">
        <v>120</v>
      </c>
      <c r="CR531" s="16" t="s">
        <v>121</v>
      </c>
      <c r="CS531" s="3" t="s">
        <v>384</v>
      </c>
      <c r="CT531" s="16" t="s">
        <v>167</v>
      </c>
      <c r="CU531" s="16" t="s">
        <v>385</v>
      </c>
      <c r="CV531" s="16" t="s">
        <v>385</v>
      </c>
    </row>
    <row r="532" spans="1:100" ht="15" customHeight="1">
      <c r="A532" t="s">
        <v>3458</v>
      </c>
      <c r="B532" s="3" t="s">
        <v>3459</v>
      </c>
      <c r="C532" s="16" t="s">
        <v>97</v>
      </c>
      <c r="D532" s="39" t="s">
        <v>3460</v>
      </c>
      <c r="E532" s="16" t="s">
        <v>97</v>
      </c>
      <c r="F532" s="131" t="s">
        <v>3461</v>
      </c>
      <c r="I532" s="100" t="s">
        <v>342</v>
      </c>
      <c r="J532" s="16" t="s">
        <v>101</v>
      </c>
      <c r="K532" s="16"/>
      <c r="L532" s="3" t="s">
        <v>102</v>
      </c>
      <c r="M532" s="3" t="s">
        <v>103</v>
      </c>
      <c r="N532" s="3" t="s">
        <v>104</v>
      </c>
      <c r="O532" s="16" t="s">
        <v>105</v>
      </c>
      <c r="P532" s="3" t="s">
        <v>3462</v>
      </c>
      <c r="Q532" s="3" t="s">
        <v>3462</v>
      </c>
      <c r="R532" s="3" t="s">
        <v>3462</v>
      </c>
      <c r="S532" t="s">
        <v>3458</v>
      </c>
      <c r="T532" s="130" t="s">
        <v>107</v>
      </c>
      <c r="U532" s="34">
        <v>7</v>
      </c>
      <c r="V532" s="39"/>
      <c r="W532" s="39"/>
      <c r="X532" s="59" t="s">
        <v>108</v>
      </c>
      <c r="Y532" s="93">
        <f>IF(AD532=0, 0, IF(OR(H532="", H532&lt;&gt;0), 1, 0))</f>
        <v>1</v>
      </c>
      <c r="Z532" s="3">
        <v>0</v>
      </c>
      <c r="AA532" s="3" t="s">
        <v>3463</v>
      </c>
      <c r="AD532" s="6">
        <f>ROUND((AG532*(1+AJ532)),2)</f>
        <v>171</v>
      </c>
      <c r="AE532" s="69">
        <v>194.88392070000003</v>
      </c>
      <c r="AF532" s="17">
        <f>(AE532*1)</f>
        <v>194.88392070000003</v>
      </c>
      <c r="AG532" s="6">
        <f>ROUND((AE532*AI532),2)</f>
        <v>126.67</v>
      </c>
      <c r="AH532" s="30" t="s">
        <v>110</v>
      </c>
      <c r="AI532" s="3">
        <v>0.65</v>
      </c>
      <c r="AJ532" s="18">
        <v>0.35</v>
      </c>
      <c r="AK532" s="6">
        <f>ROUND((AD532-(AD532*BG532)),2)</f>
        <v>169.29</v>
      </c>
      <c r="AL532" s="6">
        <f>ROUND((AD532-(AD532*BH532)),2)</f>
        <v>167.58</v>
      </c>
      <c r="AM532" s="6">
        <f>ROUND((AD532-(AD532*BI532)),2)</f>
        <v>165.87</v>
      </c>
      <c r="AN532" s="6">
        <f>ROUND((AD532-(AD532*BJ532)),2)</f>
        <v>165.87</v>
      </c>
      <c r="AO532" s="6">
        <f>ROUND((AD532-(AD532*BK532)),2)</f>
        <v>171</v>
      </c>
      <c r="BG532" s="12">
        <v>0.01</v>
      </c>
      <c r="BH532" s="12">
        <v>0.02</v>
      </c>
      <c r="BI532" s="12">
        <v>0.03</v>
      </c>
      <c r="BJ532" s="12">
        <v>0.03</v>
      </c>
      <c r="CC532" s="3" t="str">
        <f>IF(B532&lt;&gt;"",CONCATENATE(SUBSTITUTE(B532," ","-"),".jpg"),"")</f>
        <v>Allied-Moulded-AM1084RHW.jpg</v>
      </c>
      <c r="CD532" s="16" t="s">
        <v>111</v>
      </c>
      <c r="CE532" s="3"/>
      <c r="CF532" s="3"/>
      <c r="CG532" s="3" t="s">
        <v>112</v>
      </c>
      <c r="CI532" s="3" t="s">
        <v>97</v>
      </c>
      <c r="CJ532" s="3" t="s">
        <v>383</v>
      </c>
      <c r="CK532" s="3" t="s">
        <v>114</v>
      </c>
      <c r="CL532" s="3" t="s">
        <v>115</v>
      </c>
      <c r="CO532" s="3" t="s">
        <v>118</v>
      </c>
      <c r="CP532" s="3" t="s">
        <v>139</v>
      </c>
      <c r="CQ532" s="3" t="s">
        <v>120</v>
      </c>
      <c r="CR532" s="16" t="s">
        <v>121</v>
      </c>
      <c r="CS532" s="3" t="s">
        <v>384</v>
      </c>
      <c r="CT532" s="16" t="s">
        <v>167</v>
      </c>
      <c r="CU532" s="16" t="s">
        <v>385</v>
      </c>
      <c r="CV532" s="16" t="s">
        <v>351</v>
      </c>
    </row>
    <row r="533" spans="1:100" ht="15" customHeight="1">
      <c r="A533" t="s">
        <v>3464</v>
      </c>
      <c r="B533" s="3" t="s">
        <v>3465</v>
      </c>
      <c r="C533" s="16" t="s">
        <v>97</v>
      </c>
      <c r="D533" s="40" t="s">
        <v>3466</v>
      </c>
      <c r="E533" s="16" t="s">
        <v>97</v>
      </c>
      <c r="F533" s="131" t="s">
        <v>3467</v>
      </c>
      <c r="I533" s="100" t="s">
        <v>342</v>
      </c>
      <c r="J533" s="16" t="s">
        <v>101</v>
      </c>
      <c r="K533" s="16"/>
      <c r="L533" s="3" t="s">
        <v>102</v>
      </c>
      <c r="M533" s="3" t="s">
        <v>103</v>
      </c>
      <c r="N533" s="3" t="s">
        <v>104</v>
      </c>
      <c r="O533" s="16" t="s">
        <v>105</v>
      </c>
      <c r="P533" s="3" t="s">
        <v>3468</v>
      </c>
      <c r="Q533" s="3" t="s">
        <v>3468</v>
      </c>
      <c r="R533" s="3" t="s">
        <v>3468</v>
      </c>
      <c r="S533" t="s">
        <v>3464</v>
      </c>
      <c r="T533" s="130" t="s">
        <v>107</v>
      </c>
      <c r="U533" s="35">
        <v>7</v>
      </c>
      <c r="V533" s="40"/>
      <c r="W533" s="40"/>
      <c r="X533" s="59" t="s">
        <v>108</v>
      </c>
      <c r="Y533" s="93">
        <f>IF(AD533=0, 0, IF(OR(H533="", H533&lt;&gt;0), 1, 0))</f>
        <v>1</v>
      </c>
      <c r="Z533" s="3">
        <v>0</v>
      </c>
      <c r="AA533" s="3" t="s">
        <v>3469</v>
      </c>
      <c r="AD533" s="6">
        <f>ROUND((AG533*(1+AJ533)),2)</f>
        <v>186.11</v>
      </c>
      <c r="AE533" s="69">
        <v>212.08694671000001</v>
      </c>
      <c r="AF533" s="17">
        <f>(AE533*1)</f>
        <v>212.08694671000001</v>
      </c>
      <c r="AG533" s="6">
        <f>ROUND((AE533*AI533),2)</f>
        <v>137.86000000000001</v>
      </c>
      <c r="AH533" s="30" t="s">
        <v>110</v>
      </c>
      <c r="AI533" s="3">
        <v>0.65</v>
      </c>
      <c r="AJ533" s="18">
        <v>0.35</v>
      </c>
      <c r="AK533" s="6">
        <f>ROUND((AD533-(AD533*BG533)),2)</f>
        <v>184.25</v>
      </c>
      <c r="AL533" s="6">
        <f>ROUND((AD533-(AD533*BH533)),2)</f>
        <v>182.39</v>
      </c>
      <c r="AM533" s="6">
        <f>ROUND((AD533-(AD533*BI533)),2)</f>
        <v>180.53</v>
      </c>
      <c r="AN533" s="6">
        <f>ROUND((AD533-(AD533*BJ533)),2)</f>
        <v>180.53</v>
      </c>
      <c r="AO533" s="6">
        <f>ROUND((AD533-(AD533*BK533)),2)</f>
        <v>186.11</v>
      </c>
      <c r="BG533" s="12">
        <v>0.01</v>
      </c>
      <c r="BH533" s="12">
        <v>0.02</v>
      </c>
      <c r="BI533" s="12">
        <v>0.03</v>
      </c>
      <c r="BJ533" s="12">
        <v>0.03</v>
      </c>
      <c r="CC533" s="3" t="str">
        <f>IF(B533&lt;&gt;"",CONCATENATE(SUBSTITUTE(B533," ","-"),".jpg"),"")</f>
        <v>Allied-Moulded-AM1086RHW.jpg</v>
      </c>
      <c r="CD533" s="16" t="s">
        <v>111</v>
      </c>
      <c r="CE533" s="3"/>
      <c r="CF533" s="3"/>
      <c r="CG533" s="3" t="s">
        <v>112</v>
      </c>
      <c r="CI533" s="3" t="s">
        <v>97</v>
      </c>
      <c r="CJ533" s="3" t="s">
        <v>383</v>
      </c>
      <c r="CK533" s="3" t="s">
        <v>114</v>
      </c>
      <c r="CL533" s="3" t="s">
        <v>115</v>
      </c>
      <c r="CO533" s="3" t="s">
        <v>118</v>
      </c>
      <c r="CP533" s="3" t="s">
        <v>139</v>
      </c>
      <c r="CQ533" s="3" t="s">
        <v>120</v>
      </c>
      <c r="CR533" s="16" t="s">
        <v>121</v>
      </c>
      <c r="CS533" s="3" t="s">
        <v>384</v>
      </c>
      <c r="CT533" s="16" t="s">
        <v>167</v>
      </c>
      <c r="CU533" s="16" t="s">
        <v>385</v>
      </c>
      <c r="CV533" s="16" t="s">
        <v>385</v>
      </c>
    </row>
    <row r="534" spans="1:100" ht="15" customHeight="1">
      <c r="A534" t="s">
        <v>3470</v>
      </c>
      <c r="B534" s="3" t="s">
        <v>3471</v>
      </c>
      <c r="C534" s="16" t="s">
        <v>97</v>
      </c>
      <c r="D534" s="39" t="s">
        <v>3472</v>
      </c>
      <c r="E534" s="16" t="s">
        <v>97</v>
      </c>
      <c r="F534" s="131" t="s">
        <v>3473</v>
      </c>
      <c r="I534" s="100" t="s">
        <v>342</v>
      </c>
      <c r="J534" s="16" t="s">
        <v>101</v>
      </c>
      <c r="K534" s="16"/>
      <c r="L534" s="3" t="s">
        <v>102</v>
      </c>
      <c r="M534" s="3" t="s">
        <v>103</v>
      </c>
      <c r="N534" s="3" t="s">
        <v>104</v>
      </c>
      <c r="O534" s="16" t="s">
        <v>105</v>
      </c>
      <c r="P534" s="3" t="s">
        <v>3474</v>
      </c>
      <c r="Q534" s="3" t="s">
        <v>3474</v>
      </c>
      <c r="R534" s="3" t="s">
        <v>3474</v>
      </c>
      <c r="S534" t="s">
        <v>3470</v>
      </c>
      <c r="T534" s="130" t="s">
        <v>107</v>
      </c>
      <c r="U534" s="34">
        <v>7</v>
      </c>
      <c r="V534" s="39"/>
      <c r="W534" s="39"/>
      <c r="X534" s="59" t="s">
        <v>108</v>
      </c>
      <c r="Y534" s="93">
        <f>IF(AD534=0, 0, IF(OR(H534="", H534&lt;&gt;0), 1, 0))</f>
        <v>1</v>
      </c>
      <c r="Z534" s="3">
        <v>0</v>
      </c>
      <c r="AA534" s="3" t="s">
        <v>3475</v>
      </c>
      <c r="AD534" s="6">
        <f>ROUND((AG534*(1+AJ534)),2)</f>
        <v>188.81</v>
      </c>
      <c r="AE534" s="69">
        <v>215.17237041999999</v>
      </c>
      <c r="AF534" s="17">
        <f>(AE534*1)</f>
        <v>215.17237041999999</v>
      </c>
      <c r="AG534" s="6">
        <f>ROUND((AE534*AI534),2)</f>
        <v>139.86000000000001</v>
      </c>
      <c r="AH534" s="30" t="s">
        <v>110</v>
      </c>
      <c r="AI534" s="3">
        <v>0.65</v>
      </c>
      <c r="AJ534" s="18">
        <v>0.35</v>
      </c>
      <c r="AK534" s="6">
        <f>ROUND((AD534-(AD534*BG534)),2)</f>
        <v>186.92</v>
      </c>
      <c r="AL534" s="6">
        <f>ROUND((AD534-(AD534*BH534)),2)</f>
        <v>185.03</v>
      </c>
      <c r="AM534" s="6">
        <f>ROUND((AD534-(AD534*BI534)),2)</f>
        <v>183.15</v>
      </c>
      <c r="AN534" s="6">
        <f>ROUND((AD534-(AD534*BJ534)),2)</f>
        <v>183.15</v>
      </c>
      <c r="AO534" s="6">
        <f>ROUND((AD534-(AD534*BK534)),2)</f>
        <v>188.81</v>
      </c>
      <c r="BG534" s="12">
        <v>0.01</v>
      </c>
      <c r="BH534" s="12">
        <v>0.02</v>
      </c>
      <c r="BI534" s="12">
        <v>0.03</v>
      </c>
      <c r="BJ534" s="12">
        <v>0.03</v>
      </c>
      <c r="CC534" s="3" t="str">
        <f>IF(B534&lt;&gt;"",CONCATENATE(SUBSTITUTE(B534," ","-"),".jpg"),"")</f>
        <v>Allied-Moulded-AM1084RLW.jpg</v>
      </c>
      <c r="CD534" s="16" t="s">
        <v>111</v>
      </c>
      <c r="CE534" s="3"/>
      <c r="CF534" s="3"/>
      <c r="CG534" s="3" t="s">
        <v>112</v>
      </c>
      <c r="CI534" s="3" t="s">
        <v>97</v>
      </c>
      <c r="CJ534" s="3" t="s">
        <v>383</v>
      </c>
      <c r="CK534" s="3" t="s">
        <v>114</v>
      </c>
      <c r="CL534" s="3" t="s">
        <v>115</v>
      </c>
      <c r="CM534" s="3" t="s">
        <v>116</v>
      </c>
      <c r="CN534" t="s">
        <v>117</v>
      </c>
      <c r="CO534" s="3" t="s">
        <v>118</v>
      </c>
      <c r="CP534" s="3" t="s">
        <v>139</v>
      </c>
      <c r="CQ534" s="3" t="s">
        <v>120</v>
      </c>
      <c r="CR534" s="16" t="s">
        <v>121</v>
      </c>
      <c r="CS534" s="16" t="s">
        <v>122</v>
      </c>
      <c r="CT534" s="16" t="s">
        <v>167</v>
      </c>
      <c r="CU534" s="16" t="s">
        <v>385</v>
      </c>
      <c r="CV534" s="16" t="s">
        <v>351</v>
      </c>
    </row>
    <row r="535" spans="1:100" ht="15" customHeight="1">
      <c r="A535" t="s">
        <v>3476</v>
      </c>
      <c r="B535" s="3" t="s">
        <v>3477</v>
      </c>
      <c r="C535" s="16" t="s">
        <v>97</v>
      </c>
      <c r="D535" s="40" t="s">
        <v>3478</v>
      </c>
      <c r="E535" s="16" t="s">
        <v>97</v>
      </c>
      <c r="F535" s="131" t="s">
        <v>3479</v>
      </c>
      <c r="I535" s="100" t="s">
        <v>342</v>
      </c>
      <c r="J535" s="16" t="s">
        <v>101</v>
      </c>
      <c r="K535" s="16"/>
      <c r="L535" s="3" t="s">
        <v>102</v>
      </c>
      <c r="M535" s="3" t="s">
        <v>103</v>
      </c>
      <c r="N535" s="3" t="s">
        <v>104</v>
      </c>
      <c r="O535" s="16" t="s">
        <v>105</v>
      </c>
      <c r="P535" s="3" t="s">
        <v>3480</v>
      </c>
      <c r="Q535" s="3" t="s">
        <v>3480</v>
      </c>
      <c r="R535" s="3" t="s">
        <v>3480</v>
      </c>
      <c r="S535" t="s">
        <v>3476</v>
      </c>
      <c r="T535" s="130" t="s">
        <v>107</v>
      </c>
      <c r="U535" s="35">
        <v>7</v>
      </c>
      <c r="V535" s="40"/>
      <c r="W535" s="40"/>
      <c r="X535" s="59" t="s">
        <v>108</v>
      </c>
      <c r="Y535" s="93">
        <f>IF(AD535=0, 0, IF(OR(H535="", H535&lt;&gt;0), 1, 0))</f>
        <v>1</v>
      </c>
      <c r="Z535" s="3">
        <v>0</v>
      </c>
      <c r="AA535" s="3" t="s">
        <v>3481</v>
      </c>
      <c r="AD535" s="6">
        <f>ROUND((AG535*(1+AJ535)),2)</f>
        <v>206.6</v>
      </c>
      <c r="AE535" s="69">
        <v>235.44288165999998</v>
      </c>
      <c r="AF535" s="17">
        <f>(AE535*1)</f>
        <v>235.44288165999998</v>
      </c>
      <c r="AG535" s="6">
        <f>ROUND((AE535*AI535),2)</f>
        <v>153.04</v>
      </c>
      <c r="AH535" s="30" t="s">
        <v>110</v>
      </c>
      <c r="AI535" s="3">
        <v>0.65</v>
      </c>
      <c r="AJ535" s="18">
        <v>0.35</v>
      </c>
      <c r="AK535" s="6">
        <f>ROUND((AD535-(AD535*BG535)),2)</f>
        <v>204.53</v>
      </c>
      <c r="AL535" s="6">
        <f>ROUND((AD535-(AD535*BH535)),2)</f>
        <v>202.47</v>
      </c>
      <c r="AM535" s="6">
        <f>ROUND((AD535-(AD535*BI535)),2)</f>
        <v>200.4</v>
      </c>
      <c r="AN535" s="6">
        <f>ROUND((AD535-(AD535*BJ535)),2)</f>
        <v>200.4</v>
      </c>
      <c r="AO535" s="6">
        <f>ROUND((AD535-(AD535*BK535)),2)</f>
        <v>206.6</v>
      </c>
      <c r="BG535" s="12">
        <v>0.01</v>
      </c>
      <c r="BH535" s="12">
        <v>0.02</v>
      </c>
      <c r="BI535" s="12">
        <v>0.03</v>
      </c>
      <c r="BJ535" s="12">
        <v>0.03</v>
      </c>
      <c r="CC535" s="3" t="str">
        <f>IF(B535&lt;&gt;"",CONCATENATE(SUBSTITUTE(B535," ","-"),".jpg"),"")</f>
        <v>Allied-Moulded-AM1086RLW.jpg</v>
      </c>
      <c r="CD535" s="16" t="s">
        <v>111</v>
      </c>
      <c r="CE535" s="3"/>
      <c r="CF535" s="3"/>
      <c r="CG535" s="3" t="s">
        <v>112</v>
      </c>
      <c r="CI535" s="3" t="s">
        <v>97</v>
      </c>
      <c r="CJ535" s="3" t="s">
        <v>383</v>
      </c>
      <c r="CK535" s="3" t="s">
        <v>114</v>
      </c>
      <c r="CL535" s="3" t="s">
        <v>115</v>
      </c>
      <c r="CM535" s="3" t="s">
        <v>116</v>
      </c>
      <c r="CN535" t="s">
        <v>117</v>
      </c>
      <c r="CO535" s="3" t="s">
        <v>118</v>
      </c>
      <c r="CP535" s="3" t="s">
        <v>139</v>
      </c>
      <c r="CQ535" s="3" t="s">
        <v>120</v>
      </c>
      <c r="CR535" s="16" t="s">
        <v>121</v>
      </c>
      <c r="CS535" s="16" t="s">
        <v>122</v>
      </c>
      <c r="CT535" s="16" t="s">
        <v>167</v>
      </c>
      <c r="CU535" s="16" t="s">
        <v>385</v>
      </c>
      <c r="CV535" s="16" t="s">
        <v>385</v>
      </c>
    </row>
    <row r="536" spans="1:100" ht="15" customHeight="1">
      <c r="A536" t="s">
        <v>3482</v>
      </c>
      <c r="B536" s="3" t="s">
        <v>3483</v>
      </c>
      <c r="C536" s="16" t="s">
        <v>97</v>
      </c>
      <c r="D536" s="40" t="s">
        <v>3484</v>
      </c>
      <c r="E536" s="16" t="s">
        <v>97</v>
      </c>
      <c r="F536" s="131" t="s">
        <v>3485</v>
      </c>
      <c r="I536" s="100" t="s">
        <v>342</v>
      </c>
      <c r="J536" s="16" t="s">
        <v>101</v>
      </c>
      <c r="K536" s="16"/>
      <c r="L536" s="3" t="s">
        <v>102</v>
      </c>
      <c r="M536" s="3" t="s">
        <v>103</v>
      </c>
      <c r="N536" s="3" t="s">
        <v>104</v>
      </c>
      <c r="O536" s="16" t="s">
        <v>105</v>
      </c>
      <c r="P536" s="3" t="s">
        <v>3486</v>
      </c>
      <c r="Q536" s="3" t="s">
        <v>3486</v>
      </c>
      <c r="R536" s="3" t="s">
        <v>3486</v>
      </c>
      <c r="S536" t="s">
        <v>3482</v>
      </c>
      <c r="T536" s="130" t="s">
        <v>107</v>
      </c>
      <c r="U536" s="51">
        <v>7</v>
      </c>
      <c r="V536" s="58"/>
      <c r="W536" s="58"/>
      <c r="X536" s="59" t="s">
        <v>108</v>
      </c>
      <c r="Y536" s="93">
        <f>IF(AD536=0, 0, IF(OR(H536="", H536&lt;&gt;0), 1, 0))</f>
        <v>1</v>
      </c>
      <c r="Z536" s="3">
        <v>0</v>
      </c>
      <c r="AA536" s="3" t="s">
        <v>3487</v>
      </c>
      <c r="AD536" s="6">
        <f>ROUND((AG536*(1+AJ536)),2)</f>
        <v>188.81</v>
      </c>
      <c r="AE536" s="69">
        <v>215.17237041999999</v>
      </c>
      <c r="AF536" s="17">
        <f>(AE536*1)</f>
        <v>215.17237041999999</v>
      </c>
      <c r="AG536" s="6">
        <f>ROUND((AE536*AI536),2)</f>
        <v>139.86000000000001</v>
      </c>
      <c r="AH536" s="30" t="s">
        <v>110</v>
      </c>
      <c r="AI536" s="3">
        <v>0.65</v>
      </c>
      <c r="AJ536" s="18">
        <v>0.35</v>
      </c>
      <c r="AK536" s="6">
        <f>ROUND((AD536-(AD536*BG536)),2)</f>
        <v>186.92</v>
      </c>
      <c r="AL536" s="6">
        <f>ROUND((AD536-(AD536*BH536)),2)</f>
        <v>185.03</v>
      </c>
      <c r="AM536" s="6">
        <f>ROUND((AD536-(AD536*BI536)),2)</f>
        <v>183.15</v>
      </c>
      <c r="AN536" s="6">
        <f>ROUND((AD536-(AD536*BJ536)),2)</f>
        <v>183.15</v>
      </c>
      <c r="AO536" s="6">
        <f>ROUND((AD536-(AD536*BK536)),2)</f>
        <v>188.81</v>
      </c>
      <c r="BG536" s="12">
        <v>0.01</v>
      </c>
      <c r="BH536" s="12">
        <v>0.02</v>
      </c>
      <c r="BI536" s="12">
        <v>0.03</v>
      </c>
      <c r="BJ536" s="12">
        <v>0.03</v>
      </c>
      <c r="CC536" s="3" t="str">
        <f>IF(B536&lt;&gt;"",CONCATENATE(SUBSTITUTE(B536," ","-"),".jpg"),"")</f>
        <v>Allied-Moulded-AM1084RTW.jpg</v>
      </c>
      <c r="CD536" s="16" t="s">
        <v>111</v>
      </c>
      <c r="CE536" s="3"/>
      <c r="CF536" s="3"/>
      <c r="CG536" s="3" t="s">
        <v>112</v>
      </c>
      <c r="CI536" s="3" t="s">
        <v>97</v>
      </c>
      <c r="CJ536" s="3" t="s">
        <v>383</v>
      </c>
      <c r="CK536" s="3" t="s">
        <v>114</v>
      </c>
      <c r="CL536" s="3" t="s">
        <v>115</v>
      </c>
      <c r="CM536" s="3" t="s">
        <v>116</v>
      </c>
      <c r="CN536" s="16" t="s">
        <v>132</v>
      </c>
      <c r="CO536" s="3" t="s">
        <v>118</v>
      </c>
      <c r="CP536" s="3" t="s">
        <v>139</v>
      </c>
      <c r="CQ536" s="3" t="s">
        <v>120</v>
      </c>
      <c r="CR536" s="16" t="s">
        <v>121</v>
      </c>
      <c r="CS536" s="16" t="s">
        <v>122</v>
      </c>
      <c r="CT536" s="16" t="s">
        <v>167</v>
      </c>
      <c r="CU536" s="16" t="s">
        <v>385</v>
      </c>
      <c r="CV536" s="16" t="s">
        <v>351</v>
      </c>
    </row>
    <row r="537" spans="1:100" ht="15" customHeight="1">
      <c r="A537" t="s">
        <v>3488</v>
      </c>
      <c r="B537" s="3" t="s">
        <v>3489</v>
      </c>
      <c r="C537" s="16" t="s">
        <v>97</v>
      </c>
      <c r="D537" s="39" t="s">
        <v>3490</v>
      </c>
      <c r="E537" s="16" t="s">
        <v>97</v>
      </c>
      <c r="F537" s="131" t="s">
        <v>3491</v>
      </c>
      <c r="I537" s="100" t="s">
        <v>342</v>
      </c>
      <c r="J537" s="16" t="s">
        <v>101</v>
      </c>
      <c r="K537" s="16"/>
      <c r="L537" s="3" t="s">
        <v>102</v>
      </c>
      <c r="M537" s="3" t="s">
        <v>103</v>
      </c>
      <c r="N537" s="3" t="s">
        <v>104</v>
      </c>
      <c r="O537" s="16" t="s">
        <v>105</v>
      </c>
      <c r="P537" s="3" t="s">
        <v>3492</v>
      </c>
      <c r="Q537" s="3" t="s">
        <v>3492</v>
      </c>
      <c r="R537" s="3" t="s">
        <v>3492</v>
      </c>
      <c r="S537" t="s">
        <v>3488</v>
      </c>
      <c r="T537" s="130" t="s">
        <v>107</v>
      </c>
      <c r="U537" s="50">
        <v>7</v>
      </c>
      <c r="V537" s="54"/>
      <c r="W537" s="54"/>
      <c r="X537" s="59" t="s">
        <v>108</v>
      </c>
      <c r="Y537" s="93">
        <f>IF(AD537=0, 0, IF(OR(H537="", H537&lt;&gt;0), 1, 0))</f>
        <v>1</v>
      </c>
      <c r="Z537" s="3">
        <v>0</v>
      </c>
      <c r="AA537" s="3" t="s">
        <v>3493</v>
      </c>
      <c r="AD537" s="6">
        <f>ROUND((AG537*(1+AJ537)),2)</f>
        <v>206.6</v>
      </c>
      <c r="AE537" s="69">
        <v>235.44288165999998</v>
      </c>
      <c r="AF537" s="17">
        <f>(AE537*1)</f>
        <v>235.44288165999998</v>
      </c>
      <c r="AG537" s="6">
        <f>ROUND((AE537*AI537),2)</f>
        <v>153.04</v>
      </c>
      <c r="AH537" s="30" t="s">
        <v>110</v>
      </c>
      <c r="AI537" s="3">
        <v>0.65</v>
      </c>
      <c r="AJ537" s="18">
        <v>0.35</v>
      </c>
      <c r="AK537" s="6">
        <f>ROUND((AD537-(AD537*BG537)),2)</f>
        <v>204.53</v>
      </c>
      <c r="AL537" s="6">
        <f>ROUND((AD537-(AD537*BH537)),2)</f>
        <v>202.47</v>
      </c>
      <c r="AM537" s="6">
        <f>ROUND((AD537-(AD537*BI537)),2)</f>
        <v>200.4</v>
      </c>
      <c r="AN537" s="6">
        <f>ROUND((AD537-(AD537*BJ537)),2)</f>
        <v>200.4</v>
      </c>
      <c r="AO537" s="6">
        <f>ROUND((AD537-(AD537*BK537)),2)</f>
        <v>206.6</v>
      </c>
      <c r="BG537" s="12">
        <v>0.01</v>
      </c>
      <c r="BH537" s="12">
        <v>0.02</v>
      </c>
      <c r="BI537" s="12">
        <v>0.03</v>
      </c>
      <c r="BJ537" s="12">
        <v>0.03</v>
      </c>
      <c r="CC537" s="3" t="str">
        <f>IF(B537&lt;&gt;"",CONCATENATE(SUBSTITUTE(B537," ","-"),".jpg"),"")</f>
        <v>Allied-Moulded-AM1086RTW.jpg</v>
      </c>
      <c r="CD537" s="16" t="s">
        <v>111</v>
      </c>
      <c r="CE537" s="3"/>
      <c r="CF537" s="3"/>
      <c r="CG537" s="3" t="s">
        <v>112</v>
      </c>
      <c r="CI537" s="3" t="s">
        <v>97</v>
      </c>
      <c r="CJ537" s="3" t="s">
        <v>383</v>
      </c>
      <c r="CK537" s="3" t="s">
        <v>114</v>
      </c>
      <c r="CL537" s="3" t="s">
        <v>115</v>
      </c>
      <c r="CM537" s="3" t="s">
        <v>116</v>
      </c>
      <c r="CN537" s="16" t="s">
        <v>132</v>
      </c>
      <c r="CO537" s="3" t="s">
        <v>118</v>
      </c>
      <c r="CP537" s="3" t="s">
        <v>139</v>
      </c>
      <c r="CQ537" s="3" t="s">
        <v>120</v>
      </c>
      <c r="CR537" s="16" t="s">
        <v>121</v>
      </c>
      <c r="CS537" s="16" t="s">
        <v>122</v>
      </c>
      <c r="CT537" s="16" t="s">
        <v>167</v>
      </c>
      <c r="CU537" s="16" t="s">
        <v>385</v>
      </c>
      <c r="CV537" s="16" t="s">
        <v>385</v>
      </c>
    </row>
    <row r="538" spans="1:100" ht="15" customHeight="1">
      <c r="A538" s="86" t="s">
        <v>3494</v>
      </c>
      <c r="B538" s="80" t="s">
        <v>3495</v>
      </c>
      <c r="C538" s="16" t="s">
        <v>97</v>
      </c>
      <c r="D538" s="80" t="s">
        <v>3496</v>
      </c>
      <c r="E538" s="16" t="s">
        <v>97</v>
      </c>
      <c r="F538" s="150" t="s">
        <v>3497</v>
      </c>
      <c r="I538" s="100" t="s">
        <v>342</v>
      </c>
      <c r="J538" s="16" t="s">
        <v>101</v>
      </c>
      <c r="K538" s="16"/>
      <c r="L538" s="3" t="s">
        <v>102</v>
      </c>
      <c r="M538" s="3" t="s">
        <v>103</v>
      </c>
      <c r="N538" s="3" t="s">
        <v>104</v>
      </c>
      <c r="O538" s="16" t="s">
        <v>343</v>
      </c>
      <c r="P538" s="80" t="s">
        <v>3498</v>
      </c>
      <c r="Q538" s="80" t="s">
        <v>3498</v>
      </c>
      <c r="R538" s="80" t="s">
        <v>3499</v>
      </c>
      <c r="S538" s="80" t="s">
        <v>3500</v>
      </c>
      <c r="T538" s="132" t="s">
        <v>107</v>
      </c>
      <c r="U538" s="97">
        <v>6</v>
      </c>
      <c r="X538" s="31" t="s">
        <v>108</v>
      </c>
      <c r="Y538" s="93">
        <f>IF(AD538=0, 0, IF(OR(H538="", H538&lt;&gt;0), 1, 0))</f>
        <v>1</v>
      </c>
      <c r="Z538" s="3">
        <v>0</v>
      </c>
      <c r="AA538" s="3" t="s">
        <v>3501</v>
      </c>
      <c r="AD538" s="6">
        <f>ROUND((AG538*(1+AJ538)),2)</f>
        <v>85.19</v>
      </c>
      <c r="AE538" s="99">
        <v>97.08165296</v>
      </c>
      <c r="AF538" s="17">
        <f>(AE538*1)</f>
        <v>97.08165296</v>
      </c>
      <c r="AG538" s="6">
        <f>ROUND((AE538*AI538),2)</f>
        <v>63.1</v>
      </c>
      <c r="AH538" s="30" t="s">
        <v>110</v>
      </c>
      <c r="AI538" s="3">
        <v>0.65</v>
      </c>
      <c r="AJ538" s="18">
        <v>0.35</v>
      </c>
      <c r="AK538" s="6">
        <f>ROUND((AD538-(AD538*BG538)),2)</f>
        <v>84.34</v>
      </c>
      <c r="AL538" s="6">
        <f>ROUND((AD538-(AD538*BH538)),2)</f>
        <v>83.49</v>
      </c>
      <c r="AM538" s="6">
        <f>ROUND((AD538-(AD538*BI538)),2)</f>
        <v>82.63</v>
      </c>
      <c r="AN538" s="6">
        <f>ROUND((AD538-(AD538*BJ538)),2)</f>
        <v>82.63</v>
      </c>
      <c r="AO538" s="6">
        <f>ROUND((AD538-(AD538*BK538)),2)</f>
        <v>85.19</v>
      </c>
      <c r="BG538" s="12">
        <v>0.01</v>
      </c>
      <c r="BH538" s="12">
        <v>0.02</v>
      </c>
      <c r="BI538" s="12">
        <v>0.03</v>
      </c>
      <c r="BJ538" s="12">
        <v>0.03</v>
      </c>
      <c r="BK538" s="12"/>
      <c r="CC538" s="3" t="str">
        <f>IF(B538&lt;&gt;"",CONCATENATE(SUBSTITUTE(B538," ","-"),".jpg"),"")</f>
        <v>Allied-Moulded-AM1086.jpg</v>
      </c>
      <c r="CD538" s="16" t="s">
        <v>111</v>
      </c>
      <c r="CE538" s="3"/>
      <c r="CF538" s="3"/>
      <c r="CG538" s="3" t="s">
        <v>112</v>
      </c>
      <c r="CI538" s="3" t="s">
        <v>97</v>
      </c>
      <c r="CJ538" s="16" t="s">
        <v>348</v>
      </c>
      <c r="CK538" s="3" t="s">
        <v>114</v>
      </c>
      <c r="CL538" s="3" t="s">
        <v>115</v>
      </c>
      <c r="CN538" s="16" t="s">
        <v>349</v>
      </c>
      <c r="CO538" s="16" t="s">
        <v>350</v>
      </c>
      <c r="CP538" s="3" t="s">
        <v>139</v>
      </c>
      <c r="CQ538" s="3" t="s">
        <v>120</v>
      </c>
      <c r="CR538" s="3" t="s">
        <v>140</v>
      </c>
      <c r="CS538" s="3" t="s">
        <v>384</v>
      </c>
      <c r="CT538" s="16" t="s">
        <v>167</v>
      </c>
      <c r="CU538" s="16" t="s">
        <v>385</v>
      </c>
      <c r="CV538" s="16" t="s">
        <v>351</v>
      </c>
    </row>
    <row r="539" spans="1:100" ht="15" customHeight="1">
      <c r="A539" s="86" t="s">
        <v>3502</v>
      </c>
      <c r="B539" s="80" t="s">
        <v>3503</v>
      </c>
      <c r="C539" s="16" t="s">
        <v>97</v>
      </c>
      <c r="D539" s="80" t="s">
        <v>3504</v>
      </c>
      <c r="E539" s="16" t="s">
        <v>97</v>
      </c>
      <c r="F539" s="150" t="s">
        <v>3505</v>
      </c>
      <c r="I539" s="100" t="s">
        <v>342</v>
      </c>
      <c r="J539" s="16" t="s">
        <v>101</v>
      </c>
      <c r="K539" s="16"/>
      <c r="L539" s="3" t="s">
        <v>102</v>
      </c>
      <c r="M539" s="3" t="s">
        <v>103</v>
      </c>
      <c r="N539" s="3" t="s">
        <v>104</v>
      </c>
      <c r="O539" s="16" t="s">
        <v>343</v>
      </c>
      <c r="P539" s="80" t="s">
        <v>3506</v>
      </c>
      <c r="Q539" s="80" t="s">
        <v>3506</v>
      </c>
      <c r="R539" s="80" t="s">
        <v>3507</v>
      </c>
      <c r="S539" s="80" t="s">
        <v>3508</v>
      </c>
      <c r="T539" s="132" t="s">
        <v>107</v>
      </c>
      <c r="U539" s="97">
        <v>6</v>
      </c>
      <c r="X539" s="31" t="s">
        <v>108</v>
      </c>
      <c r="Y539" s="93">
        <f>IF(AD539=0, 0, IF(OR(H539="", H539&lt;&gt;0), 1, 0))</f>
        <v>1</v>
      </c>
      <c r="Z539" s="3">
        <v>0</v>
      </c>
      <c r="AA539" s="3" t="s">
        <v>3509</v>
      </c>
      <c r="AD539" s="6">
        <f>ROUND((AG539*(1+AJ539)),2)</f>
        <v>97.89</v>
      </c>
      <c r="AE539" s="99">
        <v>111.54623960000001</v>
      </c>
      <c r="AF539" s="17">
        <f>(AE539*1)</f>
        <v>111.54623960000001</v>
      </c>
      <c r="AG539" s="6">
        <f>ROUND((AE539*AI539),2)</f>
        <v>72.510000000000005</v>
      </c>
      <c r="AH539" s="30" t="s">
        <v>110</v>
      </c>
      <c r="AI539" s="3">
        <v>0.65</v>
      </c>
      <c r="AJ539" s="18">
        <v>0.35</v>
      </c>
      <c r="AK539" s="6">
        <f>ROUND((AD539-(AD539*BG539)),2)</f>
        <v>96.91</v>
      </c>
      <c r="AL539" s="6">
        <f>ROUND((AD539-(AD539*BH539)),2)</f>
        <v>95.93</v>
      </c>
      <c r="AM539" s="6">
        <f>ROUND((AD539-(AD539*BI539)),2)</f>
        <v>94.95</v>
      </c>
      <c r="AN539" s="6">
        <f>ROUND((AD539-(AD539*BJ539)),2)</f>
        <v>94.95</v>
      </c>
      <c r="AO539" s="6">
        <f>ROUND((AD539-(AD539*BK539)),2)</f>
        <v>97.89</v>
      </c>
      <c r="BG539" s="12">
        <v>0.01</v>
      </c>
      <c r="BH539" s="12">
        <v>0.02</v>
      </c>
      <c r="BI539" s="12">
        <v>0.03</v>
      </c>
      <c r="BJ539" s="12">
        <v>0.03</v>
      </c>
      <c r="BK539" s="12"/>
      <c r="CC539" s="3" t="str">
        <f>IF(B539&lt;&gt;"",CONCATENATE(SUBSTITUTE(B539," ","-"),".jpg"),"")</f>
        <v>Allied-Moulded-AM1086H.jpg</v>
      </c>
      <c r="CD539" s="16" t="s">
        <v>111</v>
      </c>
      <c r="CE539" s="3"/>
      <c r="CF539" s="3"/>
      <c r="CG539" s="3" t="s">
        <v>112</v>
      </c>
      <c r="CI539" s="3" t="s">
        <v>97</v>
      </c>
      <c r="CJ539" s="16" t="s">
        <v>348</v>
      </c>
      <c r="CK539" s="3" t="s">
        <v>114</v>
      </c>
      <c r="CL539" s="3" t="s">
        <v>115</v>
      </c>
      <c r="CM539" s="3" t="s">
        <v>116</v>
      </c>
      <c r="CN539" s="16" t="s">
        <v>349</v>
      </c>
      <c r="CO539" s="16" t="s">
        <v>350</v>
      </c>
      <c r="CP539" s="3" t="s">
        <v>139</v>
      </c>
      <c r="CQ539" s="3" t="s">
        <v>120</v>
      </c>
      <c r="CR539" s="3" t="s">
        <v>140</v>
      </c>
      <c r="CS539" s="3" t="s">
        <v>384</v>
      </c>
      <c r="CT539" s="16" t="s">
        <v>167</v>
      </c>
      <c r="CU539" s="16" t="s">
        <v>385</v>
      </c>
      <c r="CV539" s="16" t="s">
        <v>351</v>
      </c>
    </row>
    <row r="540" spans="1:100" ht="15" customHeight="1">
      <c r="A540" s="86" t="s">
        <v>3510</v>
      </c>
      <c r="B540" s="80" t="s">
        <v>3511</v>
      </c>
      <c r="C540" s="16" t="s">
        <v>97</v>
      </c>
      <c r="D540" s="80" t="s">
        <v>3512</v>
      </c>
      <c r="E540" s="16" t="s">
        <v>97</v>
      </c>
      <c r="F540" s="150" t="s">
        <v>3513</v>
      </c>
      <c r="I540" s="100" t="s">
        <v>342</v>
      </c>
      <c r="J540" s="16" t="s">
        <v>101</v>
      </c>
      <c r="K540" s="16"/>
      <c r="L540" s="3" t="s">
        <v>102</v>
      </c>
      <c r="M540" s="3" t="s">
        <v>103</v>
      </c>
      <c r="N540" s="3" t="s">
        <v>104</v>
      </c>
      <c r="O540" s="16" t="s">
        <v>343</v>
      </c>
      <c r="P540" s="80" t="s">
        <v>3514</v>
      </c>
      <c r="Q540" s="80" t="s">
        <v>3514</v>
      </c>
      <c r="R540" s="80" t="s">
        <v>3515</v>
      </c>
      <c r="S540" s="80" t="s">
        <v>3516</v>
      </c>
      <c r="T540" s="132" t="s">
        <v>107</v>
      </c>
      <c r="U540" s="97">
        <v>6</v>
      </c>
      <c r="X540" s="31" t="s">
        <v>108</v>
      </c>
      <c r="Y540" s="93">
        <f>IF(AD540=0, 0, IF(OR(H540="", H540&lt;&gt;0), 1, 0))</f>
        <v>1</v>
      </c>
      <c r="Z540" s="3">
        <v>0</v>
      </c>
      <c r="AA540" s="3" t="s">
        <v>3517</v>
      </c>
      <c r="AD540" s="6">
        <f>ROUND((AG540*(1+AJ540)),2)</f>
        <v>120.66</v>
      </c>
      <c r="AE540" s="99">
        <v>137.50154744</v>
      </c>
      <c r="AF540" s="17">
        <f>(AE540*1)</f>
        <v>137.50154744</v>
      </c>
      <c r="AG540" s="6">
        <f>ROUND((AE540*AI540),2)</f>
        <v>89.38</v>
      </c>
      <c r="AH540" s="30" t="s">
        <v>110</v>
      </c>
      <c r="AI540" s="3">
        <v>0.65</v>
      </c>
      <c r="AJ540" s="18">
        <v>0.35</v>
      </c>
      <c r="AK540" s="6">
        <f>ROUND((AD540-(AD540*BG540)),2)</f>
        <v>119.45</v>
      </c>
      <c r="AL540" s="6">
        <f>ROUND((AD540-(AD540*BH540)),2)</f>
        <v>118.25</v>
      </c>
      <c r="AM540" s="6">
        <f>ROUND((AD540-(AD540*BI540)),2)</f>
        <v>117.04</v>
      </c>
      <c r="AN540" s="6">
        <f>ROUND((AD540-(AD540*BJ540)),2)</f>
        <v>117.04</v>
      </c>
      <c r="AO540" s="6">
        <f>ROUND((AD540-(AD540*BK540)),2)</f>
        <v>120.66</v>
      </c>
      <c r="BG540" s="12">
        <v>0.01</v>
      </c>
      <c r="BH540" s="12">
        <v>0.02</v>
      </c>
      <c r="BI540" s="12">
        <v>0.03</v>
      </c>
      <c r="BJ540" s="12">
        <v>0.03</v>
      </c>
      <c r="BK540" s="12"/>
      <c r="CC540" s="3" t="str">
        <f>IF(B540&lt;&gt;"",CONCATENATE(SUBSTITUTE(B540," ","-"),".jpg"),"")</f>
        <v>Allied-Moulded-AM1086L.jpg</v>
      </c>
      <c r="CD540" s="16" t="s">
        <v>111</v>
      </c>
      <c r="CE540" s="3"/>
      <c r="CF540" s="3"/>
      <c r="CG540" s="3" t="s">
        <v>112</v>
      </c>
      <c r="CI540" s="3" t="s">
        <v>97</v>
      </c>
      <c r="CJ540" s="16" t="s">
        <v>348</v>
      </c>
      <c r="CK540" s="3" t="s">
        <v>114</v>
      </c>
      <c r="CL540" s="3" t="s">
        <v>115</v>
      </c>
      <c r="CM540" s="3" t="s">
        <v>116</v>
      </c>
      <c r="CN540" s="16" t="s">
        <v>368</v>
      </c>
      <c r="CO540" s="16" t="s">
        <v>350</v>
      </c>
      <c r="CP540" s="3" t="s">
        <v>139</v>
      </c>
      <c r="CQ540" s="3" t="s">
        <v>120</v>
      </c>
      <c r="CR540" s="3" t="s">
        <v>140</v>
      </c>
      <c r="CS540" s="16" t="s">
        <v>122</v>
      </c>
      <c r="CT540" s="16" t="s">
        <v>167</v>
      </c>
      <c r="CU540" s="16" t="s">
        <v>385</v>
      </c>
      <c r="CV540" s="16" t="s">
        <v>351</v>
      </c>
    </row>
    <row r="541" spans="1:100" ht="15" customHeight="1">
      <c r="A541" s="86" t="s">
        <v>3518</v>
      </c>
      <c r="B541" s="80" t="s">
        <v>3519</v>
      </c>
      <c r="C541" s="16" t="s">
        <v>97</v>
      </c>
      <c r="D541" s="80" t="s">
        <v>3520</v>
      </c>
      <c r="E541" s="16" t="s">
        <v>97</v>
      </c>
      <c r="F541" s="150" t="s">
        <v>3521</v>
      </c>
      <c r="I541" s="100" t="s">
        <v>342</v>
      </c>
      <c r="J541" s="16" t="s">
        <v>101</v>
      </c>
      <c r="K541" s="16"/>
      <c r="L541" s="3" t="s">
        <v>102</v>
      </c>
      <c r="M541" s="3" t="s">
        <v>103</v>
      </c>
      <c r="N541" s="3" t="s">
        <v>104</v>
      </c>
      <c r="O541" s="16" t="s">
        <v>343</v>
      </c>
      <c r="P541" s="80" t="s">
        <v>3522</v>
      </c>
      <c r="Q541" s="80" t="s">
        <v>3522</v>
      </c>
      <c r="R541" s="80" t="s">
        <v>3523</v>
      </c>
      <c r="S541" s="80" t="s">
        <v>3524</v>
      </c>
      <c r="T541" s="132" t="s">
        <v>107</v>
      </c>
      <c r="U541" s="97">
        <v>6</v>
      </c>
      <c r="X541" s="31" t="s">
        <v>108</v>
      </c>
      <c r="Y541" s="93">
        <f>IF(AD541=0, 0, IF(OR(H541="", H541&lt;&gt;0), 1, 0))</f>
        <v>1</v>
      </c>
      <c r="Z541" s="3">
        <v>0</v>
      </c>
      <c r="AA541" s="3" t="s">
        <v>3525</v>
      </c>
      <c r="AD541" s="6">
        <f>ROUND((AG541*(1+AJ541)),2)</f>
        <v>120.66</v>
      </c>
      <c r="AE541" s="99">
        <v>137.50154744</v>
      </c>
      <c r="AF541" s="17">
        <f>(AE541*1)</f>
        <v>137.50154744</v>
      </c>
      <c r="AG541" s="6">
        <f>ROUND((AE541*AI541),2)</f>
        <v>89.38</v>
      </c>
      <c r="AH541" s="30" t="s">
        <v>110</v>
      </c>
      <c r="AI541" s="3">
        <v>0.65</v>
      </c>
      <c r="AJ541" s="18">
        <v>0.35</v>
      </c>
      <c r="AK541" s="6">
        <f>ROUND((AD541-(AD541*BG541)),2)</f>
        <v>119.45</v>
      </c>
      <c r="AL541" s="6">
        <f>ROUND((AD541-(AD541*BH541)),2)</f>
        <v>118.25</v>
      </c>
      <c r="AM541" s="6">
        <f>ROUND((AD541-(AD541*BI541)),2)</f>
        <v>117.04</v>
      </c>
      <c r="AN541" s="6">
        <f>ROUND((AD541-(AD541*BJ541)),2)</f>
        <v>117.04</v>
      </c>
      <c r="AO541" s="6">
        <f>ROUND((AD541-(AD541*BK541)),2)</f>
        <v>120.66</v>
      </c>
      <c r="BG541" s="12">
        <v>0.01</v>
      </c>
      <c r="BH541" s="12">
        <v>0.02</v>
      </c>
      <c r="BI541" s="12">
        <v>0.03</v>
      </c>
      <c r="BJ541" s="12">
        <v>0.03</v>
      </c>
      <c r="BK541" s="12"/>
      <c r="CC541" s="3" t="str">
        <f>IF(B541&lt;&gt;"",CONCATENATE(SUBSTITUTE(B541," ","-"),".jpg"),"")</f>
        <v>Allied-Moulded-AM1086T.jpg</v>
      </c>
      <c r="CD541" s="16" t="s">
        <v>111</v>
      </c>
      <c r="CE541" s="3"/>
      <c r="CF541" s="3"/>
      <c r="CG541" s="3" t="s">
        <v>112</v>
      </c>
      <c r="CI541" s="3" t="s">
        <v>97</v>
      </c>
      <c r="CJ541" s="16" t="s">
        <v>348</v>
      </c>
      <c r="CK541" s="3" t="s">
        <v>114</v>
      </c>
      <c r="CL541" s="3" t="s">
        <v>115</v>
      </c>
      <c r="CM541" s="3" t="s">
        <v>116</v>
      </c>
      <c r="CN541" s="16" t="s">
        <v>132</v>
      </c>
      <c r="CO541" s="16" t="s">
        <v>350</v>
      </c>
      <c r="CP541" s="3" t="s">
        <v>139</v>
      </c>
      <c r="CQ541" s="3" t="s">
        <v>120</v>
      </c>
      <c r="CR541" s="3" t="s">
        <v>140</v>
      </c>
      <c r="CS541" s="16" t="s">
        <v>122</v>
      </c>
      <c r="CT541" s="16" t="s">
        <v>167</v>
      </c>
      <c r="CU541" s="16" t="s">
        <v>385</v>
      </c>
      <c r="CV541" s="16" t="s">
        <v>351</v>
      </c>
    </row>
    <row r="542" spans="1:100" ht="15" customHeight="1">
      <c r="A542" s="86" t="s">
        <v>3526</v>
      </c>
      <c r="B542" s="80" t="s">
        <v>3527</v>
      </c>
      <c r="C542" s="16" t="s">
        <v>97</v>
      </c>
      <c r="D542" s="80" t="s">
        <v>3528</v>
      </c>
      <c r="E542" s="16" t="s">
        <v>97</v>
      </c>
      <c r="F542" s="150" t="s">
        <v>3529</v>
      </c>
      <c r="I542" s="100" t="s">
        <v>342</v>
      </c>
      <c r="J542" s="16" t="s">
        <v>101</v>
      </c>
      <c r="K542" s="16"/>
      <c r="L542" s="3" t="s">
        <v>102</v>
      </c>
      <c r="M542" s="3" t="s">
        <v>103</v>
      </c>
      <c r="N542" s="3" t="s">
        <v>104</v>
      </c>
      <c r="O542" s="16" t="s">
        <v>343</v>
      </c>
      <c r="P542" s="80" t="s">
        <v>3530</v>
      </c>
      <c r="Q542" s="80" t="s">
        <v>3530</v>
      </c>
      <c r="R542" s="80" t="s">
        <v>3531</v>
      </c>
      <c r="S542" s="80" t="s">
        <v>3532</v>
      </c>
      <c r="T542" s="132" t="s">
        <v>107</v>
      </c>
      <c r="U542" s="97">
        <v>6</v>
      </c>
      <c r="X542" s="31" t="s">
        <v>108</v>
      </c>
      <c r="Y542" s="93">
        <f>IF(AD542=0, 0, IF(OR(H542="", H542&lt;&gt;0), 1, 0))</f>
        <v>1</v>
      </c>
      <c r="Z542" s="3">
        <v>0</v>
      </c>
      <c r="AA542" s="3" t="s">
        <v>3533</v>
      </c>
      <c r="AD542" s="6">
        <f>ROUND((AG542*(1+AJ542)),2)</f>
        <v>154.28</v>
      </c>
      <c r="AE542" s="99">
        <v>175.81528865000001</v>
      </c>
      <c r="AF542" s="17">
        <f>(AE542*1)</f>
        <v>175.81528865000001</v>
      </c>
      <c r="AG542" s="6">
        <f>ROUND((AE542*AI542),2)</f>
        <v>114.28</v>
      </c>
      <c r="AH542" s="30" t="s">
        <v>110</v>
      </c>
      <c r="AI542" s="3">
        <v>0.65</v>
      </c>
      <c r="AJ542" s="18">
        <v>0.35</v>
      </c>
      <c r="AK542" s="6">
        <f>ROUND((AD542-(AD542*BG542)),2)</f>
        <v>152.74</v>
      </c>
      <c r="AL542" s="6">
        <f>ROUND((AD542-(AD542*BH542)),2)</f>
        <v>151.19</v>
      </c>
      <c r="AM542" s="6">
        <f>ROUND((AD542-(AD542*BI542)),2)</f>
        <v>149.65</v>
      </c>
      <c r="AN542" s="6">
        <f>ROUND((AD542-(AD542*BJ542)),2)</f>
        <v>149.65</v>
      </c>
      <c r="AO542" s="6">
        <f>ROUND((AD542-(AD542*BK542)),2)</f>
        <v>154.28</v>
      </c>
      <c r="BG542" s="12">
        <v>0.01</v>
      </c>
      <c r="BH542" s="12">
        <v>0.02</v>
      </c>
      <c r="BI542" s="12">
        <v>0.03</v>
      </c>
      <c r="BJ542" s="12">
        <v>0.03</v>
      </c>
      <c r="BK542" s="12"/>
      <c r="CC542" s="3" t="str">
        <f>IF(B542&lt;&gt;"",CONCATENATE(SUBSTITUTE(B542," ","-"),".jpg"),"")</f>
        <v>Allied-Moulded-AM1084W.jpg</v>
      </c>
      <c r="CD542" s="16" t="s">
        <v>111</v>
      </c>
      <c r="CE542" s="3"/>
      <c r="CF542" s="3"/>
      <c r="CG542" s="3" t="s">
        <v>112</v>
      </c>
      <c r="CI542" s="3" t="s">
        <v>97</v>
      </c>
      <c r="CJ542" s="16" t="s">
        <v>348</v>
      </c>
      <c r="CK542" s="3" t="s">
        <v>114</v>
      </c>
      <c r="CL542" s="3" t="s">
        <v>115</v>
      </c>
      <c r="CM542" s="16"/>
      <c r="CN542" s="16" t="s">
        <v>349</v>
      </c>
      <c r="CO542" s="16" t="s">
        <v>350</v>
      </c>
      <c r="CP542" s="3" t="s">
        <v>139</v>
      </c>
      <c r="CQ542" s="3" t="s">
        <v>120</v>
      </c>
      <c r="CR542" s="16" t="s">
        <v>121</v>
      </c>
      <c r="CS542" s="16" t="s">
        <v>122</v>
      </c>
      <c r="CT542" s="16" t="s">
        <v>167</v>
      </c>
      <c r="CU542" s="16" t="s">
        <v>385</v>
      </c>
      <c r="CV542" s="16" t="s">
        <v>657</v>
      </c>
    </row>
    <row r="543" spans="1:100" ht="15" customHeight="1">
      <c r="A543" s="86" t="s">
        <v>3534</v>
      </c>
      <c r="B543" s="80" t="s">
        <v>3535</v>
      </c>
      <c r="C543" s="16" t="s">
        <v>97</v>
      </c>
      <c r="D543" s="80" t="s">
        <v>3536</v>
      </c>
      <c r="E543" s="16" t="s">
        <v>97</v>
      </c>
      <c r="F543" s="150" t="s">
        <v>3537</v>
      </c>
      <c r="I543" s="100" t="s">
        <v>342</v>
      </c>
      <c r="J543" s="16" t="s">
        <v>101</v>
      </c>
      <c r="K543" s="16"/>
      <c r="L543" s="3" t="s">
        <v>102</v>
      </c>
      <c r="M543" s="3" t="s">
        <v>103</v>
      </c>
      <c r="N543" s="3" t="s">
        <v>104</v>
      </c>
      <c r="O543" s="16" t="s">
        <v>343</v>
      </c>
      <c r="P543" s="80" t="s">
        <v>3538</v>
      </c>
      <c r="Q543" s="80" t="s">
        <v>3538</v>
      </c>
      <c r="R543" s="80" t="s">
        <v>3539</v>
      </c>
      <c r="S543" s="80" t="s">
        <v>3540</v>
      </c>
      <c r="T543" s="132" t="s">
        <v>107</v>
      </c>
      <c r="U543" s="97">
        <v>6</v>
      </c>
      <c r="X543" s="31" t="s">
        <v>108</v>
      </c>
      <c r="Y543" s="93">
        <f>IF(AD543=0, 0, IF(OR(H543="", H543&lt;&gt;0), 1, 0))</f>
        <v>1</v>
      </c>
      <c r="Z543" s="3">
        <v>0</v>
      </c>
      <c r="AA543" s="3" t="s">
        <v>3541</v>
      </c>
      <c r="AD543" s="6">
        <f>ROUND((AG543*(1+AJ543)),2)</f>
        <v>174.23</v>
      </c>
      <c r="AE543" s="99">
        <v>198.56131425000001</v>
      </c>
      <c r="AF543" s="17">
        <f>(AE543*1)</f>
        <v>198.56131425000001</v>
      </c>
      <c r="AG543" s="6">
        <f>ROUND((AE543*AI543),2)</f>
        <v>129.06</v>
      </c>
      <c r="AH543" s="30" t="s">
        <v>110</v>
      </c>
      <c r="AI543" s="3">
        <v>0.65</v>
      </c>
      <c r="AJ543" s="18">
        <v>0.35</v>
      </c>
      <c r="AK543" s="6">
        <f>ROUND((AD543-(AD543*BG543)),2)</f>
        <v>172.49</v>
      </c>
      <c r="AL543" s="6">
        <f>ROUND((AD543-(AD543*BH543)),2)</f>
        <v>170.75</v>
      </c>
      <c r="AM543" s="6">
        <f>ROUND((AD543-(AD543*BI543)),2)</f>
        <v>169</v>
      </c>
      <c r="AN543" s="6">
        <f>ROUND((AD543-(AD543*BJ543)),2)</f>
        <v>169</v>
      </c>
      <c r="AO543" s="6">
        <f>ROUND((AD543-(AD543*BK543)),2)</f>
        <v>174.23</v>
      </c>
      <c r="BG543" s="12">
        <v>0.01</v>
      </c>
      <c r="BH543" s="12">
        <v>0.02</v>
      </c>
      <c r="BI543" s="12">
        <v>0.03</v>
      </c>
      <c r="BJ543" s="12">
        <v>0.03</v>
      </c>
      <c r="BK543" s="12"/>
      <c r="BQ543" s="24"/>
      <c r="BR543" s="24"/>
      <c r="BS543" s="24"/>
      <c r="BT543" s="24"/>
      <c r="BU543" s="24"/>
      <c r="BV543" s="24"/>
      <c r="BW543" s="24"/>
      <c r="BX543" s="24"/>
      <c r="BY543" s="24"/>
      <c r="BZ543" s="24"/>
      <c r="CA543" s="24"/>
      <c r="CB543" s="24"/>
      <c r="CC543" s="3" t="str">
        <f>IF(B543&lt;&gt;"",CONCATENATE(SUBSTITUTE(B543," ","-"),".jpg"),"")</f>
        <v>Allied-Moulded-AM1086W.jpg</v>
      </c>
      <c r="CD543" s="16" t="s">
        <v>111</v>
      </c>
      <c r="CE543" s="3"/>
      <c r="CF543" s="3"/>
      <c r="CG543" s="3" t="s">
        <v>112</v>
      </c>
      <c r="CI543" s="3" t="s">
        <v>97</v>
      </c>
      <c r="CJ543" s="16" t="s">
        <v>348</v>
      </c>
      <c r="CK543" s="3" t="s">
        <v>114</v>
      </c>
      <c r="CL543" s="3" t="s">
        <v>115</v>
      </c>
      <c r="CM543" s="16"/>
      <c r="CN543" s="16" t="s">
        <v>349</v>
      </c>
      <c r="CO543" s="16" t="s">
        <v>350</v>
      </c>
      <c r="CP543" s="3" t="s">
        <v>139</v>
      </c>
      <c r="CQ543" s="3" t="s">
        <v>120</v>
      </c>
      <c r="CR543" s="16" t="s">
        <v>121</v>
      </c>
      <c r="CS543" s="16" t="s">
        <v>122</v>
      </c>
      <c r="CT543" s="16" t="s">
        <v>167</v>
      </c>
      <c r="CU543" s="16" t="s">
        <v>385</v>
      </c>
      <c r="CV543" s="16" t="s">
        <v>351</v>
      </c>
    </row>
    <row r="544" spans="1:100" ht="15" customHeight="1">
      <c r="A544" s="86" t="s">
        <v>3542</v>
      </c>
      <c r="B544" s="80" t="s">
        <v>3543</v>
      </c>
      <c r="C544" s="16" t="s">
        <v>97</v>
      </c>
      <c r="D544" s="80" t="s">
        <v>3544</v>
      </c>
      <c r="E544" s="16" t="s">
        <v>97</v>
      </c>
      <c r="F544" s="150" t="s">
        <v>3545</v>
      </c>
      <c r="I544" s="100" t="s">
        <v>342</v>
      </c>
      <c r="J544" s="16" t="s">
        <v>101</v>
      </c>
      <c r="K544" s="16"/>
      <c r="L544" s="3" t="s">
        <v>102</v>
      </c>
      <c r="M544" s="3" t="s">
        <v>103</v>
      </c>
      <c r="N544" s="3" t="s">
        <v>104</v>
      </c>
      <c r="O544" s="16" t="s">
        <v>343</v>
      </c>
      <c r="P544" s="80" t="s">
        <v>3546</v>
      </c>
      <c r="Q544" s="80" t="s">
        <v>3546</v>
      </c>
      <c r="R544" s="80" t="s">
        <v>3547</v>
      </c>
      <c r="S544" s="80" t="s">
        <v>3548</v>
      </c>
      <c r="T544" s="132" t="s">
        <v>107</v>
      </c>
      <c r="U544" s="97">
        <v>6</v>
      </c>
      <c r="X544" s="31" t="s">
        <v>108</v>
      </c>
      <c r="Y544" s="93">
        <f>IF(AD544=0, 0, IF(OR(H544="", H544&lt;&gt;0), 1, 0))</f>
        <v>1</v>
      </c>
      <c r="Z544" s="3">
        <v>0</v>
      </c>
      <c r="AA544" s="3" t="s">
        <v>3549</v>
      </c>
      <c r="AD544" s="6">
        <f>ROUND((AG544*(1+AJ544)),2)</f>
        <v>158.04</v>
      </c>
      <c r="AE544" s="99">
        <v>180.10259361000001</v>
      </c>
      <c r="AF544" s="17">
        <f>(AE544*1)</f>
        <v>180.10259361000001</v>
      </c>
      <c r="AG544" s="6">
        <f>ROUND((AE544*AI544),2)</f>
        <v>117.07</v>
      </c>
      <c r="AH544" s="30" t="s">
        <v>110</v>
      </c>
      <c r="AI544" s="3">
        <v>0.65</v>
      </c>
      <c r="AJ544" s="18">
        <v>0.35</v>
      </c>
      <c r="AK544" s="6">
        <f>ROUND((AD544-(AD544*BG544)),2)</f>
        <v>156.46</v>
      </c>
      <c r="AL544" s="6">
        <f>ROUND((AD544-(AD544*BH544)),2)</f>
        <v>154.88</v>
      </c>
      <c r="AM544" s="6">
        <f>ROUND((AD544-(AD544*BI544)),2)</f>
        <v>153.30000000000001</v>
      </c>
      <c r="AN544" s="6">
        <f>ROUND((AD544-(AD544*BJ544)),2)</f>
        <v>153.30000000000001</v>
      </c>
      <c r="AO544" s="6">
        <f>ROUND((AD544-(AD544*BK544)),2)</f>
        <v>158.04</v>
      </c>
      <c r="BG544" s="12">
        <v>0.01</v>
      </c>
      <c r="BH544" s="12">
        <v>0.02</v>
      </c>
      <c r="BI544" s="12">
        <v>0.03</v>
      </c>
      <c r="BJ544" s="12">
        <v>0.03</v>
      </c>
      <c r="BK544" s="12"/>
      <c r="CC544" s="3" t="str">
        <f>IF(B544&lt;&gt;"",CONCATENATE(SUBSTITUTE(B544," ","-"),".jpg"),"")</f>
        <v>Allied-Moulded-AM1084HW.jpg</v>
      </c>
      <c r="CD544" s="16" t="s">
        <v>111</v>
      </c>
      <c r="CE544" s="3"/>
      <c r="CF544" s="3"/>
      <c r="CG544" s="3" t="s">
        <v>112</v>
      </c>
      <c r="CI544" s="3" t="s">
        <v>97</v>
      </c>
      <c r="CJ544" s="16" t="s">
        <v>348</v>
      </c>
      <c r="CK544" s="3" t="s">
        <v>114</v>
      </c>
      <c r="CL544" s="3" t="s">
        <v>115</v>
      </c>
      <c r="CM544" s="3" t="s">
        <v>116</v>
      </c>
      <c r="CN544" s="16" t="s">
        <v>349</v>
      </c>
      <c r="CO544" s="16" t="s">
        <v>350</v>
      </c>
      <c r="CP544" s="3" t="s">
        <v>139</v>
      </c>
      <c r="CQ544" s="3" t="s">
        <v>120</v>
      </c>
      <c r="CR544" s="16" t="s">
        <v>121</v>
      </c>
      <c r="CS544" s="16" t="s">
        <v>122</v>
      </c>
      <c r="CT544" s="16" t="s">
        <v>167</v>
      </c>
      <c r="CU544" s="16" t="s">
        <v>385</v>
      </c>
      <c r="CV544" s="16" t="s">
        <v>657</v>
      </c>
    </row>
    <row r="545" spans="1:100" ht="15" customHeight="1">
      <c r="A545" s="86" t="s">
        <v>3550</v>
      </c>
      <c r="B545" s="80" t="s">
        <v>3551</v>
      </c>
      <c r="C545" s="16" t="s">
        <v>97</v>
      </c>
      <c r="D545" s="94" t="s">
        <v>3552</v>
      </c>
      <c r="E545" s="16" t="s">
        <v>97</v>
      </c>
      <c r="F545" s="150" t="s">
        <v>3553</v>
      </c>
      <c r="I545" s="100" t="s">
        <v>342</v>
      </c>
      <c r="J545" s="16" t="s">
        <v>101</v>
      </c>
      <c r="K545" s="16"/>
      <c r="L545" s="3" t="s">
        <v>102</v>
      </c>
      <c r="M545" s="3" t="s">
        <v>103</v>
      </c>
      <c r="N545" s="3" t="s">
        <v>104</v>
      </c>
      <c r="O545" s="16" t="s">
        <v>343</v>
      </c>
      <c r="P545" s="80" t="s">
        <v>3554</v>
      </c>
      <c r="Q545" s="80" t="s">
        <v>3554</v>
      </c>
      <c r="R545" s="80" t="s">
        <v>3555</v>
      </c>
      <c r="S545" s="80" t="s">
        <v>3556</v>
      </c>
      <c r="T545" s="132" t="s">
        <v>107</v>
      </c>
      <c r="U545" s="96">
        <v>6</v>
      </c>
      <c r="X545" s="31" t="s">
        <v>108</v>
      </c>
      <c r="Y545" s="93">
        <f>IF(AD545=0, 0, IF(OR(H545="", H545&lt;&gt;0), 1, 0))</f>
        <v>1</v>
      </c>
      <c r="Z545" s="3">
        <v>0</v>
      </c>
      <c r="AA545" s="3" t="s">
        <v>3557</v>
      </c>
      <c r="AD545" s="6">
        <f>ROUND((AG545*(1+AJ545)),2)</f>
        <v>178.01</v>
      </c>
      <c r="AE545" s="98">
        <v>202.86655562999999</v>
      </c>
      <c r="AF545" s="17">
        <f>(AE545*1)</f>
        <v>202.86655562999999</v>
      </c>
      <c r="AG545" s="6">
        <f>ROUND((AE545*AI545),2)</f>
        <v>131.86000000000001</v>
      </c>
      <c r="AH545" s="30" t="s">
        <v>110</v>
      </c>
      <c r="AI545" s="3">
        <v>0.65</v>
      </c>
      <c r="AJ545" s="18">
        <v>0.35</v>
      </c>
      <c r="AK545" s="6">
        <f>ROUND((AD545-(AD545*BG545)),2)</f>
        <v>176.23</v>
      </c>
      <c r="AL545" s="6">
        <f>ROUND((AD545-(AD545*BH545)),2)</f>
        <v>174.45</v>
      </c>
      <c r="AM545" s="6">
        <f>ROUND((AD545-(AD545*BI545)),2)</f>
        <v>172.67</v>
      </c>
      <c r="AN545" s="6">
        <f>ROUND((AD545-(AD545*BJ545)),2)</f>
        <v>172.67</v>
      </c>
      <c r="AO545" s="6">
        <f>ROUND((AD545-(AD545*BK545)),2)</f>
        <v>178.01</v>
      </c>
      <c r="BG545" s="12">
        <v>0.01</v>
      </c>
      <c r="BH545" s="12">
        <v>0.02</v>
      </c>
      <c r="BI545" s="12">
        <v>0.03</v>
      </c>
      <c r="BJ545" s="12">
        <v>0.03</v>
      </c>
      <c r="BK545" s="12"/>
      <c r="CC545" s="3" t="str">
        <f>IF(B545&lt;&gt;"",CONCATENATE(SUBSTITUTE(B545," ","-"),".jpg"),"")</f>
        <v>Allied-Moulded-AM1086HW.jpg</v>
      </c>
      <c r="CD545" s="16" t="s">
        <v>111</v>
      </c>
      <c r="CE545" s="3"/>
      <c r="CF545" s="3"/>
      <c r="CG545" s="3" t="s">
        <v>112</v>
      </c>
      <c r="CI545" s="3" t="s">
        <v>97</v>
      </c>
      <c r="CJ545" s="16" t="s">
        <v>348</v>
      </c>
      <c r="CK545" s="3" t="s">
        <v>114</v>
      </c>
      <c r="CL545" s="3" t="s">
        <v>115</v>
      </c>
      <c r="CM545" s="3" t="s">
        <v>116</v>
      </c>
      <c r="CN545" s="16" t="s">
        <v>349</v>
      </c>
      <c r="CO545" s="16" t="s">
        <v>350</v>
      </c>
      <c r="CP545" s="3" t="s">
        <v>139</v>
      </c>
      <c r="CQ545" s="3" t="s">
        <v>120</v>
      </c>
      <c r="CR545" s="16" t="s">
        <v>121</v>
      </c>
      <c r="CS545" s="16" t="s">
        <v>122</v>
      </c>
      <c r="CT545" s="16" t="s">
        <v>167</v>
      </c>
      <c r="CU545" s="16" t="s">
        <v>385</v>
      </c>
      <c r="CV545" s="16" t="s">
        <v>351</v>
      </c>
    </row>
    <row r="546" spans="1:100" ht="15" customHeight="1">
      <c r="A546" s="86" t="s">
        <v>3558</v>
      </c>
      <c r="B546" s="80" t="s">
        <v>3559</v>
      </c>
      <c r="C546" s="16" t="s">
        <v>97</v>
      </c>
      <c r="D546" s="80" t="s">
        <v>3560</v>
      </c>
      <c r="E546" s="16" t="s">
        <v>97</v>
      </c>
      <c r="F546" s="132" t="s">
        <v>3561</v>
      </c>
      <c r="I546" s="100" t="s">
        <v>342</v>
      </c>
      <c r="J546" s="16" t="s">
        <v>101</v>
      </c>
      <c r="K546" s="16"/>
      <c r="L546" s="3" t="s">
        <v>102</v>
      </c>
      <c r="M546" s="3" t="s">
        <v>103</v>
      </c>
      <c r="N546" s="3" t="s">
        <v>104</v>
      </c>
      <c r="O546" s="16" t="s">
        <v>343</v>
      </c>
      <c r="P546" s="80" t="s">
        <v>3562</v>
      </c>
      <c r="Q546" s="80" t="s">
        <v>3562</v>
      </c>
      <c r="R546" s="80" t="s">
        <v>3563</v>
      </c>
      <c r="S546" s="80" t="s">
        <v>3564</v>
      </c>
      <c r="T546" s="132" t="s">
        <v>107</v>
      </c>
      <c r="U546" s="97">
        <v>6</v>
      </c>
      <c r="X546" s="31" t="s">
        <v>108</v>
      </c>
      <c r="Y546" s="93">
        <f>IF(AD546=0, 0, IF(OR(H546="", H546&lt;&gt;0), 1, 0))</f>
        <v>1</v>
      </c>
      <c r="Z546" s="3">
        <v>0</v>
      </c>
      <c r="AA546" s="3" t="s">
        <v>3565</v>
      </c>
      <c r="AD546" s="6">
        <f>ROUND((AG546*(1+AJ546)),2)</f>
        <v>172.64</v>
      </c>
      <c r="AE546" s="99">
        <v>196.73158619999998</v>
      </c>
      <c r="AF546" s="17">
        <f>(AE546*1)</f>
        <v>196.73158619999998</v>
      </c>
      <c r="AG546" s="6">
        <f>ROUND((AE546*AI546),2)</f>
        <v>127.88</v>
      </c>
      <c r="AH546" s="30" t="s">
        <v>110</v>
      </c>
      <c r="AI546" s="3">
        <v>0.65</v>
      </c>
      <c r="AJ546" s="18">
        <v>0.35</v>
      </c>
      <c r="AK546" s="6">
        <f>ROUND((AD546-(AD546*BG546)),2)</f>
        <v>170.91</v>
      </c>
      <c r="AL546" s="6">
        <f>ROUND((AD546-(AD546*BH546)),2)</f>
        <v>169.19</v>
      </c>
      <c r="AM546" s="6">
        <f>ROUND((AD546-(AD546*BI546)),2)</f>
        <v>167.46</v>
      </c>
      <c r="AN546" s="6">
        <f>ROUND((AD546-(AD546*BJ546)),2)</f>
        <v>167.46</v>
      </c>
      <c r="AO546" s="6">
        <f>ROUND((AD546-(AD546*BK546)),2)</f>
        <v>172.64</v>
      </c>
      <c r="BG546" s="12">
        <v>0.01</v>
      </c>
      <c r="BH546" s="12">
        <v>0.02</v>
      </c>
      <c r="BI546" s="12">
        <v>0.03</v>
      </c>
      <c r="BJ546" s="12">
        <v>0.03</v>
      </c>
      <c r="BK546" s="12"/>
      <c r="CC546" s="3" t="str">
        <f>IF(B546&lt;&gt;"",CONCATENATE(SUBSTITUTE(B546," ","-"),".jpg"),"")</f>
        <v>Allied-Moulded-AM1084LW.jpg</v>
      </c>
      <c r="CD546" s="16" t="s">
        <v>111</v>
      </c>
      <c r="CE546" s="3"/>
      <c r="CF546" s="3"/>
      <c r="CG546" s="3" t="s">
        <v>112</v>
      </c>
      <c r="CI546" s="3" t="s">
        <v>97</v>
      </c>
      <c r="CJ546" s="16" t="s">
        <v>348</v>
      </c>
      <c r="CK546" s="3" t="s">
        <v>114</v>
      </c>
      <c r="CL546" s="3" t="s">
        <v>115</v>
      </c>
      <c r="CM546" s="3" t="s">
        <v>116</v>
      </c>
      <c r="CN546" s="16" t="s">
        <v>368</v>
      </c>
      <c r="CO546" s="16" t="s">
        <v>350</v>
      </c>
      <c r="CP546" s="3" t="s">
        <v>139</v>
      </c>
      <c r="CQ546" s="3" t="s">
        <v>120</v>
      </c>
      <c r="CR546" s="16" t="s">
        <v>121</v>
      </c>
      <c r="CS546" s="16" t="s">
        <v>122</v>
      </c>
      <c r="CT546" s="16" t="s">
        <v>167</v>
      </c>
      <c r="CU546" s="16" t="s">
        <v>385</v>
      </c>
      <c r="CV546" s="16" t="s">
        <v>657</v>
      </c>
    </row>
    <row r="547" spans="1:100" ht="15" customHeight="1">
      <c r="A547" s="86" t="s">
        <v>3566</v>
      </c>
      <c r="B547" s="80" t="s">
        <v>3567</v>
      </c>
      <c r="C547" s="16" t="s">
        <v>97</v>
      </c>
      <c r="D547" s="80" t="s">
        <v>3568</v>
      </c>
      <c r="E547" s="16" t="s">
        <v>97</v>
      </c>
      <c r="F547" s="132" t="s">
        <v>3569</v>
      </c>
      <c r="I547" s="100" t="s">
        <v>342</v>
      </c>
      <c r="J547" s="16" t="s">
        <v>101</v>
      </c>
      <c r="K547" s="16"/>
      <c r="L547" s="3" t="s">
        <v>102</v>
      </c>
      <c r="M547" s="3" t="s">
        <v>103</v>
      </c>
      <c r="N547" s="3" t="s">
        <v>104</v>
      </c>
      <c r="O547" s="16" t="s">
        <v>343</v>
      </c>
      <c r="P547" s="80" t="s">
        <v>3570</v>
      </c>
      <c r="Q547" s="80" t="s">
        <v>3570</v>
      </c>
      <c r="R547" s="80" t="s">
        <v>3571</v>
      </c>
      <c r="S547" s="80" t="s">
        <v>3572</v>
      </c>
      <c r="T547" s="132" t="s">
        <v>107</v>
      </c>
      <c r="U547" s="97">
        <v>6</v>
      </c>
      <c r="X547" s="31" t="s">
        <v>108</v>
      </c>
      <c r="Y547" s="93">
        <f>IF(AD547=0, 0, IF(OR(H547="", H547&lt;&gt;0), 1, 0))</f>
        <v>1</v>
      </c>
      <c r="Z547" s="3">
        <v>0</v>
      </c>
      <c r="AA547" s="3" t="s">
        <v>3573</v>
      </c>
      <c r="AD547" s="6">
        <f>ROUND((AG547*(1+AJ547)),2)</f>
        <v>192.58</v>
      </c>
      <c r="AE547" s="99">
        <v>219.45967228999999</v>
      </c>
      <c r="AF547" s="17">
        <f>(AE547*1)</f>
        <v>219.45967228999999</v>
      </c>
      <c r="AG547" s="6">
        <f>ROUND((AE547*AI547),2)</f>
        <v>142.65</v>
      </c>
      <c r="AH547" s="30" t="s">
        <v>110</v>
      </c>
      <c r="AI547" s="3">
        <v>0.65</v>
      </c>
      <c r="AJ547" s="18">
        <v>0.35</v>
      </c>
      <c r="AK547" s="6">
        <f>ROUND((AD547-(AD547*BG547)),2)</f>
        <v>190.65</v>
      </c>
      <c r="AL547" s="6">
        <f>ROUND((AD547-(AD547*BH547)),2)</f>
        <v>188.73</v>
      </c>
      <c r="AM547" s="6">
        <f>ROUND((AD547-(AD547*BI547)),2)</f>
        <v>186.8</v>
      </c>
      <c r="AN547" s="6">
        <f>ROUND((AD547-(AD547*BJ547)),2)</f>
        <v>186.8</v>
      </c>
      <c r="AO547" s="6">
        <f>ROUND((AD547-(AD547*BK547)),2)</f>
        <v>192.58</v>
      </c>
      <c r="BG547" s="12">
        <v>0.01</v>
      </c>
      <c r="BH547" s="12">
        <v>0.02</v>
      </c>
      <c r="BI547" s="12">
        <v>0.03</v>
      </c>
      <c r="BJ547" s="12">
        <v>0.03</v>
      </c>
      <c r="BK547" s="12"/>
      <c r="CC547" s="3" t="str">
        <f>IF(B547&lt;&gt;"",CONCATENATE(SUBSTITUTE(B547," ","-"),".jpg"),"")</f>
        <v>Allied-Moulded-AM1086LW.jpg</v>
      </c>
      <c r="CD547" s="16" t="s">
        <v>111</v>
      </c>
      <c r="CE547" s="3"/>
      <c r="CF547" s="3"/>
      <c r="CG547" s="3" t="s">
        <v>112</v>
      </c>
      <c r="CI547" s="3" t="s">
        <v>97</v>
      </c>
      <c r="CJ547" s="16" t="s">
        <v>348</v>
      </c>
      <c r="CK547" s="3" t="s">
        <v>114</v>
      </c>
      <c r="CL547" s="3" t="s">
        <v>115</v>
      </c>
      <c r="CM547" s="3" t="s">
        <v>116</v>
      </c>
      <c r="CN547" s="16" t="s">
        <v>368</v>
      </c>
      <c r="CO547" s="16" t="s">
        <v>350</v>
      </c>
      <c r="CP547" s="3" t="s">
        <v>139</v>
      </c>
      <c r="CQ547" s="3" t="s">
        <v>120</v>
      </c>
      <c r="CR547" s="16" t="s">
        <v>121</v>
      </c>
      <c r="CS547" s="16" t="s">
        <v>122</v>
      </c>
      <c r="CT547" s="16" t="s">
        <v>167</v>
      </c>
      <c r="CU547" s="16" t="s">
        <v>385</v>
      </c>
      <c r="CV547" s="16" t="s">
        <v>351</v>
      </c>
    </row>
    <row r="548" spans="1:100" ht="15" customHeight="1">
      <c r="A548" s="86" t="s">
        <v>3574</v>
      </c>
      <c r="B548" s="80" t="s">
        <v>3575</v>
      </c>
      <c r="C548" s="16" t="s">
        <v>97</v>
      </c>
      <c r="D548" s="80" t="s">
        <v>3576</v>
      </c>
      <c r="E548" s="16" t="s">
        <v>97</v>
      </c>
      <c r="F548" s="150" t="s">
        <v>3577</v>
      </c>
      <c r="I548" s="100" t="s">
        <v>342</v>
      </c>
      <c r="J548" s="16" t="s">
        <v>101</v>
      </c>
      <c r="K548" s="16"/>
      <c r="L548" s="3" t="s">
        <v>102</v>
      </c>
      <c r="M548" s="3" t="s">
        <v>103</v>
      </c>
      <c r="N548" s="3" t="s">
        <v>104</v>
      </c>
      <c r="O548" s="16" t="s">
        <v>343</v>
      </c>
      <c r="P548" s="80" t="s">
        <v>3578</v>
      </c>
      <c r="Q548" s="80" t="s">
        <v>3578</v>
      </c>
      <c r="R548" s="80" t="s">
        <v>3579</v>
      </c>
      <c r="S548" s="80" t="s">
        <v>3580</v>
      </c>
      <c r="T548" s="132" t="s">
        <v>107</v>
      </c>
      <c r="U548" s="97">
        <v>6</v>
      </c>
      <c r="X548" s="31" t="s">
        <v>108</v>
      </c>
      <c r="Y548" s="93">
        <f>IF(AD548=0, 0, IF(OR(H548="", H548&lt;&gt;0), 1, 0))</f>
        <v>1</v>
      </c>
      <c r="Z548" s="3">
        <v>0</v>
      </c>
      <c r="AA548" s="3" t="s">
        <v>3581</v>
      </c>
      <c r="AD548" s="6">
        <f>ROUND((AG548*(1+AJ548)),2)</f>
        <v>172.64</v>
      </c>
      <c r="AE548" s="99">
        <v>196.73158619999998</v>
      </c>
      <c r="AF548" s="17">
        <f>(AE548*1)</f>
        <v>196.73158619999998</v>
      </c>
      <c r="AG548" s="6">
        <f>ROUND((AE548*AI548),2)</f>
        <v>127.88</v>
      </c>
      <c r="AH548" s="30" t="s">
        <v>110</v>
      </c>
      <c r="AI548" s="3">
        <v>0.65</v>
      </c>
      <c r="AJ548" s="18">
        <v>0.35</v>
      </c>
      <c r="AK548" s="6">
        <f>ROUND((AD548-(AD548*BG548)),2)</f>
        <v>170.91</v>
      </c>
      <c r="AL548" s="6">
        <f>ROUND((AD548-(AD548*BH548)),2)</f>
        <v>169.19</v>
      </c>
      <c r="AM548" s="6">
        <f>ROUND((AD548-(AD548*BI548)),2)</f>
        <v>167.46</v>
      </c>
      <c r="AN548" s="6">
        <f>ROUND((AD548-(AD548*BJ548)),2)</f>
        <v>167.46</v>
      </c>
      <c r="AO548" s="6">
        <f>ROUND((AD548-(AD548*BK548)),2)</f>
        <v>172.64</v>
      </c>
      <c r="BG548" s="12">
        <v>0.01</v>
      </c>
      <c r="BH548" s="12">
        <v>0.02</v>
      </c>
      <c r="BI548" s="12">
        <v>0.03</v>
      </c>
      <c r="BJ548" s="12">
        <v>0.03</v>
      </c>
      <c r="BK548" s="12"/>
      <c r="CC548" s="3" t="str">
        <f>IF(B548&lt;&gt;"",CONCATENATE(SUBSTITUTE(B548," ","-"),".jpg"),"")</f>
        <v>Allied-Moulded-AM1084TW.jpg</v>
      </c>
      <c r="CD548" s="16" t="s">
        <v>111</v>
      </c>
      <c r="CE548" s="3"/>
      <c r="CF548" s="3"/>
      <c r="CG548" s="3" t="s">
        <v>112</v>
      </c>
      <c r="CI548" s="3" t="s">
        <v>97</v>
      </c>
      <c r="CJ548" s="16" t="s">
        <v>348</v>
      </c>
      <c r="CK548" s="3" t="s">
        <v>114</v>
      </c>
      <c r="CL548" s="3" t="s">
        <v>115</v>
      </c>
      <c r="CM548" s="3" t="s">
        <v>116</v>
      </c>
      <c r="CN548" s="16" t="s">
        <v>132</v>
      </c>
      <c r="CO548" s="16" t="s">
        <v>350</v>
      </c>
      <c r="CP548" s="3" t="s">
        <v>139</v>
      </c>
      <c r="CQ548" s="3" t="s">
        <v>120</v>
      </c>
      <c r="CR548" s="16" t="s">
        <v>121</v>
      </c>
      <c r="CS548" s="16" t="s">
        <v>122</v>
      </c>
      <c r="CT548" s="16" t="s">
        <v>167</v>
      </c>
      <c r="CU548" s="16" t="s">
        <v>385</v>
      </c>
      <c r="CV548" s="16" t="s">
        <v>657</v>
      </c>
    </row>
    <row r="549" spans="1:100" ht="15" customHeight="1">
      <c r="A549" s="86" t="s">
        <v>3582</v>
      </c>
      <c r="B549" s="80" t="s">
        <v>3583</v>
      </c>
      <c r="C549" s="16" t="s">
        <v>97</v>
      </c>
      <c r="D549" s="80" t="s">
        <v>3584</v>
      </c>
      <c r="E549" s="16" t="s">
        <v>97</v>
      </c>
      <c r="F549" s="150" t="s">
        <v>3585</v>
      </c>
      <c r="I549" s="100" t="s">
        <v>342</v>
      </c>
      <c r="J549" s="16" t="s">
        <v>101</v>
      </c>
      <c r="K549" s="16"/>
      <c r="L549" s="3" t="s">
        <v>102</v>
      </c>
      <c r="M549" s="3" t="s">
        <v>103</v>
      </c>
      <c r="N549" s="3" t="s">
        <v>104</v>
      </c>
      <c r="O549" s="16" t="s">
        <v>343</v>
      </c>
      <c r="P549" s="80" t="s">
        <v>3586</v>
      </c>
      <c r="Q549" s="80" t="s">
        <v>3586</v>
      </c>
      <c r="R549" s="80" t="s">
        <v>3587</v>
      </c>
      <c r="S549" s="80" t="s">
        <v>3588</v>
      </c>
      <c r="T549" s="132" t="s">
        <v>107</v>
      </c>
      <c r="U549" s="97">
        <v>6</v>
      </c>
      <c r="X549" s="31" t="s">
        <v>108</v>
      </c>
      <c r="Y549" s="93">
        <f>IF(AD549=0, 0, IF(OR(H549="", H549&lt;&gt;0), 1, 0))</f>
        <v>1</v>
      </c>
      <c r="Z549" s="3">
        <v>0</v>
      </c>
      <c r="AA549" s="3" t="s">
        <v>3589</v>
      </c>
      <c r="AD549" s="6">
        <f>ROUND((AG549*(1+AJ549)),2)</f>
        <v>192.55</v>
      </c>
      <c r="AE549" s="99">
        <v>219.42449264000001</v>
      </c>
      <c r="AF549" s="17">
        <f>(AE549*1)</f>
        <v>219.42449264000001</v>
      </c>
      <c r="AG549" s="6">
        <f>ROUND((AE549*AI549),2)</f>
        <v>142.63</v>
      </c>
      <c r="AH549" s="30" t="s">
        <v>110</v>
      </c>
      <c r="AI549" s="3">
        <v>0.65</v>
      </c>
      <c r="AJ549" s="18">
        <v>0.35</v>
      </c>
      <c r="AK549" s="6">
        <f>ROUND((AD549-(AD549*BG549)),2)</f>
        <v>190.62</v>
      </c>
      <c r="AL549" s="6">
        <f>ROUND((AD549-(AD549*BH549)),2)</f>
        <v>188.7</v>
      </c>
      <c r="AM549" s="6">
        <f>ROUND((AD549-(AD549*BI549)),2)</f>
        <v>186.77</v>
      </c>
      <c r="AN549" s="6">
        <f>ROUND((AD549-(AD549*BJ549)),2)</f>
        <v>186.77</v>
      </c>
      <c r="AO549" s="6">
        <f>ROUND((AD549-(AD549*BK549)),2)</f>
        <v>192.55</v>
      </c>
      <c r="BG549" s="12">
        <v>0.01</v>
      </c>
      <c r="BH549" s="12">
        <v>0.02</v>
      </c>
      <c r="BI549" s="12">
        <v>0.03</v>
      </c>
      <c r="BJ549" s="12">
        <v>0.03</v>
      </c>
      <c r="BK549" s="12"/>
      <c r="BQ549" s="20"/>
      <c r="BR549" s="20"/>
      <c r="BS549" s="20"/>
      <c r="BT549" s="20"/>
      <c r="BU549" s="20"/>
      <c r="BV549" s="20"/>
      <c r="BW549" s="20"/>
      <c r="BX549" s="20"/>
      <c r="BY549" s="20"/>
      <c r="BZ549" s="20"/>
      <c r="CA549" s="20"/>
      <c r="CB549" s="20"/>
      <c r="CC549" s="3" t="str">
        <f>IF(B549&lt;&gt;"",CONCATENATE(SUBSTITUTE(B549," ","-"),".jpg"),"")</f>
        <v>Allied-Moulded-AM1086TW.jpg</v>
      </c>
      <c r="CD549" s="16" t="s">
        <v>111</v>
      </c>
      <c r="CE549" s="3"/>
      <c r="CF549" s="3"/>
      <c r="CG549" s="3" t="s">
        <v>112</v>
      </c>
      <c r="CI549" s="3" t="s">
        <v>97</v>
      </c>
      <c r="CJ549" s="16" t="s">
        <v>348</v>
      </c>
      <c r="CK549" s="3" t="s">
        <v>114</v>
      </c>
      <c r="CL549" s="3" t="s">
        <v>115</v>
      </c>
      <c r="CM549" s="3" t="s">
        <v>116</v>
      </c>
      <c r="CN549" s="16" t="s">
        <v>132</v>
      </c>
      <c r="CO549" s="16" t="s">
        <v>350</v>
      </c>
      <c r="CP549" s="3" t="s">
        <v>139</v>
      </c>
      <c r="CQ549" s="3" t="s">
        <v>120</v>
      </c>
      <c r="CR549" s="16" t="s">
        <v>121</v>
      </c>
      <c r="CS549" s="16" t="s">
        <v>122</v>
      </c>
      <c r="CT549" s="16" t="s">
        <v>167</v>
      </c>
      <c r="CU549" s="16" t="s">
        <v>385</v>
      </c>
      <c r="CV549" s="16" t="s">
        <v>351</v>
      </c>
    </row>
    <row r="550" spans="1:100" ht="15" customHeight="1">
      <c r="A550" t="s">
        <v>3590</v>
      </c>
      <c r="B550" s="3" t="s">
        <v>3591</v>
      </c>
      <c r="C550" s="16" t="s">
        <v>97</v>
      </c>
      <c r="D550" s="40" t="s">
        <v>3592</v>
      </c>
      <c r="E550" s="16" t="s">
        <v>97</v>
      </c>
      <c r="F550" s="131" t="s">
        <v>3593</v>
      </c>
      <c r="I550" s="100" t="s">
        <v>342</v>
      </c>
      <c r="J550" s="16" t="s">
        <v>101</v>
      </c>
      <c r="K550" s="16"/>
      <c r="L550" s="3" t="s">
        <v>102</v>
      </c>
      <c r="M550" s="3" t="s">
        <v>103</v>
      </c>
      <c r="N550" s="3" t="s">
        <v>104</v>
      </c>
      <c r="O550" s="16" t="s">
        <v>105</v>
      </c>
      <c r="P550" s="3" t="s">
        <v>3594</v>
      </c>
      <c r="Q550" s="3" t="s">
        <v>3594</v>
      </c>
      <c r="R550" s="3" t="s">
        <v>3594</v>
      </c>
      <c r="S550" t="s">
        <v>3590</v>
      </c>
      <c r="T550" s="130" t="s">
        <v>107</v>
      </c>
      <c r="U550" s="51">
        <v>6</v>
      </c>
      <c r="V550" s="58"/>
      <c r="W550" s="58"/>
      <c r="X550" s="59" t="s">
        <v>108</v>
      </c>
      <c r="Y550" s="93">
        <f>IF(AD550=0, 0, IF(OR(H550="", H550&lt;&gt;0), 1, 0))</f>
        <v>1</v>
      </c>
      <c r="Z550" s="3">
        <v>0</v>
      </c>
      <c r="AA550" s="3" t="s">
        <v>3595</v>
      </c>
      <c r="AD550" s="6">
        <f>ROUND((AG550*(1+AJ550)),2)</f>
        <v>89.44</v>
      </c>
      <c r="AE550" s="69">
        <v>101.92077732999999</v>
      </c>
      <c r="AF550" s="17">
        <f>(AE550*1)</f>
        <v>101.92077732999999</v>
      </c>
      <c r="AG550" s="6">
        <f>ROUND((AE550*AI550),2)</f>
        <v>66.25</v>
      </c>
      <c r="AH550" s="30" t="s">
        <v>110</v>
      </c>
      <c r="AI550" s="3">
        <v>0.65</v>
      </c>
      <c r="AJ550" s="18">
        <v>0.35</v>
      </c>
      <c r="AK550" s="6">
        <f>ROUND((AD550-(AD550*BG550)),2)</f>
        <v>88.55</v>
      </c>
      <c r="AL550" s="6">
        <f>ROUND((AD550-(AD550*BH550)),2)</f>
        <v>87.65</v>
      </c>
      <c r="AM550" s="6">
        <f>ROUND((AD550-(AD550*BI550)),2)</f>
        <v>86.76</v>
      </c>
      <c r="AN550" s="6">
        <f>ROUND((AD550-(AD550*BJ550)),2)</f>
        <v>86.76</v>
      </c>
      <c r="AO550" s="6">
        <f>ROUND((AD550-(AD550*BK550)),2)</f>
        <v>89.44</v>
      </c>
      <c r="BG550" s="12">
        <v>0.01</v>
      </c>
      <c r="BH550" s="12">
        <v>0.02</v>
      </c>
      <c r="BI550" s="12">
        <v>0.03</v>
      </c>
      <c r="BJ550" s="12">
        <v>0.03</v>
      </c>
      <c r="CC550" s="3" t="str">
        <f>IF(B550&lt;&gt;"",CONCATENATE(SUBSTITUTE(B550," ","-"),".jpg"),"")</f>
        <v>Allied-Moulded-AM1084R.jpg</v>
      </c>
      <c r="CD550" s="16" t="s">
        <v>111</v>
      </c>
      <c r="CE550" s="3"/>
      <c r="CF550" s="3"/>
      <c r="CG550" s="3" t="s">
        <v>112</v>
      </c>
      <c r="CI550" s="3" t="s">
        <v>97</v>
      </c>
      <c r="CJ550" s="3" t="s">
        <v>383</v>
      </c>
      <c r="CK550" s="3" t="s">
        <v>114</v>
      </c>
      <c r="CL550" s="3" t="s">
        <v>115</v>
      </c>
      <c r="CM550" s="16"/>
      <c r="CN550" s="16" t="s">
        <v>349</v>
      </c>
      <c r="CO550" s="3" t="s">
        <v>118</v>
      </c>
      <c r="CP550" s="3" t="s">
        <v>139</v>
      </c>
      <c r="CQ550" s="3" t="s">
        <v>120</v>
      </c>
      <c r="CR550" s="3" t="s">
        <v>140</v>
      </c>
      <c r="CS550" s="3" t="s">
        <v>384</v>
      </c>
      <c r="CT550" s="16" t="s">
        <v>167</v>
      </c>
      <c r="CU550" s="16" t="s">
        <v>385</v>
      </c>
      <c r="CV550" s="16" t="s">
        <v>351</v>
      </c>
    </row>
    <row r="551" spans="1:100" ht="15" customHeight="1">
      <c r="A551" t="s">
        <v>3596</v>
      </c>
      <c r="B551" s="3" t="s">
        <v>3597</v>
      </c>
      <c r="C551" s="16" t="s">
        <v>97</v>
      </c>
      <c r="D551" s="39" t="s">
        <v>3598</v>
      </c>
      <c r="E551" s="16" t="s">
        <v>97</v>
      </c>
      <c r="F551" s="131" t="s">
        <v>3599</v>
      </c>
      <c r="I551" s="100" t="s">
        <v>342</v>
      </c>
      <c r="J551" s="16" t="s">
        <v>101</v>
      </c>
      <c r="K551" s="16"/>
      <c r="L551" s="3" t="s">
        <v>102</v>
      </c>
      <c r="M551" s="3" t="s">
        <v>103</v>
      </c>
      <c r="N551" s="3" t="s">
        <v>104</v>
      </c>
      <c r="O551" s="16" t="s">
        <v>105</v>
      </c>
      <c r="P551" s="3" t="s">
        <v>3600</v>
      </c>
      <c r="Q551" s="3" t="s">
        <v>3600</v>
      </c>
      <c r="R551" s="3" t="s">
        <v>3600</v>
      </c>
      <c r="S551" t="s">
        <v>3596</v>
      </c>
      <c r="T551" s="130" t="s">
        <v>107</v>
      </c>
      <c r="U551" s="50">
        <v>6</v>
      </c>
      <c r="V551" s="54"/>
      <c r="W551" s="54"/>
      <c r="X551" s="59" t="s">
        <v>108</v>
      </c>
      <c r="Y551" s="93">
        <f>IF(AD551=0, 0, IF(OR(H551="", H551&lt;&gt;0), 1, 0))</f>
        <v>1</v>
      </c>
      <c r="Z551" s="3">
        <v>0</v>
      </c>
      <c r="AA551" s="3" t="s">
        <v>3601</v>
      </c>
      <c r="AD551" s="6">
        <f>ROUND((AG551*(1+AJ551)),2)</f>
        <v>93.65</v>
      </c>
      <c r="AE551" s="69">
        <v>106.72470865999999</v>
      </c>
      <c r="AF551" s="17">
        <f>(AE551*1)</f>
        <v>106.72470865999999</v>
      </c>
      <c r="AG551" s="6">
        <f>ROUND((AE551*AI551),2)</f>
        <v>69.37</v>
      </c>
      <c r="AH551" s="30" t="s">
        <v>110</v>
      </c>
      <c r="AI551" s="3">
        <v>0.65</v>
      </c>
      <c r="AJ551" s="18">
        <v>0.35</v>
      </c>
      <c r="AK551" s="6">
        <f>ROUND((AD551-(AD551*BG551)),2)</f>
        <v>92.71</v>
      </c>
      <c r="AL551" s="6">
        <f>ROUND((AD551-(AD551*BH551)),2)</f>
        <v>91.78</v>
      </c>
      <c r="AM551" s="6">
        <f>ROUND((AD551-(AD551*BI551)),2)</f>
        <v>90.84</v>
      </c>
      <c r="AN551" s="6">
        <f>ROUND((AD551-(AD551*BJ551)),2)</f>
        <v>90.84</v>
      </c>
      <c r="AO551" s="6">
        <f>ROUND((AD551-(AD551*BK551)),2)</f>
        <v>93.65</v>
      </c>
      <c r="BG551" s="12">
        <v>0.01</v>
      </c>
      <c r="BH551" s="12">
        <v>0.02</v>
      </c>
      <c r="BI551" s="12">
        <v>0.03</v>
      </c>
      <c r="BJ551" s="12">
        <v>0.03</v>
      </c>
      <c r="CC551" s="3" t="str">
        <f>IF(B551&lt;&gt;"",CONCATENATE(SUBSTITUTE(B551," ","-"),".jpg"),"")</f>
        <v>Allied-Moulded-AM1086R.jpg</v>
      </c>
      <c r="CD551" s="16" t="s">
        <v>111</v>
      </c>
      <c r="CE551" s="3"/>
      <c r="CF551" s="3"/>
      <c r="CG551" s="3" t="s">
        <v>112</v>
      </c>
      <c r="CI551" s="3" t="s">
        <v>97</v>
      </c>
      <c r="CJ551" s="3" t="s">
        <v>383</v>
      </c>
      <c r="CK551" s="3" t="s">
        <v>114</v>
      </c>
      <c r="CL551" s="3" t="s">
        <v>115</v>
      </c>
      <c r="CM551" s="16"/>
      <c r="CN551" s="16" t="s">
        <v>349</v>
      </c>
      <c r="CO551" s="3" t="s">
        <v>118</v>
      </c>
      <c r="CP551" s="3" t="s">
        <v>139</v>
      </c>
      <c r="CQ551" s="3" t="s">
        <v>120</v>
      </c>
      <c r="CR551" s="3" t="s">
        <v>140</v>
      </c>
      <c r="CS551" s="3" t="s">
        <v>384</v>
      </c>
      <c r="CT551" s="16" t="s">
        <v>167</v>
      </c>
      <c r="CU551" s="16" t="s">
        <v>385</v>
      </c>
      <c r="CV551" s="16" t="s">
        <v>385</v>
      </c>
    </row>
    <row r="552" spans="1:100" ht="15" customHeight="1">
      <c r="A552" t="s">
        <v>3602</v>
      </c>
      <c r="B552" s="3" t="s">
        <v>3603</v>
      </c>
      <c r="C552" s="16" t="s">
        <v>97</v>
      </c>
      <c r="D552" s="40" t="s">
        <v>3604</v>
      </c>
      <c r="E552" s="16" t="s">
        <v>97</v>
      </c>
      <c r="F552" s="131" t="s">
        <v>3605</v>
      </c>
      <c r="I552" s="100" t="s">
        <v>342</v>
      </c>
      <c r="J552" s="16" t="s">
        <v>101</v>
      </c>
      <c r="K552" s="16"/>
      <c r="L552" s="3" t="s">
        <v>102</v>
      </c>
      <c r="M552" s="3" t="s">
        <v>103</v>
      </c>
      <c r="N552" s="3" t="s">
        <v>104</v>
      </c>
      <c r="O552" s="16" t="s">
        <v>105</v>
      </c>
      <c r="P552" s="3" t="s">
        <v>3606</v>
      </c>
      <c r="Q552" s="3" t="s">
        <v>3606</v>
      </c>
      <c r="R552" s="3" t="s">
        <v>3606</v>
      </c>
      <c r="S552" t="s">
        <v>3602</v>
      </c>
      <c r="T552" s="130" t="s">
        <v>107</v>
      </c>
      <c r="U552" s="51">
        <v>6</v>
      </c>
      <c r="V552" s="58"/>
      <c r="W552" s="58"/>
      <c r="X552" s="59" t="s">
        <v>108</v>
      </c>
      <c r="Y552" s="93">
        <f>IF(AD552=0, 0, IF(OR(H552="", H552&lt;&gt;0), 1, 0))</f>
        <v>1</v>
      </c>
      <c r="Z552" s="3">
        <v>0</v>
      </c>
      <c r="AA552" s="3" t="s">
        <v>3607</v>
      </c>
      <c r="AD552" s="6">
        <f>ROUND((AG552*(1+AJ552)),2)</f>
        <v>98.94</v>
      </c>
      <c r="AE552" s="69">
        <v>112.76041905</v>
      </c>
      <c r="AF552" s="17">
        <f>(AE552*1)</f>
        <v>112.76041905</v>
      </c>
      <c r="AG552" s="6">
        <f>ROUND((AE552*AI552),2)</f>
        <v>73.290000000000006</v>
      </c>
      <c r="AH552" s="30" t="s">
        <v>110</v>
      </c>
      <c r="AI552" s="3">
        <v>0.65</v>
      </c>
      <c r="AJ552" s="18">
        <v>0.35</v>
      </c>
      <c r="AK552" s="6">
        <f>ROUND((AD552-(AD552*BG552)),2)</f>
        <v>97.95</v>
      </c>
      <c r="AL552" s="6">
        <f>ROUND((AD552-(AD552*BH552)),2)</f>
        <v>96.96</v>
      </c>
      <c r="AM552" s="6">
        <f>ROUND((AD552-(AD552*BI552)),2)</f>
        <v>95.97</v>
      </c>
      <c r="AN552" s="6">
        <f>ROUND((AD552-(AD552*BJ552)),2)</f>
        <v>95.97</v>
      </c>
      <c r="AO552" s="6">
        <f>ROUND((AD552-(AD552*BK552)),2)</f>
        <v>98.94</v>
      </c>
      <c r="BG552" s="12">
        <v>0.01</v>
      </c>
      <c r="BH552" s="12">
        <v>0.02</v>
      </c>
      <c r="BI552" s="12">
        <v>0.03</v>
      </c>
      <c r="BJ552" s="12">
        <v>0.03</v>
      </c>
      <c r="CC552" s="3" t="str">
        <f>IF(B552&lt;&gt;"",CONCATENATE(SUBSTITUTE(B552," ","-"),".jpg"),"")</f>
        <v>Allied-Moulded-AM1084RH.jpg</v>
      </c>
      <c r="CD552" s="16" t="s">
        <v>111</v>
      </c>
      <c r="CE552" s="3"/>
      <c r="CF552" s="3"/>
      <c r="CG552" s="3" t="s">
        <v>112</v>
      </c>
      <c r="CI552" s="3" t="s">
        <v>97</v>
      </c>
      <c r="CJ552" s="3" t="s">
        <v>383</v>
      </c>
      <c r="CK552" s="3" t="s">
        <v>114</v>
      </c>
      <c r="CL552" s="3" t="s">
        <v>115</v>
      </c>
      <c r="CO552" s="3" t="s">
        <v>118</v>
      </c>
      <c r="CP552" s="3" t="s">
        <v>139</v>
      </c>
      <c r="CQ552" s="3" t="s">
        <v>120</v>
      </c>
      <c r="CR552" s="3" t="s">
        <v>140</v>
      </c>
      <c r="CS552" s="3" t="s">
        <v>384</v>
      </c>
      <c r="CT552" s="16" t="s">
        <v>167</v>
      </c>
      <c r="CU552" s="16" t="s">
        <v>385</v>
      </c>
      <c r="CV552" s="16" t="s">
        <v>351</v>
      </c>
    </row>
    <row r="553" spans="1:100" ht="15" customHeight="1">
      <c r="A553" t="s">
        <v>3608</v>
      </c>
      <c r="B553" s="3" t="s">
        <v>3609</v>
      </c>
      <c r="C553" s="16" t="s">
        <v>97</v>
      </c>
      <c r="D553" s="39" t="s">
        <v>3610</v>
      </c>
      <c r="E553" s="16" t="s">
        <v>97</v>
      </c>
      <c r="F553" s="131" t="s">
        <v>3611</v>
      </c>
      <c r="I553" s="100" t="s">
        <v>342</v>
      </c>
      <c r="J553" s="16" t="s">
        <v>101</v>
      </c>
      <c r="K553" s="16"/>
      <c r="L553" s="3" t="s">
        <v>102</v>
      </c>
      <c r="M553" s="3" t="s">
        <v>103</v>
      </c>
      <c r="N553" s="3" t="s">
        <v>104</v>
      </c>
      <c r="O553" s="16" t="s">
        <v>105</v>
      </c>
      <c r="P553" s="3" t="s">
        <v>3612</v>
      </c>
      <c r="Q553" s="3" t="s">
        <v>3612</v>
      </c>
      <c r="R553" s="3" t="s">
        <v>3612</v>
      </c>
      <c r="S553" t="s">
        <v>3608</v>
      </c>
      <c r="T553" s="130" t="s">
        <v>107</v>
      </c>
      <c r="U553" s="50">
        <v>6</v>
      </c>
      <c r="V553" s="54"/>
      <c r="W553" s="54"/>
      <c r="X553" s="59" t="s">
        <v>108</v>
      </c>
      <c r="Y553" s="93">
        <f>IF(AD553=0, 0, IF(OR(H553="", H553&lt;&gt;0), 1, 0))</f>
        <v>1</v>
      </c>
      <c r="Z553" s="3">
        <v>0</v>
      </c>
      <c r="AA553" s="3" t="s">
        <v>3613</v>
      </c>
      <c r="AD553" s="6">
        <f>ROUND((AG553*(1+AJ553)),2)</f>
        <v>104.26</v>
      </c>
      <c r="AE553" s="69">
        <v>118.81372493000002</v>
      </c>
      <c r="AF553" s="17">
        <f>(AE553*1)</f>
        <v>118.81372493000002</v>
      </c>
      <c r="AG553" s="6">
        <f>ROUND((AE553*AI553),2)</f>
        <v>77.23</v>
      </c>
      <c r="AH553" s="30" t="s">
        <v>110</v>
      </c>
      <c r="AI553" s="3">
        <v>0.65</v>
      </c>
      <c r="AJ553" s="18">
        <v>0.35</v>
      </c>
      <c r="AK553" s="6">
        <f>ROUND((AD553-(AD553*BG553)),2)</f>
        <v>103.22</v>
      </c>
      <c r="AL553" s="6">
        <f>ROUND((AD553-(AD553*BH553)),2)</f>
        <v>102.17</v>
      </c>
      <c r="AM553" s="6">
        <f>ROUND((AD553-(AD553*BI553)),2)</f>
        <v>101.13</v>
      </c>
      <c r="AN553" s="6">
        <f>ROUND((AD553-(AD553*BJ553)),2)</f>
        <v>101.13</v>
      </c>
      <c r="AO553" s="6">
        <f>ROUND((AD553-(AD553*BK553)),2)</f>
        <v>104.26</v>
      </c>
      <c r="BG553" s="12">
        <v>0.01</v>
      </c>
      <c r="BH553" s="12">
        <v>0.02</v>
      </c>
      <c r="BI553" s="12">
        <v>0.03</v>
      </c>
      <c r="BJ553" s="12">
        <v>0.03</v>
      </c>
      <c r="CC553" s="3" t="str">
        <f>IF(B553&lt;&gt;"",CONCATENATE(SUBSTITUTE(B553," ","-"),".jpg"),"")</f>
        <v>Allied-Moulded-AM1086RH.jpg</v>
      </c>
      <c r="CD553" s="16" t="s">
        <v>111</v>
      </c>
      <c r="CE553" s="3"/>
      <c r="CF553" s="3"/>
      <c r="CG553" s="3" t="s">
        <v>112</v>
      </c>
      <c r="CI553" s="3" t="s">
        <v>97</v>
      </c>
      <c r="CJ553" s="3" t="s">
        <v>383</v>
      </c>
      <c r="CK553" s="3" t="s">
        <v>114</v>
      </c>
      <c r="CL553" s="3" t="s">
        <v>115</v>
      </c>
      <c r="CO553" s="3" t="s">
        <v>118</v>
      </c>
      <c r="CP553" s="3" t="s">
        <v>139</v>
      </c>
      <c r="CQ553" s="3" t="s">
        <v>120</v>
      </c>
      <c r="CR553" s="3" t="s">
        <v>140</v>
      </c>
      <c r="CS553" s="3" t="s">
        <v>384</v>
      </c>
      <c r="CT553" s="16" t="s">
        <v>167</v>
      </c>
      <c r="CU553" s="16" t="s">
        <v>385</v>
      </c>
      <c r="CV553" s="16" t="s">
        <v>385</v>
      </c>
    </row>
    <row r="554" spans="1:100" ht="15" customHeight="1">
      <c r="A554" t="s">
        <v>3614</v>
      </c>
      <c r="B554" s="3" t="s">
        <v>3615</v>
      </c>
      <c r="C554" s="16" t="s">
        <v>97</v>
      </c>
      <c r="D554" s="39" t="s">
        <v>3616</v>
      </c>
      <c r="E554" s="16" t="s">
        <v>97</v>
      </c>
      <c r="F554" s="131" t="s">
        <v>3617</v>
      </c>
      <c r="I554" s="100" t="s">
        <v>342</v>
      </c>
      <c r="J554" s="16" t="s">
        <v>101</v>
      </c>
      <c r="K554" s="16"/>
      <c r="L554" s="3" t="s">
        <v>102</v>
      </c>
      <c r="M554" s="3" t="s">
        <v>103</v>
      </c>
      <c r="N554" s="3" t="s">
        <v>104</v>
      </c>
      <c r="O554" s="16" t="s">
        <v>105</v>
      </c>
      <c r="P554" s="3" t="s">
        <v>3618</v>
      </c>
      <c r="Q554" s="3" t="s">
        <v>3618</v>
      </c>
      <c r="R554" s="3" t="s">
        <v>3618</v>
      </c>
      <c r="S554" t="s">
        <v>3614</v>
      </c>
      <c r="T554" s="130" t="s">
        <v>107</v>
      </c>
      <c r="U554" s="50">
        <v>6</v>
      </c>
      <c r="V554" s="54"/>
      <c r="W554" s="54"/>
      <c r="X554" s="59" t="s">
        <v>108</v>
      </c>
      <c r="Y554" s="93">
        <f>IF(AD554=0, 0, IF(OR(H554="", H554&lt;&gt;0), 1, 0))</f>
        <v>1</v>
      </c>
      <c r="Z554" s="3">
        <v>0</v>
      </c>
      <c r="AA554" s="3" t="s">
        <v>3619</v>
      </c>
      <c r="AD554" s="6">
        <f>ROUND((AG554*(1+AJ554)),2)</f>
        <v>119.07</v>
      </c>
      <c r="AE554" s="69">
        <v>135.68907394999999</v>
      </c>
      <c r="AF554" s="17">
        <f>(AE554*1)</f>
        <v>135.68907394999999</v>
      </c>
      <c r="AG554" s="6">
        <f>ROUND((AE554*AI554),2)</f>
        <v>88.2</v>
      </c>
      <c r="AH554" s="30" t="s">
        <v>110</v>
      </c>
      <c r="AI554" s="3">
        <v>0.65</v>
      </c>
      <c r="AJ554" s="18">
        <v>0.35</v>
      </c>
      <c r="AK554" s="6">
        <f>ROUND((AD554-(AD554*BG554)),2)</f>
        <v>117.88</v>
      </c>
      <c r="AL554" s="6">
        <f>ROUND((AD554-(AD554*BH554)),2)</f>
        <v>116.69</v>
      </c>
      <c r="AM554" s="6">
        <f>ROUND((AD554-(AD554*BI554)),2)</f>
        <v>115.5</v>
      </c>
      <c r="AN554" s="6">
        <f>ROUND((AD554-(AD554*BJ554)),2)</f>
        <v>115.5</v>
      </c>
      <c r="AO554" s="6">
        <f>ROUND((AD554-(AD554*BK554)),2)</f>
        <v>119.07</v>
      </c>
      <c r="BG554" s="12">
        <v>0.01</v>
      </c>
      <c r="BH554" s="12">
        <v>0.02</v>
      </c>
      <c r="BI554" s="12">
        <v>0.03</v>
      </c>
      <c r="BJ554" s="12">
        <v>0.03</v>
      </c>
      <c r="CC554" s="3" t="str">
        <f>IF(B554&lt;&gt;"",CONCATENATE(SUBSTITUTE(B554," ","-"),".jpg"),"")</f>
        <v>Allied-Moulded-AM1084RL.jpg</v>
      </c>
      <c r="CD554" s="16" t="s">
        <v>111</v>
      </c>
      <c r="CE554" s="3"/>
      <c r="CF554" s="3"/>
      <c r="CG554" s="3" t="s">
        <v>112</v>
      </c>
      <c r="CI554" s="3" t="s">
        <v>97</v>
      </c>
      <c r="CJ554" s="3" t="s">
        <v>383</v>
      </c>
      <c r="CK554" s="3" t="s">
        <v>114</v>
      </c>
      <c r="CL554" s="3" t="s">
        <v>115</v>
      </c>
      <c r="CM554" s="3" t="s">
        <v>116</v>
      </c>
      <c r="CN554" t="s">
        <v>117</v>
      </c>
      <c r="CO554" s="3" t="s">
        <v>118</v>
      </c>
      <c r="CP554" s="3" t="s">
        <v>139</v>
      </c>
      <c r="CQ554" s="3" t="s">
        <v>120</v>
      </c>
      <c r="CR554" s="3" t="s">
        <v>140</v>
      </c>
      <c r="CS554" s="16" t="s">
        <v>122</v>
      </c>
      <c r="CT554" s="16" t="s">
        <v>167</v>
      </c>
      <c r="CU554" s="16" t="s">
        <v>385</v>
      </c>
      <c r="CV554" s="16" t="s">
        <v>351</v>
      </c>
    </row>
    <row r="555" spans="1:100" ht="15" customHeight="1">
      <c r="A555" t="s">
        <v>3620</v>
      </c>
      <c r="B555" s="3" t="s">
        <v>3621</v>
      </c>
      <c r="C555" s="16" t="s">
        <v>97</v>
      </c>
      <c r="D555" s="40" t="s">
        <v>3622</v>
      </c>
      <c r="E555" s="16" t="s">
        <v>97</v>
      </c>
      <c r="F555" s="131" t="s">
        <v>3623</v>
      </c>
      <c r="I555" s="100" t="s">
        <v>342</v>
      </c>
      <c r="J555" s="16" t="s">
        <v>101</v>
      </c>
      <c r="K555" s="16"/>
      <c r="L555" s="3" t="s">
        <v>102</v>
      </c>
      <c r="M555" s="3" t="s">
        <v>103</v>
      </c>
      <c r="N555" s="3" t="s">
        <v>104</v>
      </c>
      <c r="O555" s="16" t="s">
        <v>105</v>
      </c>
      <c r="P555" s="3" t="s">
        <v>3624</v>
      </c>
      <c r="Q555" s="3" t="s">
        <v>3624</v>
      </c>
      <c r="R555" s="3" t="s">
        <v>3624</v>
      </c>
      <c r="S555" t="s">
        <v>3620</v>
      </c>
      <c r="T555" s="130" t="s">
        <v>107</v>
      </c>
      <c r="U555" s="51">
        <v>6</v>
      </c>
      <c r="V555" s="58"/>
      <c r="W555" s="58"/>
      <c r="X555" s="59" t="s">
        <v>108</v>
      </c>
      <c r="Y555" s="93">
        <f>IF(AD555=0, 0, IF(OR(H555="", H555&lt;&gt;0), 1, 0))</f>
        <v>1</v>
      </c>
      <c r="Z555" s="3">
        <v>0</v>
      </c>
      <c r="AA555" s="3" t="s">
        <v>3625</v>
      </c>
      <c r="AD555" s="6">
        <f>ROUND((AG555*(1+AJ555)),2)</f>
        <v>126.99</v>
      </c>
      <c r="AE555" s="69">
        <v>144.71624217999999</v>
      </c>
      <c r="AF555" s="17">
        <f>(AE555*1)</f>
        <v>144.71624217999999</v>
      </c>
      <c r="AG555" s="6">
        <f>ROUND((AE555*AI555),2)</f>
        <v>94.07</v>
      </c>
      <c r="AH555" s="30" t="s">
        <v>110</v>
      </c>
      <c r="AI555" s="3">
        <v>0.65</v>
      </c>
      <c r="AJ555" s="18">
        <v>0.35</v>
      </c>
      <c r="AK555" s="6">
        <f>ROUND((AD555-(AD555*BG555)),2)</f>
        <v>125.72</v>
      </c>
      <c r="AL555" s="6">
        <f>ROUND((AD555-(AD555*BH555)),2)</f>
        <v>124.45</v>
      </c>
      <c r="AM555" s="6">
        <f>ROUND((AD555-(AD555*BI555)),2)</f>
        <v>123.18</v>
      </c>
      <c r="AN555" s="6">
        <f>ROUND((AD555-(AD555*BJ555)),2)</f>
        <v>123.18</v>
      </c>
      <c r="AO555" s="6">
        <f>ROUND((AD555-(AD555*BK555)),2)</f>
        <v>126.99</v>
      </c>
      <c r="BG555" s="12">
        <v>0.01</v>
      </c>
      <c r="BH555" s="12">
        <v>0.02</v>
      </c>
      <c r="BI555" s="12">
        <v>0.03</v>
      </c>
      <c r="BJ555" s="12">
        <v>0.03</v>
      </c>
      <c r="CC555" s="3" t="str">
        <f>IF(B555&lt;&gt;"",CONCATENATE(SUBSTITUTE(B555," ","-"),".jpg"),"")</f>
        <v>Allied-Moulded-AM1086RL.jpg</v>
      </c>
      <c r="CD555" s="16" t="s">
        <v>111</v>
      </c>
      <c r="CE555" s="3"/>
      <c r="CF555" s="3"/>
      <c r="CG555" s="3" t="s">
        <v>112</v>
      </c>
      <c r="CI555" s="3" t="s">
        <v>97</v>
      </c>
      <c r="CJ555" s="3" t="s">
        <v>383</v>
      </c>
      <c r="CK555" s="3" t="s">
        <v>114</v>
      </c>
      <c r="CL555" s="3" t="s">
        <v>115</v>
      </c>
      <c r="CM555" s="3" t="s">
        <v>116</v>
      </c>
      <c r="CN555" t="s">
        <v>117</v>
      </c>
      <c r="CO555" s="3" t="s">
        <v>118</v>
      </c>
      <c r="CP555" s="3" t="s">
        <v>139</v>
      </c>
      <c r="CQ555" s="3" t="s">
        <v>120</v>
      </c>
      <c r="CR555" s="3" t="s">
        <v>140</v>
      </c>
      <c r="CS555" s="16" t="s">
        <v>122</v>
      </c>
      <c r="CT555" s="16" t="s">
        <v>167</v>
      </c>
      <c r="CU555" s="16" t="s">
        <v>385</v>
      </c>
      <c r="CV555" s="16" t="s">
        <v>385</v>
      </c>
    </row>
    <row r="556" spans="1:100" ht="15" customHeight="1">
      <c r="A556" t="s">
        <v>3626</v>
      </c>
      <c r="B556" s="3" t="s">
        <v>3627</v>
      </c>
      <c r="C556" s="16" t="s">
        <v>97</v>
      </c>
      <c r="D556" s="39" t="s">
        <v>3628</v>
      </c>
      <c r="E556" s="16" t="s">
        <v>97</v>
      </c>
      <c r="F556" s="131" t="s">
        <v>3629</v>
      </c>
      <c r="I556" s="100" t="s">
        <v>342</v>
      </c>
      <c r="J556" s="16" t="s">
        <v>101</v>
      </c>
      <c r="K556" s="16"/>
      <c r="L556" s="3" t="s">
        <v>102</v>
      </c>
      <c r="M556" s="3" t="s">
        <v>103</v>
      </c>
      <c r="N556" s="3" t="s">
        <v>104</v>
      </c>
      <c r="O556" s="16" t="s">
        <v>105</v>
      </c>
      <c r="P556" s="3" t="s">
        <v>3630</v>
      </c>
      <c r="Q556" s="3" t="s">
        <v>3630</v>
      </c>
      <c r="R556" s="3" t="s">
        <v>3630</v>
      </c>
      <c r="S556" t="s">
        <v>3626</v>
      </c>
      <c r="T556" s="130" t="s">
        <v>107</v>
      </c>
      <c r="U556" s="50">
        <v>6</v>
      </c>
      <c r="V556" s="54"/>
      <c r="W556" s="54"/>
      <c r="X556" s="59" t="s">
        <v>108</v>
      </c>
      <c r="Y556" s="93">
        <f>IF(AD556=0, 0, IF(OR(H556="", H556&lt;&gt;0), 1, 0))</f>
        <v>1</v>
      </c>
      <c r="Z556" s="3">
        <v>0</v>
      </c>
      <c r="AA556" s="3" t="s">
        <v>3631</v>
      </c>
      <c r="AD556" s="6">
        <f>ROUND((AG556*(1+AJ556)),2)</f>
        <v>119.07</v>
      </c>
      <c r="AE556" s="69">
        <v>135.68907394999999</v>
      </c>
      <c r="AF556" s="17">
        <f>(AE556*1)</f>
        <v>135.68907394999999</v>
      </c>
      <c r="AG556" s="6">
        <f>ROUND((AE556*AI556),2)</f>
        <v>88.2</v>
      </c>
      <c r="AH556" s="30" t="s">
        <v>110</v>
      </c>
      <c r="AI556" s="3">
        <v>0.65</v>
      </c>
      <c r="AJ556" s="18">
        <v>0.35</v>
      </c>
      <c r="AK556" s="6">
        <f>ROUND((AD556-(AD556*BG556)),2)</f>
        <v>117.88</v>
      </c>
      <c r="AL556" s="6">
        <f>ROUND((AD556-(AD556*BH556)),2)</f>
        <v>116.69</v>
      </c>
      <c r="AM556" s="6">
        <f>ROUND((AD556-(AD556*BI556)),2)</f>
        <v>115.5</v>
      </c>
      <c r="AN556" s="6">
        <f>ROUND((AD556-(AD556*BJ556)),2)</f>
        <v>115.5</v>
      </c>
      <c r="AO556" s="6">
        <f>ROUND((AD556-(AD556*BK556)),2)</f>
        <v>119.07</v>
      </c>
      <c r="BG556" s="12">
        <v>0.01</v>
      </c>
      <c r="BH556" s="12">
        <v>0.02</v>
      </c>
      <c r="BI556" s="12">
        <v>0.03</v>
      </c>
      <c r="BJ556" s="12">
        <v>0.03</v>
      </c>
      <c r="CC556" s="3" t="str">
        <f>IF(B556&lt;&gt;"",CONCATENATE(SUBSTITUTE(B556," ","-"),".jpg"),"")</f>
        <v>Allied-Moulded-AM1084RT.jpg</v>
      </c>
      <c r="CD556" s="16" t="s">
        <v>111</v>
      </c>
      <c r="CE556" s="3"/>
      <c r="CF556" s="3"/>
      <c r="CG556" s="3" t="s">
        <v>112</v>
      </c>
      <c r="CI556" s="3" t="s">
        <v>97</v>
      </c>
      <c r="CJ556" s="3" t="s">
        <v>383</v>
      </c>
      <c r="CK556" s="3" t="s">
        <v>114</v>
      </c>
      <c r="CL556" s="3" t="s">
        <v>115</v>
      </c>
      <c r="CM556" s="3" t="s">
        <v>116</v>
      </c>
      <c r="CN556" s="16" t="s">
        <v>132</v>
      </c>
      <c r="CO556" s="3" t="s">
        <v>118</v>
      </c>
      <c r="CP556" s="3" t="s">
        <v>139</v>
      </c>
      <c r="CQ556" s="3" t="s">
        <v>120</v>
      </c>
      <c r="CR556" s="3" t="s">
        <v>140</v>
      </c>
      <c r="CS556" s="16" t="s">
        <v>122</v>
      </c>
      <c r="CT556" s="16" t="s">
        <v>167</v>
      </c>
      <c r="CU556" s="16" t="s">
        <v>385</v>
      </c>
      <c r="CV556" s="16" t="s">
        <v>351</v>
      </c>
    </row>
    <row r="557" spans="1:100" ht="15" customHeight="1">
      <c r="A557" s="86" t="s">
        <v>3632</v>
      </c>
      <c r="B557" s="80" t="s">
        <v>3633</v>
      </c>
      <c r="C557" s="16" t="s">
        <v>97</v>
      </c>
      <c r="D557" s="80" t="s">
        <v>3634</v>
      </c>
      <c r="E557" s="16" t="s">
        <v>97</v>
      </c>
      <c r="F557" s="150" t="s">
        <v>3635</v>
      </c>
      <c r="I557" s="100" t="s">
        <v>342</v>
      </c>
      <c r="J557" s="16" t="s">
        <v>101</v>
      </c>
      <c r="K557" s="16"/>
      <c r="L557" s="3" t="s">
        <v>102</v>
      </c>
      <c r="M557" s="3" t="s">
        <v>103</v>
      </c>
      <c r="N557" s="3" t="s">
        <v>104</v>
      </c>
      <c r="O557" s="16" t="s">
        <v>343</v>
      </c>
      <c r="P557" s="80" t="s">
        <v>3636</v>
      </c>
      <c r="Q557" s="80" t="s">
        <v>3636</v>
      </c>
      <c r="R557" s="80" t="s">
        <v>3637</v>
      </c>
      <c r="S557" s="80" t="s">
        <v>3638</v>
      </c>
      <c r="T557" s="132" t="s">
        <v>107</v>
      </c>
      <c r="U557" s="97">
        <v>5</v>
      </c>
      <c r="X557" s="31" t="s">
        <v>108</v>
      </c>
      <c r="Y557" s="93">
        <f>IF(AD557=0, 0, IF(OR(H557="", H557&lt;&gt;0), 1, 0))</f>
        <v>1</v>
      </c>
      <c r="Z557" s="3">
        <v>0</v>
      </c>
      <c r="AA557" s="3" t="s">
        <v>3639</v>
      </c>
      <c r="AD557" s="6">
        <f>ROUND((AG557*(1+AJ557)),2)</f>
        <v>83.08</v>
      </c>
      <c r="AE557" s="99">
        <v>94.670888519999991</v>
      </c>
      <c r="AF557" s="17">
        <f>(AE557*1)</f>
        <v>94.670888519999991</v>
      </c>
      <c r="AG557" s="6">
        <f>ROUND((AE557*AI557),2)</f>
        <v>61.54</v>
      </c>
      <c r="AH557" s="30" t="s">
        <v>110</v>
      </c>
      <c r="AI557" s="3">
        <v>0.65</v>
      </c>
      <c r="AJ557" s="18">
        <v>0.35</v>
      </c>
      <c r="AK557" s="6">
        <f>ROUND((AD557-(AD557*BG557)),2)</f>
        <v>82.25</v>
      </c>
      <c r="AL557" s="6">
        <f>ROUND((AD557-(AD557*BH557)),2)</f>
        <v>81.42</v>
      </c>
      <c r="AM557" s="6">
        <f>ROUND((AD557-(AD557*BI557)),2)</f>
        <v>80.59</v>
      </c>
      <c r="AN557" s="6">
        <f>ROUND((AD557-(AD557*BJ557)),2)</f>
        <v>80.59</v>
      </c>
      <c r="AO557" s="6">
        <f>ROUND((AD557-(AD557*BK557)),2)</f>
        <v>83.08</v>
      </c>
      <c r="BG557" s="12">
        <v>0.01</v>
      </c>
      <c r="BH557" s="12">
        <v>0.02</v>
      </c>
      <c r="BI557" s="12">
        <v>0.03</v>
      </c>
      <c r="BJ557" s="12">
        <v>0.03</v>
      </c>
      <c r="BK557" s="12"/>
      <c r="BQ557" s="21"/>
      <c r="BR557" s="21"/>
      <c r="BS557" s="21"/>
      <c r="BT557" s="21"/>
      <c r="BU557" s="21"/>
      <c r="BV557" s="21"/>
      <c r="BW557" s="21"/>
      <c r="BX557" s="21"/>
      <c r="BY557" s="21"/>
      <c r="BZ557" s="21"/>
      <c r="CA557" s="21"/>
      <c r="CB557" s="21"/>
      <c r="CC557" s="3" t="str">
        <f>IF(B557&lt;&gt;"",CONCATENATE(SUBSTITUTE(B557," ","-"),".jpg"),"")</f>
        <v>Allied-Moulded-AM1084.jpg</v>
      </c>
      <c r="CD557" s="16" t="s">
        <v>111</v>
      </c>
      <c r="CE557" s="3"/>
      <c r="CF557" s="3"/>
      <c r="CG557" s="3" t="s">
        <v>112</v>
      </c>
      <c r="CI557" s="3" t="s">
        <v>97</v>
      </c>
      <c r="CJ557" s="16" t="s">
        <v>348</v>
      </c>
      <c r="CK557" s="3" t="s">
        <v>114</v>
      </c>
      <c r="CL557" s="3" t="s">
        <v>115</v>
      </c>
      <c r="CN557" s="16" t="s">
        <v>349</v>
      </c>
      <c r="CO557" s="16" t="s">
        <v>350</v>
      </c>
      <c r="CP557" s="3" t="s">
        <v>139</v>
      </c>
      <c r="CQ557" s="3" t="s">
        <v>120</v>
      </c>
      <c r="CR557" s="3" t="s">
        <v>140</v>
      </c>
      <c r="CS557" s="3" t="s">
        <v>384</v>
      </c>
      <c r="CT557" s="16" t="s">
        <v>167</v>
      </c>
      <c r="CU557" s="16" t="s">
        <v>385</v>
      </c>
      <c r="CV557" s="16" t="s">
        <v>657</v>
      </c>
    </row>
    <row r="558" spans="1:100" ht="15" customHeight="1">
      <c r="A558" s="86" t="s">
        <v>3640</v>
      </c>
      <c r="B558" s="80" t="s">
        <v>3641</v>
      </c>
      <c r="C558" s="16" t="s">
        <v>97</v>
      </c>
      <c r="D558" s="80" t="s">
        <v>3642</v>
      </c>
      <c r="E558" s="16" t="s">
        <v>97</v>
      </c>
      <c r="F558" s="150" t="s">
        <v>3643</v>
      </c>
      <c r="I558" s="100" t="s">
        <v>342</v>
      </c>
      <c r="J558" s="16" t="s">
        <v>101</v>
      </c>
      <c r="K558" s="16"/>
      <c r="L558" s="3" t="s">
        <v>102</v>
      </c>
      <c r="M558" s="3" t="s">
        <v>103</v>
      </c>
      <c r="N558" s="3" t="s">
        <v>104</v>
      </c>
      <c r="O558" s="16" t="s">
        <v>343</v>
      </c>
      <c r="P558" s="80" t="s">
        <v>3644</v>
      </c>
      <c r="Q558" s="80" t="s">
        <v>3644</v>
      </c>
      <c r="R558" s="80" t="s">
        <v>3645</v>
      </c>
      <c r="S558" s="80" t="s">
        <v>3646</v>
      </c>
      <c r="T558" s="132" t="s">
        <v>107</v>
      </c>
      <c r="U558" s="97">
        <v>5</v>
      </c>
      <c r="X558" s="31" t="s">
        <v>108</v>
      </c>
      <c r="Y558" s="93">
        <f>IF(AD558=0, 0, IF(OR(H558="", H558&lt;&gt;0), 1, 0))</f>
        <v>1</v>
      </c>
      <c r="Z558" s="3">
        <v>0</v>
      </c>
      <c r="AA558" s="3" t="s">
        <v>3647</v>
      </c>
      <c r="AD558" s="6">
        <f>ROUND((AG558*(1+AJ558)),2)</f>
        <v>92.07</v>
      </c>
      <c r="AE558" s="99">
        <v>104.92983375</v>
      </c>
      <c r="AF558" s="17">
        <f>(AE558*1)</f>
        <v>104.92983375</v>
      </c>
      <c r="AG558" s="6">
        <f>ROUND((AE558*AI558),2)</f>
        <v>68.2</v>
      </c>
      <c r="AH558" s="30" t="s">
        <v>110</v>
      </c>
      <c r="AI558" s="3">
        <v>0.65</v>
      </c>
      <c r="AJ558" s="18">
        <v>0.35</v>
      </c>
      <c r="AK558" s="6">
        <f>ROUND((AD558-(AD558*BG558)),2)</f>
        <v>91.15</v>
      </c>
      <c r="AL558" s="6">
        <f>ROUND((AD558-(AD558*BH558)),2)</f>
        <v>90.23</v>
      </c>
      <c r="AM558" s="6">
        <f>ROUND((AD558-(AD558*BI558)),2)</f>
        <v>89.31</v>
      </c>
      <c r="AN558" s="6">
        <f>ROUND((AD558-(AD558*BJ558)),2)</f>
        <v>89.31</v>
      </c>
      <c r="AO558" s="6">
        <f>ROUND((AD558-(AD558*BK558)),2)</f>
        <v>92.07</v>
      </c>
      <c r="BG558" s="12">
        <v>0.01</v>
      </c>
      <c r="BH558" s="12">
        <v>0.02</v>
      </c>
      <c r="BI558" s="12">
        <v>0.03</v>
      </c>
      <c r="BJ558" s="12">
        <v>0.03</v>
      </c>
      <c r="BK558" s="12"/>
      <c r="CC558" s="3" t="str">
        <f>IF(B558&lt;&gt;"",CONCATENATE(SUBSTITUTE(B558," ","-"),".jpg"),"")</f>
        <v>Allied-Moulded-AM1084H.jpg</v>
      </c>
      <c r="CD558" s="16" t="s">
        <v>111</v>
      </c>
      <c r="CE558" s="3"/>
      <c r="CF558" s="3"/>
      <c r="CG558" s="3" t="s">
        <v>112</v>
      </c>
      <c r="CI558" s="3" t="s">
        <v>97</v>
      </c>
      <c r="CJ558" s="16" t="s">
        <v>348</v>
      </c>
      <c r="CK558" s="3" t="s">
        <v>114</v>
      </c>
      <c r="CL558" s="3" t="s">
        <v>115</v>
      </c>
      <c r="CM558" s="3" t="s">
        <v>116</v>
      </c>
      <c r="CN558" s="16" t="s">
        <v>349</v>
      </c>
      <c r="CO558" s="16" t="s">
        <v>350</v>
      </c>
      <c r="CP558" s="3" t="s">
        <v>139</v>
      </c>
      <c r="CQ558" s="3" t="s">
        <v>120</v>
      </c>
      <c r="CR558" s="3" t="s">
        <v>140</v>
      </c>
      <c r="CS558" s="3" t="s">
        <v>384</v>
      </c>
      <c r="CT558" s="16" t="s">
        <v>167</v>
      </c>
      <c r="CU558" s="16" t="s">
        <v>385</v>
      </c>
      <c r="CV558" s="16" t="s">
        <v>657</v>
      </c>
    </row>
    <row r="559" spans="1:100" ht="15" customHeight="1">
      <c r="A559" s="86" t="s">
        <v>3648</v>
      </c>
      <c r="B559" s="80" t="s">
        <v>3649</v>
      </c>
      <c r="C559" s="16" t="s">
        <v>97</v>
      </c>
      <c r="D559" s="80" t="s">
        <v>3650</v>
      </c>
      <c r="E559" s="16" t="s">
        <v>97</v>
      </c>
      <c r="F559" s="150" t="s">
        <v>3651</v>
      </c>
      <c r="I559" s="100" t="s">
        <v>342</v>
      </c>
      <c r="J559" s="16" t="s">
        <v>101</v>
      </c>
      <c r="K559" s="16"/>
      <c r="L559" s="3" t="s">
        <v>102</v>
      </c>
      <c r="M559" s="3" t="s">
        <v>103</v>
      </c>
      <c r="N559" s="3" t="s">
        <v>104</v>
      </c>
      <c r="O559" s="16" t="s">
        <v>343</v>
      </c>
      <c r="P559" s="80" t="s">
        <v>3652</v>
      </c>
      <c r="Q559" s="80" t="s">
        <v>3652</v>
      </c>
      <c r="R559" s="80" t="s">
        <v>3653</v>
      </c>
      <c r="S559" s="80" t="s">
        <v>3654</v>
      </c>
      <c r="T559" s="132" t="s">
        <v>107</v>
      </c>
      <c r="U559" s="97">
        <v>5</v>
      </c>
      <c r="X559" s="31" t="s">
        <v>108</v>
      </c>
      <c r="Y559" s="93">
        <f>IF(AD559=0, 0, IF(OR(H559="", H559&lt;&gt;0), 1, 0))</f>
        <v>1</v>
      </c>
      <c r="Z559" s="3">
        <v>0</v>
      </c>
      <c r="AA559" s="3" t="s">
        <v>3655</v>
      </c>
      <c r="AD559" s="6">
        <f>ROUND((AG559*(1+AJ559)),2)</f>
        <v>111.65</v>
      </c>
      <c r="AE559" s="99">
        <v>127.22500466</v>
      </c>
      <c r="AF559" s="17">
        <f>(AE559*1)</f>
        <v>127.22500466</v>
      </c>
      <c r="AG559" s="6">
        <f>ROUND((AE559*AI559),2)</f>
        <v>82.7</v>
      </c>
      <c r="AH559" s="30" t="s">
        <v>110</v>
      </c>
      <c r="AI559" s="3">
        <v>0.65</v>
      </c>
      <c r="AJ559" s="18">
        <v>0.35</v>
      </c>
      <c r="AK559" s="6">
        <f>ROUND((AD559-(AD559*BG559)),2)</f>
        <v>110.53</v>
      </c>
      <c r="AL559" s="6">
        <f>ROUND((AD559-(AD559*BH559)),2)</f>
        <v>109.42</v>
      </c>
      <c r="AM559" s="6">
        <f>ROUND((AD559-(AD559*BI559)),2)</f>
        <v>108.3</v>
      </c>
      <c r="AN559" s="6">
        <f>ROUND((AD559-(AD559*BJ559)),2)</f>
        <v>108.3</v>
      </c>
      <c r="AO559" s="6">
        <f>ROUND((AD559-(AD559*BK559)),2)</f>
        <v>111.65</v>
      </c>
      <c r="BG559" s="12">
        <v>0.01</v>
      </c>
      <c r="BH559" s="12">
        <v>0.02</v>
      </c>
      <c r="BI559" s="12">
        <v>0.03</v>
      </c>
      <c r="BJ559" s="12">
        <v>0.03</v>
      </c>
      <c r="BK559" s="12"/>
      <c r="CC559" s="3" t="str">
        <f>IF(B559&lt;&gt;"",CONCATENATE(SUBSTITUTE(B559," ","-"),".jpg"),"")</f>
        <v>Allied-Moulded-AM1084L.jpg</v>
      </c>
      <c r="CD559" s="16" t="s">
        <v>111</v>
      </c>
      <c r="CE559" s="3"/>
      <c r="CF559" s="3"/>
      <c r="CG559" s="3" t="s">
        <v>112</v>
      </c>
      <c r="CI559" s="3" t="s">
        <v>97</v>
      </c>
      <c r="CJ559" s="16" t="s">
        <v>348</v>
      </c>
      <c r="CK559" s="3" t="s">
        <v>114</v>
      </c>
      <c r="CL559" s="3" t="s">
        <v>115</v>
      </c>
      <c r="CM559" s="3" t="s">
        <v>116</v>
      </c>
      <c r="CN559" s="16" t="s">
        <v>368</v>
      </c>
      <c r="CO559" s="16" t="s">
        <v>350</v>
      </c>
      <c r="CP559" s="3" t="s">
        <v>139</v>
      </c>
      <c r="CQ559" s="3" t="s">
        <v>120</v>
      </c>
      <c r="CR559" s="3" t="s">
        <v>140</v>
      </c>
      <c r="CS559" s="16" t="s">
        <v>122</v>
      </c>
      <c r="CT559" s="16" t="s">
        <v>167</v>
      </c>
      <c r="CU559" s="16" t="s">
        <v>385</v>
      </c>
      <c r="CV559" s="16" t="s">
        <v>657</v>
      </c>
    </row>
    <row r="560" spans="1:100" ht="15" customHeight="1">
      <c r="A560" s="86" t="s">
        <v>3656</v>
      </c>
      <c r="B560" s="80" t="s">
        <v>3657</v>
      </c>
      <c r="C560" s="16" t="s">
        <v>97</v>
      </c>
      <c r="D560" s="80" t="s">
        <v>3658</v>
      </c>
      <c r="E560" s="16" t="s">
        <v>97</v>
      </c>
      <c r="F560" s="150" t="s">
        <v>3659</v>
      </c>
      <c r="I560" s="100" t="s">
        <v>342</v>
      </c>
      <c r="J560" s="16" t="s">
        <v>101</v>
      </c>
      <c r="K560" s="16"/>
      <c r="L560" s="3" t="s">
        <v>102</v>
      </c>
      <c r="M560" s="3" t="s">
        <v>103</v>
      </c>
      <c r="N560" s="3" t="s">
        <v>104</v>
      </c>
      <c r="O560" s="16" t="s">
        <v>343</v>
      </c>
      <c r="P560" s="80" t="s">
        <v>3660</v>
      </c>
      <c r="Q560" s="80" t="s">
        <v>3660</v>
      </c>
      <c r="R560" s="80" t="s">
        <v>3661</v>
      </c>
      <c r="S560" s="80" t="s">
        <v>3662</v>
      </c>
      <c r="T560" s="132" t="s">
        <v>107</v>
      </c>
      <c r="U560" s="97">
        <v>5</v>
      </c>
      <c r="X560" s="31" t="s">
        <v>108</v>
      </c>
      <c r="Y560" s="93">
        <f>IF(AD560=0, 0, IF(OR(H560="", H560&lt;&gt;0), 1, 0))</f>
        <v>1</v>
      </c>
      <c r="Z560" s="3">
        <v>0</v>
      </c>
      <c r="AA560" s="3" t="s">
        <v>3663</v>
      </c>
      <c r="AD560" s="6">
        <f>ROUND((AG560*(1+AJ560)),2)</f>
        <v>111.65</v>
      </c>
      <c r="AE560" s="99">
        <v>127.22500466</v>
      </c>
      <c r="AF560" s="17">
        <f>(AE560*1)</f>
        <v>127.22500466</v>
      </c>
      <c r="AG560" s="6">
        <f>ROUND((AE560*AI560),2)</f>
        <v>82.7</v>
      </c>
      <c r="AH560" s="30" t="s">
        <v>110</v>
      </c>
      <c r="AI560" s="3">
        <v>0.65</v>
      </c>
      <c r="AJ560" s="18">
        <v>0.35</v>
      </c>
      <c r="AK560" s="6">
        <f>ROUND((AD560-(AD560*BG560)),2)</f>
        <v>110.53</v>
      </c>
      <c r="AL560" s="6">
        <f>ROUND((AD560-(AD560*BH560)),2)</f>
        <v>109.42</v>
      </c>
      <c r="AM560" s="6">
        <f>ROUND((AD560-(AD560*BI560)),2)</f>
        <v>108.3</v>
      </c>
      <c r="AN560" s="6">
        <f>ROUND((AD560-(AD560*BJ560)),2)</f>
        <v>108.3</v>
      </c>
      <c r="AO560" s="6">
        <f>ROUND((AD560-(AD560*BK560)),2)</f>
        <v>111.65</v>
      </c>
      <c r="BG560" s="12">
        <v>0.01</v>
      </c>
      <c r="BH560" s="12">
        <v>0.02</v>
      </c>
      <c r="BI560" s="12">
        <v>0.03</v>
      </c>
      <c r="BJ560" s="12">
        <v>0.03</v>
      </c>
      <c r="BK560" s="12"/>
      <c r="CC560" s="3" t="str">
        <f>IF(B560&lt;&gt;"",CONCATENATE(SUBSTITUTE(B560," ","-"),".jpg"),"")</f>
        <v>Allied-Moulded-AM1084T.jpg</v>
      </c>
      <c r="CD560" s="16" t="s">
        <v>111</v>
      </c>
      <c r="CE560" s="3"/>
      <c r="CF560" s="3"/>
      <c r="CG560" s="3" t="s">
        <v>112</v>
      </c>
      <c r="CI560" s="3" t="s">
        <v>97</v>
      </c>
      <c r="CJ560" s="16" t="s">
        <v>348</v>
      </c>
      <c r="CK560" s="3" t="s">
        <v>114</v>
      </c>
      <c r="CL560" s="3" t="s">
        <v>115</v>
      </c>
      <c r="CM560" s="3" t="s">
        <v>116</v>
      </c>
      <c r="CN560" s="16" t="s">
        <v>132</v>
      </c>
      <c r="CO560" s="16" t="s">
        <v>350</v>
      </c>
      <c r="CP560" s="3" t="s">
        <v>139</v>
      </c>
      <c r="CQ560" s="3" t="s">
        <v>120</v>
      </c>
      <c r="CR560" s="3" t="s">
        <v>140</v>
      </c>
      <c r="CS560" s="16" t="s">
        <v>122</v>
      </c>
      <c r="CT560" s="16" t="s">
        <v>167</v>
      </c>
      <c r="CU560" s="16" t="s">
        <v>385</v>
      </c>
      <c r="CV560" s="16" t="s">
        <v>657</v>
      </c>
    </row>
    <row r="561" spans="1:100" ht="15" customHeight="1">
      <c r="A561" t="s">
        <v>3664</v>
      </c>
      <c r="B561" s="3" t="s">
        <v>3665</v>
      </c>
      <c r="C561" s="16" t="s">
        <v>97</v>
      </c>
      <c r="D561" s="40" t="s">
        <v>3666</v>
      </c>
      <c r="E561" s="16" t="s">
        <v>97</v>
      </c>
      <c r="F561" s="131" t="s">
        <v>3667</v>
      </c>
      <c r="I561" s="100" t="s">
        <v>342</v>
      </c>
      <c r="J561" s="16" t="s">
        <v>101</v>
      </c>
      <c r="K561" s="16"/>
      <c r="L561" s="3" t="s">
        <v>102</v>
      </c>
      <c r="M561" s="3" t="s">
        <v>103</v>
      </c>
      <c r="N561" s="3" t="s">
        <v>104</v>
      </c>
      <c r="O561" s="16" t="s">
        <v>105</v>
      </c>
      <c r="P561" s="3" t="s">
        <v>3668</v>
      </c>
      <c r="Q561" s="3" t="s">
        <v>3668</v>
      </c>
      <c r="R561" s="3" t="s">
        <v>3668</v>
      </c>
      <c r="S561" t="s">
        <v>3664</v>
      </c>
      <c r="T561" s="130" t="s">
        <v>465</v>
      </c>
      <c r="U561" s="35">
        <v>5</v>
      </c>
      <c r="V561" s="40"/>
      <c r="W561" s="40"/>
      <c r="X561" s="59" t="s">
        <v>108</v>
      </c>
      <c r="Y561" s="93">
        <f>IF(AD561=0, 0, IF(OR(H561="", H561&lt;&gt;0), 1, 0))</f>
        <v>1</v>
      </c>
      <c r="Z561" s="3">
        <v>0</v>
      </c>
      <c r="AA561" s="3" t="s">
        <v>3669</v>
      </c>
      <c r="AD561" s="6">
        <f>ROUND((AG561*(1+AJ561)),2)</f>
        <v>94.8</v>
      </c>
      <c r="AE561" s="69">
        <v>108.02397023</v>
      </c>
      <c r="AF561" s="17">
        <f>(AE561*1)</f>
        <v>108.02397023</v>
      </c>
      <c r="AG561" s="6">
        <f>ROUND((AE561*AI561),2)</f>
        <v>70.22</v>
      </c>
      <c r="AH561" s="30" t="s">
        <v>110</v>
      </c>
      <c r="AI561" s="3">
        <v>0.65</v>
      </c>
      <c r="AJ561" s="18">
        <v>0.35</v>
      </c>
      <c r="AK561" s="6">
        <f>ROUND((AD561-(AD561*BG561)),2)</f>
        <v>93.85</v>
      </c>
      <c r="AL561" s="6">
        <f>ROUND((AD561-(AD561*BH561)),2)</f>
        <v>92.9</v>
      </c>
      <c r="AM561" s="6">
        <f>ROUND((AD561-(AD561*BI561)),2)</f>
        <v>91.96</v>
      </c>
      <c r="AN561" s="6">
        <f>ROUND((AD561-(AD561*BJ561)),2)</f>
        <v>91.96</v>
      </c>
      <c r="AO561" s="6">
        <f>ROUND((AD561-(AD561*BK561)),2)</f>
        <v>94.8</v>
      </c>
      <c r="BG561" s="12">
        <v>0.01</v>
      </c>
      <c r="BH561" s="12">
        <v>0.02</v>
      </c>
      <c r="BI561" s="12">
        <v>0.03</v>
      </c>
      <c r="BJ561" s="12">
        <v>0.03</v>
      </c>
      <c r="CC561" s="3" t="str">
        <f>IF(B561&lt;&gt;"",CONCATENATE(SUBSTITUTE(B561," ","-"),".jpg"),"")</f>
        <v>Allied-Moulded-AMU1086.jpg</v>
      </c>
      <c r="CD561" s="16" t="s">
        <v>111</v>
      </c>
      <c r="CE561" s="3"/>
      <c r="CF561" s="3"/>
      <c r="CG561" s="3" t="s">
        <v>112</v>
      </c>
      <c r="CI561" s="3" t="s">
        <v>97</v>
      </c>
      <c r="CJ561" s="3" t="s">
        <v>467</v>
      </c>
      <c r="CK561" s="3" t="s">
        <v>114</v>
      </c>
      <c r="CL561" s="3" t="s">
        <v>115</v>
      </c>
      <c r="CM561" s="16"/>
      <c r="CN561" s="16" t="s">
        <v>349</v>
      </c>
      <c r="CO561" s="3" t="s">
        <v>118</v>
      </c>
      <c r="CP561" s="3" t="s">
        <v>139</v>
      </c>
      <c r="CQ561" s="3" t="s">
        <v>120</v>
      </c>
      <c r="CR561" s="3" t="s">
        <v>140</v>
      </c>
      <c r="CS561" s="3" t="s">
        <v>384</v>
      </c>
      <c r="CT561" s="16" t="s">
        <v>167</v>
      </c>
      <c r="CU561" s="16" t="s">
        <v>385</v>
      </c>
      <c r="CV561" s="16" t="s">
        <v>351</v>
      </c>
    </row>
    <row r="562" spans="1:100" ht="15" customHeight="1">
      <c r="A562" t="s">
        <v>3670</v>
      </c>
      <c r="B562" s="3" t="s">
        <v>3671</v>
      </c>
      <c r="C562" s="16" t="s">
        <v>97</v>
      </c>
      <c r="D562" s="39" t="s">
        <v>3672</v>
      </c>
      <c r="E562" s="16" t="s">
        <v>97</v>
      </c>
      <c r="F562" s="131" t="s">
        <v>3673</v>
      </c>
      <c r="I562" s="100" t="s">
        <v>342</v>
      </c>
      <c r="J562" s="16" t="s">
        <v>101</v>
      </c>
      <c r="K562" s="16"/>
      <c r="L562" s="3" t="s">
        <v>102</v>
      </c>
      <c r="M562" s="3" t="s">
        <v>103</v>
      </c>
      <c r="N562" s="3" t="s">
        <v>104</v>
      </c>
      <c r="O562" s="16" t="s">
        <v>105</v>
      </c>
      <c r="P562" s="3" t="s">
        <v>3674</v>
      </c>
      <c r="Q562" s="3" t="s">
        <v>3674</v>
      </c>
      <c r="R562" s="3" t="s">
        <v>3674</v>
      </c>
      <c r="S562" t="s">
        <v>3670</v>
      </c>
      <c r="T562" s="130" t="s">
        <v>465</v>
      </c>
      <c r="U562" s="34">
        <v>5</v>
      </c>
      <c r="V562" s="39"/>
      <c r="W562" s="39"/>
      <c r="X562" s="59" t="s">
        <v>108</v>
      </c>
      <c r="Y562" s="93">
        <f>IF(AD562=0, 0, IF(OR(H562="", H562&lt;&gt;0), 1, 0))</f>
        <v>1</v>
      </c>
      <c r="Z562" s="3">
        <v>0</v>
      </c>
      <c r="AA562" s="3" t="s">
        <v>3675</v>
      </c>
      <c r="AD562" s="6">
        <f>ROUND((AG562*(1+AJ562)),2)</f>
        <v>97.42</v>
      </c>
      <c r="AE562" s="69">
        <v>111.01372135999999</v>
      </c>
      <c r="AF562" s="17">
        <f>(AE562*1)</f>
        <v>111.01372135999999</v>
      </c>
      <c r="AG562" s="6">
        <f>ROUND((AE562*AI562),2)</f>
        <v>72.16</v>
      </c>
      <c r="AH562" s="30" t="s">
        <v>110</v>
      </c>
      <c r="AI562" s="3">
        <v>0.65</v>
      </c>
      <c r="AJ562" s="18">
        <v>0.35</v>
      </c>
      <c r="AK562" s="6">
        <f>ROUND((AD562-(AD562*BG562)),2)</f>
        <v>96.45</v>
      </c>
      <c r="AL562" s="6">
        <f>ROUND((AD562-(AD562*BH562)),2)</f>
        <v>95.47</v>
      </c>
      <c r="AM562" s="6">
        <f>ROUND((AD562-(AD562*BI562)),2)</f>
        <v>94.5</v>
      </c>
      <c r="AN562" s="6">
        <f>ROUND((AD562-(AD562*BJ562)),2)</f>
        <v>94.5</v>
      </c>
      <c r="AO562" s="6">
        <f>ROUND((AD562-(AD562*BK562)),2)</f>
        <v>97.42</v>
      </c>
      <c r="BG562" s="12">
        <v>0.01</v>
      </c>
      <c r="BH562" s="12">
        <v>0.02</v>
      </c>
      <c r="BI562" s="12">
        <v>0.03</v>
      </c>
      <c r="BJ562" s="12">
        <v>0.03</v>
      </c>
      <c r="CC562" s="3" t="str">
        <f>IF(B562&lt;&gt;"",CONCATENATE(SUBSTITUTE(B562," ","-"),".jpg"),"")</f>
        <v>Allied-Moulded-AMU1086F.jpg</v>
      </c>
      <c r="CD562" s="16" t="s">
        <v>111</v>
      </c>
      <c r="CE562" s="3"/>
      <c r="CF562" s="3"/>
      <c r="CG562" s="3" t="s">
        <v>112</v>
      </c>
      <c r="CI562" s="3" t="s">
        <v>97</v>
      </c>
      <c r="CJ562" s="3" t="s">
        <v>467</v>
      </c>
      <c r="CK562" s="3" t="s">
        <v>114</v>
      </c>
      <c r="CL562" s="3" t="s">
        <v>115</v>
      </c>
      <c r="CM562" s="16"/>
      <c r="CN562" s="16" t="s">
        <v>349</v>
      </c>
      <c r="CO562" s="3" t="s">
        <v>118</v>
      </c>
      <c r="CP562" s="3" t="s">
        <v>139</v>
      </c>
      <c r="CQ562" s="3" t="s">
        <v>120</v>
      </c>
      <c r="CR562" s="3" t="s">
        <v>140</v>
      </c>
      <c r="CS562" s="3" t="s">
        <v>384</v>
      </c>
      <c r="CT562" s="16" t="s">
        <v>167</v>
      </c>
      <c r="CU562" s="16" t="s">
        <v>385</v>
      </c>
      <c r="CV562" s="16" t="s">
        <v>351</v>
      </c>
    </row>
    <row r="563" spans="1:100" ht="15" customHeight="1">
      <c r="A563" t="s">
        <v>3676</v>
      </c>
      <c r="B563" s="3" t="s">
        <v>3677</v>
      </c>
      <c r="C563" s="16" t="s">
        <v>97</v>
      </c>
      <c r="D563" s="39" t="s">
        <v>3678</v>
      </c>
      <c r="E563" s="16" t="s">
        <v>97</v>
      </c>
      <c r="F563" s="131" t="s">
        <v>3679</v>
      </c>
      <c r="I563" s="100" t="s">
        <v>342</v>
      </c>
      <c r="J563" s="16" t="s">
        <v>101</v>
      </c>
      <c r="K563" s="16"/>
      <c r="L563" s="3" t="s">
        <v>102</v>
      </c>
      <c r="M563" s="3" t="s">
        <v>103</v>
      </c>
      <c r="N563" s="3" t="s">
        <v>104</v>
      </c>
      <c r="O563" s="16" t="s">
        <v>105</v>
      </c>
      <c r="P563" s="3" t="s">
        <v>3680</v>
      </c>
      <c r="Q563" s="3" t="s">
        <v>3680</v>
      </c>
      <c r="R563" s="3" t="s">
        <v>3680</v>
      </c>
      <c r="S563" t="s">
        <v>3676</v>
      </c>
      <c r="T563" s="130" t="s">
        <v>465</v>
      </c>
      <c r="U563" s="34">
        <v>5</v>
      </c>
      <c r="V563" s="39"/>
      <c r="W563" s="39"/>
      <c r="X563" s="59" t="s">
        <v>108</v>
      </c>
      <c r="Y563" s="93">
        <f>IF(AD563=0, 0, IF(OR(H563="", H563&lt;&gt;0), 1, 0))</f>
        <v>1</v>
      </c>
      <c r="Z563" s="3">
        <v>0</v>
      </c>
      <c r="AA563" s="3" t="s">
        <v>3681</v>
      </c>
      <c r="AD563" s="6">
        <f>ROUND((AG563*(1+AJ563)),2)</f>
        <v>103.82</v>
      </c>
      <c r="AE563" s="69">
        <v>118.30871387000001</v>
      </c>
      <c r="AF563" s="17">
        <f>(AE563*1)</f>
        <v>118.30871387000001</v>
      </c>
      <c r="AG563" s="6">
        <f>ROUND((AE563*AI563),2)</f>
        <v>76.900000000000006</v>
      </c>
      <c r="AH563" s="30" t="s">
        <v>110</v>
      </c>
      <c r="AI563" s="3">
        <v>0.65</v>
      </c>
      <c r="AJ563" s="18">
        <v>0.35</v>
      </c>
      <c r="AK563" s="6">
        <f>ROUND((AD563-(AD563*BG563)),2)</f>
        <v>102.78</v>
      </c>
      <c r="AL563" s="6">
        <f>ROUND((AD563-(AD563*BH563)),2)</f>
        <v>101.74</v>
      </c>
      <c r="AM563" s="6">
        <f>ROUND((AD563-(AD563*BI563)),2)</f>
        <v>100.71</v>
      </c>
      <c r="AN563" s="6">
        <f>ROUND((AD563-(AD563*BJ563)),2)</f>
        <v>100.71</v>
      </c>
      <c r="AO563" s="6">
        <f>ROUND((AD563-(AD563*BK563)),2)</f>
        <v>103.82</v>
      </c>
      <c r="BG563" s="12">
        <v>0.01</v>
      </c>
      <c r="BH563" s="12">
        <v>0.02</v>
      </c>
      <c r="BI563" s="12">
        <v>0.03</v>
      </c>
      <c r="BJ563" s="12">
        <v>0.03</v>
      </c>
      <c r="CC563" s="3" t="str">
        <f>IF(B563&lt;&gt;"",CONCATENATE(SUBSTITUTE(B563," ","-"),".jpg"),"")</f>
        <v>Allied-Moulded-AMU1086H.jpg</v>
      </c>
      <c r="CD563" s="16" t="s">
        <v>111</v>
      </c>
      <c r="CE563" s="3"/>
      <c r="CF563" s="3"/>
      <c r="CG563" s="3" t="s">
        <v>112</v>
      </c>
      <c r="CI563" s="3" t="s">
        <v>97</v>
      </c>
      <c r="CJ563" s="3" t="s">
        <v>467</v>
      </c>
      <c r="CK563" s="3" t="s">
        <v>114</v>
      </c>
      <c r="CL563" s="3" t="s">
        <v>115</v>
      </c>
      <c r="CM563" s="3" t="s">
        <v>116</v>
      </c>
      <c r="CN563" s="16" t="s">
        <v>349</v>
      </c>
      <c r="CO563" s="3" t="s">
        <v>118</v>
      </c>
      <c r="CP563" s="3" t="s">
        <v>139</v>
      </c>
      <c r="CQ563" s="3" t="s">
        <v>120</v>
      </c>
      <c r="CR563" s="3" t="s">
        <v>140</v>
      </c>
      <c r="CS563" s="3" t="s">
        <v>384</v>
      </c>
      <c r="CT563" s="16" t="s">
        <v>167</v>
      </c>
      <c r="CU563" s="16" t="s">
        <v>385</v>
      </c>
      <c r="CV563" s="16" t="s">
        <v>351</v>
      </c>
    </row>
    <row r="564" spans="1:100" ht="15" customHeight="1">
      <c r="A564" t="s">
        <v>3682</v>
      </c>
      <c r="B564" s="3" t="s">
        <v>3683</v>
      </c>
      <c r="C564" s="16" t="s">
        <v>97</v>
      </c>
      <c r="D564" s="40" t="s">
        <v>3684</v>
      </c>
      <c r="E564" s="16" t="s">
        <v>97</v>
      </c>
      <c r="F564" s="131" t="s">
        <v>3685</v>
      </c>
      <c r="I564" s="100" t="s">
        <v>342</v>
      </c>
      <c r="J564" s="16" t="s">
        <v>101</v>
      </c>
      <c r="K564" s="16"/>
      <c r="L564" s="3" t="s">
        <v>102</v>
      </c>
      <c r="M564" s="3" t="s">
        <v>103</v>
      </c>
      <c r="N564" s="3" t="s">
        <v>104</v>
      </c>
      <c r="O564" s="16" t="s">
        <v>105</v>
      </c>
      <c r="P564" s="3" t="s">
        <v>3686</v>
      </c>
      <c r="Q564" s="3" t="s">
        <v>3686</v>
      </c>
      <c r="R564" s="3" t="s">
        <v>3686</v>
      </c>
      <c r="S564" t="s">
        <v>3682</v>
      </c>
      <c r="T564" s="130" t="s">
        <v>465</v>
      </c>
      <c r="U564" s="35">
        <v>5</v>
      </c>
      <c r="V564" s="40"/>
      <c r="W564" s="40"/>
      <c r="X564" s="59" t="s">
        <v>108</v>
      </c>
      <c r="Y564" s="93">
        <f>IF(AD564=0, 0, IF(OR(H564="", H564&lt;&gt;0), 1, 0))</f>
        <v>1</v>
      </c>
      <c r="Z564" s="3">
        <v>0</v>
      </c>
      <c r="AA564" s="3" t="s">
        <v>3687</v>
      </c>
      <c r="AD564" s="6">
        <f>ROUND((AG564*(1+AJ564)),2)</f>
        <v>106.65</v>
      </c>
      <c r="AE564" s="69">
        <v>121.53764336</v>
      </c>
      <c r="AF564" s="17">
        <f>(AE564*1)</f>
        <v>121.53764336</v>
      </c>
      <c r="AG564" s="6">
        <f>ROUND((AE564*AI564),2)</f>
        <v>79</v>
      </c>
      <c r="AH564" s="30" t="s">
        <v>110</v>
      </c>
      <c r="AI564" s="3">
        <v>0.65</v>
      </c>
      <c r="AJ564" s="18">
        <v>0.35</v>
      </c>
      <c r="AK564" s="6">
        <f>ROUND((AD564-(AD564*BG564)),2)</f>
        <v>105.58</v>
      </c>
      <c r="AL564" s="6">
        <f>ROUND((AD564-(AD564*BH564)),2)</f>
        <v>104.52</v>
      </c>
      <c r="AM564" s="6">
        <f>ROUND((AD564-(AD564*BI564)),2)</f>
        <v>103.45</v>
      </c>
      <c r="AN564" s="6">
        <f>ROUND((AD564-(AD564*BJ564)),2)</f>
        <v>103.45</v>
      </c>
      <c r="AO564" s="6">
        <f>ROUND((AD564-(AD564*BK564)),2)</f>
        <v>106.65</v>
      </c>
      <c r="BG564" s="12">
        <v>0.01</v>
      </c>
      <c r="BH564" s="12">
        <v>0.02</v>
      </c>
      <c r="BI564" s="12">
        <v>0.03</v>
      </c>
      <c r="BJ564" s="12">
        <v>0.03</v>
      </c>
      <c r="CC564" s="3" t="str">
        <f>IF(B564&lt;&gt;"",CONCATENATE(SUBSTITUTE(B564," ","-"),".jpg"),"")</f>
        <v>Allied-Moulded-AMU1086HF.jpg</v>
      </c>
      <c r="CD564" s="16" t="s">
        <v>111</v>
      </c>
      <c r="CE564" s="3"/>
      <c r="CF564" s="3"/>
      <c r="CG564" s="3" t="s">
        <v>112</v>
      </c>
      <c r="CI564" s="3" t="s">
        <v>97</v>
      </c>
      <c r="CJ564" s="3" t="s">
        <v>467</v>
      </c>
      <c r="CK564" s="3" t="s">
        <v>114</v>
      </c>
      <c r="CL564" s="3" t="s">
        <v>115</v>
      </c>
      <c r="CM564" s="3" t="s">
        <v>116</v>
      </c>
      <c r="CN564" s="16" t="s">
        <v>349</v>
      </c>
      <c r="CO564" s="3" t="s">
        <v>118</v>
      </c>
      <c r="CP564" s="3" t="s">
        <v>139</v>
      </c>
      <c r="CQ564" s="3" t="s">
        <v>120</v>
      </c>
      <c r="CR564" s="3" t="s">
        <v>140</v>
      </c>
      <c r="CS564" s="3" t="s">
        <v>384</v>
      </c>
      <c r="CT564" s="16" t="s">
        <v>167</v>
      </c>
      <c r="CU564" s="16" t="s">
        <v>385</v>
      </c>
      <c r="CV564" s="16" t="s">
        <v>351</v>
      </c>
    </row>
    <row r="565" spans="1:100" ht="15" customHeight="1">
      <c r="A565" t="s">
        <v>3688</v>
      </c>
      <c r="B565" s="3" t="s">
        <v>3689</v>
      </c>
      <c r="C565" s="16" t="s">
        <v>97</v>
      </c>
      <c r="D565" s="40" t="s">
        <v>3690</v>
      </c>
      <c r="E565" s="16" t="s">
        <v>97</v>
      </c>
      <c r="F565" s="131" t="s">
        <v>3691</v>
      </c>
      <c r="I565" s="100" t="s">
        <v>342</v>
      </c>
      <c r="J565" s="16" t="s">
        <v>101</v>
      </c>
      <c r="K565" s="16"/>
      <c r="L565" s="3" t="s">
        <v>102</v>
      </c>
      <c r="M565" s="3" t="s">
        <v>103</v>
      </c>
      <c r="N565" s="3" t="s">
        <v>104</v>
      </c>
      <c r="O565" s="16" t="s">
        <v>105</v>
      </c>
      <c r="P565" s="3" t="s">
        <v>3692</v>
      </c>
      <c r="Q565" s="3" t="s">
        <v>3692</v>
      </c>
      <c r="R565" s="3" t="s">
        <v>3692</v>
      </c>
      <c r="S565" t="s">
        <v>3688</v>
      </c>
      <c r="T565" s="130" t="s">
        <v>465</v>
      </c>
      <c r="U565" s="35">
        <v>5</v>
      </c>
      <c r="V565" s="40"/>
      <c r="W565" s="40"/>
      <c r="X565" s="59" t="s">
        <v>108</v>
      </c>
      <c r="Y565" s="93">
        <f>IF(AD565=0, 0, IF(OR(H565="", H565&lt;&gt;0), 1, 0))</f>
        <v>1</v>
      </c>
      <c r="Z565" s="3">
        <v>0</v>
      </c>
      <c r="AA565" s="3" t="s">
        <v>3693</v>
      </c>
      <c r="AD565" s="6">
        <f>ROUND((AG565*(1+AJ565)),2)</f>
        <v>123.2</v>
      </c>
      <c r="AE565" s="69">
        <v>140.39869951</v>
      </c>
      <c r="AF565" s="17">
        <f>(AE565*1)</f>
        <v>140.39869951</v>
      </c>
      <c r="AG565" s="6">
        <f>ROUND((AE565*AI565),2)</f>
        <v>91.26</v>
      </c>
      <c r="AH565" s="30" t="s">
        <v>110</v>
      </c>
      <c r="AI565" s="3">
        <v>0.65</v>
      </c>
      <c r="AJ565" s="18">
        <v>0.35</v>
      </c>
      <c r="AK565" s="6">
        <f>ROUND((AD565-(AD565*BG565)),2)</f>
        <v>121.97</v>
      </c>
      <c r="AL565" s="6">
        <f>ROUND((AD565-(AD565*BH565)),2)</f>
        <v>120.74</v>
      </c>
      <c r="AM565" s="6">
        <f>ROUND((AD565-(AD565*BI565)),2)</f>
        <v>119.5</v>
      </c>
      <c r="AN565" s="6">
        <f>ROUND((AD565-(AD565*BJ565)),2)</f>
        <v>119.5</v>
      </c>
      <c r="AO565" s="6">
        <f>ROUND((AD565-(AD565*BK565)),2)</f>
        <v>123.2</v>
      </c>
      <c r="BG565" s="12">
        <v>0.01</v>
      </c>
      <c r="BH565" s="12">
        <v>0.02</v>
      </c>
      <c r="BI565" s="12">
        <v>0.03</v>
      </c>
      <c r="BJ565" s="12">
        <v>0.03</v>
      </c>
      <c r="CC565" s="3" t="str">
        <f>IF(B565&lt;&gt;"",CONCATENATE(SUBSTITUTE(B565," ","-"),".jpg"),"")</f>
        <v>Allied-Moulded-AMU1086L.jpg</v>
      </c>
      <c r="CD565" s="16" t="s">
        <v>111</v>
      </c>
      <c r="CE565" s="3"/>
      <c r="CF565" s="3"/>
      <c r="CG565" s="3" t="s">
        <v>112</v>
      </c>
      <c r="CI565" s="3" t="s">
        <v>97</v>
      </c>
      <c r="CJ565" s="3" t="s">
        <v>467</v>
      </c>
      <c r="CK565" s="3" t="s">
        <v>114</v>
      </c>
      <c r="CL565" s="3" t="s">
        <v>115</v>
      </c>
      <c r="CM565" s="3" t="s">
        <v>116</v>
      </c>
      <c r="CN565" t="s">
        <v>117</v>
      </c>
      <c r="CO565" s="3" t="s">
        <v>118</v>
      </c>
      <c r="CP565" s="3" t="s">
        <v>139</v>
      </c>
      <c r="CQ565" s="3" t="s">
        <v>120</v>
      </c>
      <c r="CR565" s="3" t="s">
        <v>140</v>
      </c>
      <c r="CS565" s="16" t="s">
        <v>122</v>
      </c>
      <c r="CT565" s="16" t="s">
        <v>167</v>
      </c>
      <c r="CU565" s="16" t="s">
        <v>385</v>
      </c>
      <c r="CV565" s="16" t="s">
        <v>351</v>
      </c>
    </row>
    <row r="566" spans="1:100" ht="15" customHeight="1">
      <c r="A566" t="s">
        <v>3694</v>
      </c>
      <c r="B566" s="3" t="s">
        <v>3695</v>
      </c>
      <c r="C566" s="16" t="s">
        <v>97</v>
      </c>
      <c r="D566" s="41" t="s">
        <v>3696</v>
      </c>
      <c r="E566" s="16" t="s">
        <v>97</v>
      </c>
      <c r="F566" s="131" t="s">
        <v>3697</v>
      </c>
      <c r="I566" s="100" t="s">
        <v>342</v>
      </c>
      <c r="J566" s="16" t="s">
        <v>101</v>
      </c>
      <c r="K566" s="16"/>
      <c r="L566" s="3" t="s">
        <v>102</v>
      </c>
      <c r="M566" s="3" t="s">
        <v>103</v>
      </c>
      <c r="N566" s="3" t="s">
        <v>104</v>
      </c>
      <c r="O566" s="16" t="s">
        <v>105</v>
      </c>
      <c r="P566" s="3" t="s">
        <v>3698</v>
      </c>
      <c r="Q566" s="3" t="s">
        <v>3698</v>
      </c>
      <c r="R566" s="3" t="s">
        <v>3698</v>
      </c>
      <c r="S566" t="s">
        <v>3694</v>
      </c>
      <c r="T566" s="130" t="s">
        <v>465</v>
      </c>
      <c r="U566" s="36">
        <v>5</v>
      </c>
      <c r="V566" s="39"/>
      <c r="W566" s="39"/>
      <c r="X566" s="59" t="s">
        <v>108</v>
      </c>
      <c r="Y566" s="93">
        <f>IF(AD566=0, 0, IF(OR(H566="", H566&lt;&gt;0), 1, 0))</f>
        <v>1</v>
      </c>
      <c r="Z566" s="3">
        <v>0</v>
      </c>
      <c r="AA566" s="3" t="s">
        <v>3699</v>
      </c>
      <c r="AD566" s="6">
        <f>ROUND((AG566*(1+AJ566)),2)</f>
        <v>126.62</v>
      </c>
      <c r="AE566" s="68">
        <v>144.29391849000001</v>
      </c>
      <c r="AF566" s="17">
        <f>(AE566*1)</f>
        <v>144.29391849000001</v>
      </c>
      <c r="AG566" s="6">
        <f>ROUND((AE566*AI566),2)</f>
        <v>93.79</v>
      </c>
      <c r="AH566" s="30" t="s">
        <v>110</v>
      </c>
      <c r="AI566" s="3">
        <v>0.65</v>
      </c>
      <c r="AJ566" s="18">
        <v>0.35</v>
      </c>
      <c r="AK566" s="6">
        <f>ROUND((AD566-(AD566*BG566)),2)</f>
        <v>125.35</v>
      </c>
      <c r="AL566" s="6">
        <f>ROUND((AD566-(AD566*BH566)),2)</f>
        <v>124.09</v>
      </c>
      <c r="AM566" s="6">
        <f>ROUND((AD566-(AD566*BI566)),2)</f>
        <v>122.82</v>
      </c>
      <c r="AN566" s="6">
        <f>ROUND((AD566-(AD566*BJ566)),2)</f>
        <v>122.82</v>
      </c>
      <c r="AO566" s="6">
        <f>ROUND((AD566-(AD566*BK566)),2)</f>
        <v>126.62</v>
      </c>
      <c r="BG566" s="12">
        <v>0.01</v>
      </c>
      <c r="BH566" s="12">
        <v>0.02</v>
      </c>
      <c r="BI566" s="12">
        <v>0.03</v>
      </c>
      <c r="BJ566" s="12">
        <v>0.03</v>
      </c>
      <c r="CC566" s="3" t="str">
        <f>IF(B566&lt;&gt;"",CONCATENATE(SUBSTITUTE(B566," ","-"),".jpg"),"")</f>
        <v>Allied-Moulded-AMU1086LF.jpg</v>
      </c>
      <c r="CD566" s="16" t="s">
        <v>111</v>
      </c>
      <c r="CE566" s="3"/>
      <c r="CF566" s="3"/>
      <c r="CG566" s="3" t="s">
        <v>112</v>
      </c>
      <c r="CI566" s="3" t="s">
        <v>97</v>
      </c>
      <c r="CJ566" s="3" t="s">
        <v>467</v>
      </c>
      <c r="CK566" s="3" t="s">
        <v>114</v>
      </c>
      <c r="CL566" s="3" t="s">
        <v>115</v>
      </c>
      <c r="CM566" s="3" t="s">
        <v>116</v>
      </c>
      <c r="CN566" t="s">
        <v>117</v>
      </c>
      <c r="CO566" s="3" t="s">
        <v>118</v>
      </c>
      <c r="CP566" s="3" t="s">
        <v>139</v>
      </c>
      <c r="CQ566" s="3" t="s">
        <v>120</v>
      </c>
      <c r="CR566" s="3" t="s">
        <v>140</v>
      </c>
      <c r="CS566" s="16" t="s">
        <v>122</v>
      </c>
      <c r="CT566" s="16" t="s">
        <v>167</v>
      </c>
      <c r="CU566" s="16" t="s">
        <v>385</v>
      </c>
      <c r="CV566" s="16" t="s">
        <v>351</v>
      </c>
    </row>
    <row r="567" spans="1:100" ht="15" customHeight="1">
      <c r="A567" t="s">
        <v>3700</v>
      </c>
      <c r="B567" s="3" t="s">
        <v>3701</v>
      </c>
      <c r="C567" s="16" t="s">
        <v>97</v>
      </c>
      <c r="D567" s="39" t="s">
        <v>3702</v>
      </c>
      <c r="E567" s="16" t="s">
        <v>97</v>
      </c>
      <c r="F567" s="131" t="s">
        <v>3703</v>
      </c>
      <c r="I567" s="100" t="s">
        <v>342</v>
      </c>
      <c r="J567" s="16" t="s">
        <v>101</v>
      </c>
      <c r="K567" s="16"/>
      <c r="L567" s="3" t="s">
        <v>102</v>
      </c>
      <c r="M567" s="3" t="s">
        <v>103</v>
      </c>
      <c r="N567" s="3" t="s">
        <v>104</v>
      </c>
      <c r="O567" s="16" t="s">
        <v>105</v>
      </c>
      <c r="P567" s="3" t="s">
        <v>3704</v>
      </c>
      <c r="Q567" s="3" t="s">
        <v>3704</v>
      </c>
      <c r="R567" s="3" t="s">
        <v>3704</v>
      </c>
      <c r="S567" t="s">
        <v>3700</v>
      </c>
      <c r="T567" s="130" t="s">
        <v>465</v>
      </c>
      <c r="U567" s="34">
        <v>5</v>
      </c>
      <c r="V567" s="39"/>
      <c r="W567" s="39"/>
      <c r="X567" s="59" t="s">
        <v>108</v>
      </c>
      <c r="Y567" s="93">
        <f>IF(AD567=0, 0, IF(OR(H567="", H567&lt;&gt;0), 1, 0))</f>
        <v>1</v>
      </c>
      <c r="Z567" s="3">
        <v>0</v>
      </c>
      <c r="AA567" s="3" t="s">
        <v>3705</v>
      </c>
      <c r="AD567" s="6">
        <f>ROUND((AG567*(1+AJ567)),2)</f>
        <v>117.02</v>
      </c>
      <c r="AE567" s="69">
        <v>133.35997306000002</v>
      </c>
      <c r="AF567" s="17">
        <f>(AE567*1)</f>
        <v>133.35997306000002</v>
      </c>
      <c r="AG567" s="6">
        <f>ROUND((AE567*AI567),2)</f>
        <v>86.68</v>
      </c>
      <c r="AH567" s="30" t="s">
        <v>110</v>
      </c>
      <c r="AI567" s="3">
        <v>0.65</v>
      </c>
      <c r="AJ567" s="18">
        <v>0.35</v>
      </c>
      <c r="AK567" s="6">
        <f>ROUND((AD567-(AD567*BG567)),2)</f>
        <v>115.85</v>
      </c>
      <c r="AL567" s="6">
        <f>ROUND((AD567-(AD567*BH567)),2)</f>
        <v>114.68</v>
      </c>
      <c r="AM567" s="6">
        <f>ROUND((AD567-(AD567*BI567)),2)</f>
        <v>113.51</v>
      </c>
      <c r="AN567" s="6">
        <f>ROUND((AD567-(AD567*BJ567)),2)</f>
        <v>113.51</v>
      </c>
      <c r="AO567" s="6">
        <f>ROUND((AD567-(AD567*BK567)),2)</f>
        <v>117.02</v>
      </c>
      <c r="BG567" s="12">
        <v>0.01</v>
      </c>
      <c r="BH567" s="12">
        <v>0.02</v>
      </c>
      <c r="BI567" s="12">
        <v>0.03</v>
      </c>
      <c r="BJ567" s="12">
        <v>0.03</v>
      </c>
      <c r="CC567" s="3" t="str">
        <f>IF(B567&lt;&gt;"",CONCATENATE(SUBSTITUTE(B567," ","-"),".jpg"),"")</f>
        <v>Allied-Moulded-AMU1086NL.jpg</v>
      </c>
      <c r="CD567" s="16" t="s">
        <v>111</v>
      </c>
      <c r="CE567" s="3"/>
      <c r="CF567" s="3"/>
      <c r="CG567" s="3" t="s">
        <v>112</v>
      </c>
      <c r="CI567" s="3" t="s">
        <v>97</v>
      </c>
      <c r="CJ567" s="3" t="s">
        <v>467</v>
      </c>
      <c r="CK567" s="3" t="s">
        <v>114</v>
      </c>
      <c r="CL567" s="3" t="s">
        <v>115</v>
      </c>
      <c r="CM567" s="3" t="s">
        <v>116</v>
      </c>
      <c r="CN567" t="s">
        <v>117</v>
      </c>
      <c r="CO567" s="3" t="s">
        <v>118</v>
      </c>
      <c r="CP567" s="3" t="s">
        <v>139</v>
      </c>
      <c r="CQ567" s="3" t="s">
        <v>120</v>
      </c>
      <c r="CR567" s="3" t="s">
        <v>140</v>
      </c>
      <c r="CS567" s="16" t="s">
        <v>122</v>
      </c>
      <c r="CT567" s="16" t="s">
        <v>167</v>
      </c>
      <c r="CU567" s="16" t="s">
        <v>385</v>
      </c>
      <c r="CV567" s="16" t="s">
        <v>351</v>
      </c>
    </row>
    <row r="568" spans="1:100" ht="15" customHeight="1">
      <c r="A568" t="s">
        <v>3706</v>
      </c>
      <c r="B568" s="3" t="s">
        <v>3707</v>
      </c>
      <c r="C568" s="16" t="s">
        <v>97</v>
      </c>
      <c r="D568" s="40" t="s">
        <v>3708</v>
      </c>
      <c r="E568" s="16" t="s">
        <v>97</v>
      </c>
      <c r="F568" s="131" t="s">
        <v>3709</v>
      </c>
      <c r="I568" s="100" t="s">
        <v>342</v>
      </c>
      <c r="J568" s="16" t="s">
        <v>101</v>
      </c>
      <c r="K568" s="16"/>
      <c r="L568" s="3" t="s">
        <v>102</v>
      </c>
      <c r="M568" s="3" t="s">
        <v>103</v>
      </c>
      <c r="N568" s="3" t="s">
        <v>104</v>
      </c>
      <c r="O568" s="16" t="s">
        <v>105</v>
      </c>
      <c r="P568" s="3" t="s">
        <v>3710</v>
      </c>
      <c r="Q568" s="3" t="s">
        <v>3710</v>
      </c>
      <c r="R568" s="3" t="s">
        <v>3710</v>
      </c>
      <c r="S568" t="s">
        <v>3706</v>
      </c>
      <c r="T568" s="130" t="s">
        <v>465</v>
      </c>
      <c r="U568" s="35">
        <v>5</v>
      </c>
      <c r="V568" s="40"/>
      <c r="W568" s="40"/>
      <c r="X568" s="59" t="s">
        <v>108</v>
      </c>
      <c r="Y568" s="93">
        <f>IF(AD568=0, 0, IF(OR(H568="", H568&lt;&gt;0), 1, 0))</f>
        <v>1</v>
      </c>
      <c r="Z568" s="3">
        <v>0</v>
      </c>
      <c r="AA568" s="3" t="s">
        <v>3711</v>
      </c>
      <c r="AD568" s="6">
        <f>ROUND((AG568*(1+AJ568)),2)</f>
        <v>120.31</v>
      </c>
      <c r="AE568" s="69">
        <v>137.10143466999997</v>
      </c>
      <c r="AF568" s="17">
        <f>(AE568*1)</f>
        <v>137.10143466999997</v>
      </c>
      <c r="AG568" s="6">
        <f>ROUND((AE568*AI568),2)</f>
        <v>89.12</v>
      </c>
      <c r="AH568" s="30" t="s">
        <v>110</v>
      </c>
      <c r="AI568" s="3">
        <v>0.65</v>
      </c>
      <c r="AJ568" s="18">
        <v>0.35</v>
      </c>
      <c r="AK568" s="6">
        <f>ROUND((AD568-(AD568*BG568)),2)</f>
        <v>119.11</v>
      </c>
      <c r="AL568" s="6">
        <f>ROUND((AD568-(AD568*BH568)),2)</f>
        <v>117.9</v>
      </c>
      <c r="AM568" s="6">
        <f>ROUND((AD568-(AD568*BI568)),2)</f>
        <v>116.7</v>
      </c>
      <c r="AN568" s="6">
        <f>ROUND((AD568-(AD568*BJ568)),2)</f>
        <v>116.7</v>
      </c>
      <c r="AO568" s="6">
        <f>ROUND((AD568-(AD568*BK568)),2)</f>
        <v>120.31</v>
      </c>
      <c r="BG568" s="12">
        <v>0.01</v>
      </c>
      <c r="BH568" s="12">
        <v>0.02</v>
      </c>
      <c r="BI568" s="12">
        <v>0.03</v>
      </c>
      <c r="BJ568" s="12">
        <v>0.03</v>
      </c>
      <c r="CC568" s="3" t="str">
        <f>IF(B568&lt;&gt;"",CONCATENATE(SUBSTITUTE(B568," ","-"),".jpg"),"")</f>
        <v>Allied-Moulded-AMU1086NLF.jpg</v>
      </c>
      <c r="CD568" s="16" t="s">
        <v>111</v>
      </c>
      <c r="CE568" s="3"/>
      <c r="CF568" s="3"/>
      <c r="CG568" s="3" t="s">
        <v>112</v>
      </c>
      <c r="CI568" s="3" t="s">
        <v>97</v>
      </c>
      <c r="CJ568" s="3" t="s">
        <v>467</v>
      </c>
      <c r="CK568" s="3" t="s">
        <v>114</v>
      </c>
      <c r="CL568" s="3" t="s">
        <v>115</v>
      </c>
      <c r="CM568" s="3" t="s">
        <v>116</v>
      </c>
      <c r="CN568" t="s">
        <v>117</v>
      </c>
      <c r="CO568" s="3" t="s">
        <v>118</v>
      </c>
      <c r="CP568" s="3" t="s">
        <v>139</v>
      </c>
      <c r="CQ568" s="3" t="s">
        <v>120</v>
      </c>
      <c r="CR568" s="3" t="s">
        <v>140</v>
      </c>
      <c r="CS568" s="16" t="s">
        <v>122</v>
      </c>
      <c r="CT568" s="16" t="s">
        <v>167</v>
      </c>
      <c r="CU568" s="16" t="s">
        <v>385</v>
      </c>
      <c r="CV568" s="16" t="s">
        <v>351</v>
      </c>
    </row>
    <row r="569" spans="1:100" ht="15" customHeight="1">
      <c r="A569" t="s">
        <v>3712</v>
      </c>
      <c r="B569" s="3" t="s">
        <v>3713</v>
      </c>
      <c r="C569" s="16" t="s">
        <v>97</v>
      </c>
      <c r="D569" s="40" t="s">
        <v>3714</v>
      </c>
      <c r="E569" s="16" t="s">
        <v>97</v>
      </c>
      <c r="F569" s="131" t="s">
        <v>3715</v>
      </c>
      <c r="I569" s="100" t="s">
        <v>342</v>
      </c>
      <c r="J569" s="16" t="s">
        <v>101</v>
      </c>
      <c r="K569" s="16"/>
      <c r="L569" s="3" t="s">
        <v>102</v>
      </c>
      <c r="M569" s="3" t="s">
        <v>103</v>
      </c>
      <c r="N569" s="3" t="s">
        <v>104</v>
      </c>
      <c r="O569" s="16" t="s">
        <v>105</v>
      </c>
      <c r="P569" s="3" t="s">
        <v>3716</v>
      </c>
      <c r="Q569" s="3" t="s">
        <v>3716</v>
      </c>
      <c r="R569" s="3" t="s">
        <v>3716</v>
      </c>
      <c r="S569" t="s">
        <v>3712</v>
      </c>
      <c r="T569" s="130" t="s">
        <v>465</v>
      </c>
      <c r="U569" s="51">
        <v>5</v>
      </c>
      <c r="V569" s="58"/>
      <c r="W569" s="58"/>
      <c r="X569" s="59" t="s">
        <v>108</v>
      </c>
      <c r="Y569" s="93">
        <f>IF(AD569=0, 0, IF(OR(H569="", H569&lt;&gt;0), 1, 0))</f>
        <v>1</v>
      </c>
      <c r="Z569" s="3">
        <v>0</v>
      </c>
      <c r="AA569" s="3" t="s">
        <v>3717</v>
      </c>
      <c r="AD569" s="6">
        <f>ROUND((AG569*(1+AJ569)),2)</f>
        <v>123.2</v>
      </c>
      <c r="AE569" s="69">
        <v>140.39869951</v>
      </c>
      <c r="AF569" s="17">
        <f>(AE569*1)</f>
        <v>140.39869951</v>
      </c>
      <c r="AG569" s="6">
        <f>ROUND((AE569*AI569),2)</f>
        <v>91.26</v>
      </c>
      <c r="AH569" s="30" t="s">
        <v>110</v>
      </c>
      <c r="AI569" s="3">
        <v>0.65</v>
      </c>
      <c r="AJ569" s="18">
        <v>0.35</v>
      </c>
      <c r="AK569" s="6">
        <f>ROUND((AD569-(AD569*BG569)),2)</f>
        <v>121.97</v>
      </c>
      <c r="AL569" s="6">
        <f>ROUND((AD569-(AD569*BH569)),2)</f>
        <v>120.74</v>
      </c>
      <c r="AM569" s="6">
        <f>ROUND((AD569-(AD569*BI569)),2)</f>
        <v>119.5</v>
      </c>
      <c r="AN569" s="6">
        <f>ROUND((AD569-(AD569*BJ569)),2)</f>
        <v>119.5</v>
      </c>
      <c r="AO569" s="6">
        <f>ROUND((AD569-(AD569*BK569)),2)</f>
        <v>123.2</v>
      </c>
      <c r="BG569" s="12">
        <v>0.01</v>
      </c>
      <c r="BH569" s="12">
        <v>0.02</v>
      </c>
      <c r="BI569" s="12">
        <v>0.03</v>
      </c>
      <c r="BJ569" s="12">
        <v>0.03</v>
      </c>
      <c r="CC569" s="3" t="str">
        <f>IF(B569&lt;&gt;"",CONCATENATE(SUBSTITUTE(B569," ","-"),".jpg"),"")</f>
        <v>Allied-Moulded-AMU1086T.jpg</v>
      </c>
      <c r="CD569" s="16" t="s">
        <v>111</v>
      </c>
      <c r="CE569" s="3"/>
      <c r="CF569" s="3"/>
      <c r="CG569" s="3" t="s">
        <v>112</v>
      </c>
      <c r="CI569" s="3" t="s">
        <v>97</v>
      </c>
      <c r="CJ569" s="3" t="s">
        <v>467</v>
      </c>
      <c r="CK569" s="3" t="s">
        <v>114</v>
      </c>
      <c r="CL569" s="3" t="s">
        <v>115</v>
      </c>
      <c r="CM569" s="3" t="s">
        <v>116</v>
      </c>
      <c r="CN569" s="16" t="s">
        <v>132</v>
      </c>
      <c r="CO569" s="3" t="s">
        <v>118</v>
      </c>
      <c r="CP569" s="3" t="s">
        <v>139</v>
      </c>
      <c r="CQ569" s="3" t="s">
        <v>120</v>
      </c>
      <c r="CR569" s="3" t="s">
        <v>140</v>
      </c>
      <c r="CS569" s="16" t="s">
        <v>122</v>
      </c>
      <c r="CT569" s="16" t="s">
        <v>167</v>
      </c>
      <c r="CU569" s="16" t="s">
        <v>385</v>
      </c>
      <c r="CV569" s="16" t="s">
        <v>351</v>
      </c>
    </row>
    <row r="570" spans="1:100" ht="15" customHeight="1">
      <c r="A570" t="s">
        <v>3718</v>
      </c>
      <c r="B570" s="3" t="s">
        <v>3719</v>
      </c>
      <c r="C570" s="16" t="s">
        <v>97</v>
      </c>
      <c r="D570" s="39" t="s">
        <v>3720</v>
      </c>
      <c r="E570" s="16" t="s">
        <v>97</v>
      </c>
      <c r="F570" s="131" t="s">
        <v>3721</v>
      </c>
      <c r="I570" s="100" t="s">
        <v>342</v>
      </c>
      <c r="J570" s="16" t="s">
        <v>101</v>
      </c>
      <c r="K570" s="16"/>
      <c r="L570" s="3" t="s">
        <v>102</v>
      </c>
      <c r="M570" s="3" t="s">
        <v>103</v>
      </c>
      <c r="N570" s="3" t="s">
        <v>104</v>
      </c>
      <c r="O570" s="16" t="s">
        <v>105</v>
      </c>
      <c r="P570" s="3" t="s">
        <v>3722</v>
      </c>
      <c r="Q570" s="3" t="s">
        <v>3722</v>
      </c>
      <c r="R570" s="3" t="s">
        <v>3722</v>
      </c>
      <c r="S570" t="s">
        <v>3718</v>
      </c>
      <c r="T570" s="130" t="s">
        <v>465</v>
      </c>
      <c r="U570" s="50">
        <v>5</v>
      </c>
      <c r="V570" s="54"/>
      <c r="W570" s="54"/>
      <c r="X570" s="59" t="s">
        <v>108</v>
      </c>
      <c r="Y570" s="93">
        <f>IF(AD570=0, 0, IF(OR(H570="", H570&lt;&gt;0), 1, 0))</f>
        <v>1</v>
      </c>
      <c r="Z570" s="3">
        <v>0</v>
      </c>
      <c r="AA570" s="3" t="s">
        <v>3723</v>
      </c>
      <c r="AD570" s="6">
        <f>ROUND((AG570*(1+AJ570)),2)</f>
        <v>126.62</v>
      </c>
      <c r="AE570" s="69">
        <v>144.28761695</v>
      </c>
      <c r="AF570" s="17">
        <f>(AE570*1)</f>
        <v>144.28761695</v>
      </c>
      <c r="AG570" s="6">
        <f>ROUND((AE570*AI570),2)</f>
        <v>93.79</v>
      </c>
      <c r="AH570" s="30" t="s">
        <v>110</v>
      </c>
      <c r="AI570" s="3">
        <v>0.65</v>
      </c>
      <c r="AJ570" s="18">
        <v>0.35</v>
      </c>
      <c r="AK570" s="6">
        <f>ROUND((AD570-(AD570*BG570)),2)</f>
        <v>125.35</v>
      </c>
      <c r="AL570" s="6">
        <f>ROUND((AD570-(AD570*BH570)),2)</f>
        <v>124.09</v>
      </c>
      <c r="AM570" s="6">
        <f>ROUND((AD570-(AD570*BI570)),2)</f>
        <v>122.82</v>
      </c>
      <c r="AN570" s="6">
        <f>ROUND((AD570-(AD570*BJ570)),2)</f>
        <v>122.82</v>
      </c>
      <c r="AO570" s="6">
        <f>ROUND((AD570-(AD570*BK570)),2)</f>
        <v>126.62</v>
      </c>
      <c r="BG570" s="12">
        <v>0.01</v>
      </c>
      <c r="BH570" s="12">
        <v>0.02</v>
      </c>
      <c r="BI570" s="12">
        <v>0.03</v>
      </c>
      <c r="BJ570" s="12">
        <v>0.03</v>
      </c>
      <c r="CC570" s="3" t="str">
        <f>IF(B570&lt;&gt;"",CONCATENATE(SUBSTITUTE(B570," ","-"),".jpg"),"")</f>
        <v>Allied-Moulded-AMU1086TF.jpg</v>
      </c>
      <c r="CD570" s="16" t="s">
        <v>111</v>
      </c>
      <c r="CE570" s="3"/>
      <c r="CF570" s="3"/>
      <c r="CG570" s="3" t="s">
        <v>112</v>
      </c>
      <c r="CI570" s="3" t="s">
        <v>97</v>
      </c>
      <c r="CJ570" s="3" t="s">
        <v>467</v>
      </c>
      <c r="CK570" s="3" t="s">
        <v>114</v>
      </c>
      <c r="CL570" s="3" t="s">
        <v>115</v>
      </c>
      <c r="CM570" s="3" t="s">
        <v>116</v>
      </c>
      <c r="CN570" s="16" t="s">
        <v>132</v>
      </c>
      <c r="CO570" s="3" t="s">
        <v>118</v>
      </c>
      <c r="CP570" s="3" t="s">
        <v>139</v>
      </c>
      <c r="CQ570" s="3" t="s">
        <v>120</v>
      </c>
      <c r="CR570" s="3" t="s">
        <v>140</v>
      </c>
      <c r="CS570" s="16" t="s">
        <v>122</v>
      </c>
      <c r="CT570" s="16" t="s">
        <v>167</v>
      </c>
      <c r="CU570" s="16" t="s">
        <v>385</v>
      </c>
      <c r="CV570" s="16" t="s">
        <v>351</v>
      </c>
    </row>
    <row r="571" spans="1:100" ht="15" customHeight="1">
      <c r="A571" t="s">
        <v>3724</v>
      </c>
      <c r="B571" s="3" t="s">
        <v>3725</v>
      </c>
      <c r="C571" s="16" t="s">
        <v>97</v>
      </c>
      <c r="D571" s="40" t="s">
        <v>3726</v>
      </c>
      <c r="E571" s="16" t="s">
        <v>97</v>
      </c>
      <c r="F571" s="131" t="s">
        <v>3727</v>
      </c>
      <c r="I571" s="100" t="s">
        <v>342</v>
      </c>
      <c r="J571" s="16" t="s">
        <v>101</v>
      </c>
      <c r="K571" s="16"/>
      <c r="L571" s="3" t="s">
        <v>102</v>
      </c>
      <c r="M571" s="3" t="s">
        <v>103</v>
      </c>
      <c r="N571" s="3" t="s">
        <v>104</v>
      </c>
      <c r="O571" s="16" t="s">
        <v>105</v>
      </c>
      <c r="P571" s="3" t="s">
        <v>3728</v>
      </c>
      <c r="Q571" s="3" t="s">
        <v>3728</v>
      </c>
      <c r="R571" s="3" t="s">
        <v>3728</v>
      </c>
      <c r="S571" t="s">
        <v>3724</v>
      </c>
      <c r="T571" s="130" t="s">
        <v>465</v>
      </c>
      <c r="U571" s="51">
        <v>5</v>
      </c>
      <c r="V571" s="58"/>
      <c r="W571" s="58"/>
      <c r="X571" s="59" t="s">
        <v>108</v>
      </c>
      <c r="Y571" s="93">
        <f>IF(AD571=0, 0, IF(OR(H571="", H571&lt;&gt;0), 1, 0))</f>
        <v>1</v>
      </c>
      <c r="Z571" s="3">
        <v>0</v>
      </c>
      <c r="AA571" s="3" t="s">
        <v>3729</v>
      </c>
      <c r="AD571" s="6">
        <f>ROUND((AG571*(1+AJ571)),2)</f>
        <v>170.15</v>
      </c>
      <c r="AE571" s="69">
        <v>193.90669996000003</v>
      </c>
      <c r="AF571" s="17">
        <f>(AE571*1)</f>
        <v>193.90669996000003</v>
      </c>
      <c r="AG571" s="6">
        <f>ROUND((AE571*AI571),2)</f>
        <v>126.04</v>
      </c>
      <c r="AH571" s="30" t="s">
        <v>110</v>
      </c>
      <c r="AI571" s="3">
        <v>0.65</v>
      </c>
      <c r="AJ571" s="18">
        <v>0.35</v>
      </c>
      <c r="AK571" s="6">
        <f>ROUND((AD571-(AD571*BG571)),2)</f>
        <v>168.45</v>
      </c>
      <c r="AL571" s="6">
        <f>ROUND((AD571-(AD571*BH571)),2)</f>
        <v>166.75</v>
      </c>
      <c r="AM571" s="6">
        <f>ROUND((AD571-(AD571*BI571)),2)</f>
        <v>165.05</v>
      </c>
      <c r="AN571" s="6">
        <f>ROUND((AD571-(AD571*BJ571)),2)</f>
        <v>165.05</v>
      </c>
      <c r="AO571" s="6">
        <f>ROUND((AD571-(AD571*BK571)),2)</f>
        <v>170.15</v>
      </c>
      <c r="BG571" s="12">
        <v>0.01</v>
      </c>
      <c r="BH571" s="12">
        <v>0.02</v>
      </c>
      <c r="BI571" s="12">
        <v>0.03</v>
      </c>
      <c r="BJ571" s="12">
        <v>0.03</v>
      </c>
      <c r="CC571" s="3" t="str">
        <f>IF(B571&lt;&gt;"",CONCATENATE(SUBSTITUTE(B571," ","-"),".jpg"),"")</f>
        <v>Allied-Moulded-AMU1086W.jpg</v>
      </c>
      <c r="CD571" s="16" t="s">
        <v>111</v>
      </c>
      <c r="CE571" s="3"/>
      <c r="CF571" s="3"/>
      <c r="CG571" s="3" t="s">
        <v>112</v>
      </c>
      <c r="CI571" s="3" t="s">
        <v>97</v>
      </c>
      <c r="CJ571" s="3" t="s">
        <v>467</v>
      </c>
      <c r="CK571" s="3" t="s">
        <v>114</v>
      </c>
      <c r="CL571" s="3" t="s">
        <v>115</v>
      </c>
      <c r="CM571" s="16"/>
      <c r="CN571" s="16" t="s">
        <v>349</v>
      </c>
      <c r="CO571" s="3" t="s">
        <v>118</v>
      </c>
      <c r="CP571" s="3" t="s">
        <v>139</v>
      </c>
      <c r="CQ571" s="3" t="s">
        <v>120</v>
      </c>
      <c r="CR571" s="3" t="s">
        <v>140</v>
      </c>
      <c r="CS571" s="3" t="s">
        <v>384</v>
      </c>
      <c r="CT571" s="16" t="s">
        <v>167</v>
      </c>
      <c r="CU571" s="16" t="s">
        <v>385</v>
      </c>
      <c r="CV571" s="16" t="s">
        <v>351</v>
      </c>
    </row>
    <row r="572" spans="1:100" ht="15" customHeight="1">
      <c r="A572" t="s">
        <v>3730</v>
      </c>
      <c r="B572" s="3" t="s">
        <v>3731</v>
      </c>
      <c r="C572" s="16" t="s">
        <v>97</v>
      </c>
      <c r="D572" s="39" t="s">
        <v>3732</v>
      </c>
      <c r="E572" s="16" t="s">
        <v>97</v>
      </c>
      <c r="F572" s="131" t="s">
        <v>3733</v>
      </c>
      <c r="I572" s="100" t="s">
        <v>342</v>
      </c>
      <c r="J572" s="16" t="s">
        <v>101</v>
      </c>
      <c r="K572" s="16"/>
      <c r="L572" s="3" t="s">
        <v>102</v>
      </c>
      <c r="M572" s="3" t="s">
        <v>103</v>
      </c>
      <c r="N572" s="3" t="s">
        <v>104</v>
      </c>
      <c r="O572" s="16" t="s">
        <v>105</v>
      </c>
      <c r="P572" s="3" t="s">
        <v>3734</v>
      </c>
      <c r="Q572" s="3" t="s">
        <v>3734</v>
      </c>
      <c r="R572" s="3" t="s">
        <v>3734</v>
      </c>
      <c r="S572" t="s">
        <v>3730</v>
      </c>
      <c r="T572" s="130" t="s">
        <v>465</v>
      </c>
      <c r="U572" s="50">
        <v>5</v>
      </c>
      <c r="V572" s="54"/>
      <c r="W572" s="54"/>
      <c r="X572" s="59" t="s">
        <v>108</v>
      </c>
      <c r="Y572" s="93">
        <f>IF(AD572=0, 0, IF(OR(H572="", H572&lt;&gt;0), 1, 0))</f>
        <v>1</v>
      </c>
      <c r="Z572" s="3">
        <v>0</v>
      </c>
      <c r="AA572" s="3" t="s">
        <v>3735</v>
      </c>
      <c r="AD572" s="6">
        <f>ROUND((AG572*(1+AJ572)),2)</f>
        <v>174.87</v>
      </c>
      <c r="AE572" s="69">
        <v>199.27116656000001</v>
      </c>
      <c r="AF572" s="17">
        <f>(AE572*1)</f>
        <v>199.27116656000001</v>
      </c>
      <c r="AG572" s="6">
        <f>ROUND((AE572*AI572),2)</f>
        <v>129.53</v>
      </c>
      <c r="AH572" s="30" t="s">
        <v>110</v>
      </c>
      <c r="AI572" s="3">
        <v>0.65</v>
      </c>
      <c r="AJ572" s="18">
        <v>0.35</v>
      </c>
      <c r="AK572" s="6">
        <f>ROUND((AD572-(AD572*BG572)),2)</f>
        <v>173.12</v>
      </c>
      <c r="AL572" s="6">
        <f>ROUND((AD572-(AD572*BH572)),2)</f>
        <v>171.37</v>
      </c>
      <c r="AM572" s="6">
        <f>ROUND((AD572-(AD572*BI572)),2)</f>
        <v>169.62</v>
      </c>
      <c r="AN572" s="6">
        <f>ROUND((AD572-(AD572*BJ572)),2)</f>
        <v>169.62</v>
      </c>
      <c r="AO572" s="6">
        <f>ROUND((AD572-(AD572*BK572)),2)</f>
        <v>174.87</v>
      </c>
      <c r="BG572" s="12">
        <v>0.01</v>
      </c>
      <c r="BH572" s="12">
        <v>0.02</v>
      </c>
      <c r="BI572" s="12">
        <v>0.03</v>
      </c>
      <c r="BJ572" s="12">
        <v>0.03</v>
      </c>
      <c r="CC572" s="3" t="str">
        <f>IF(B572&lt;&gt;"",CONCATENATE(SUBSTITUTE(B572," ","-"),".jpg"),"")</f>
        <v>Allied-Moulded-AMU1086WF.jpg</v>
      </c>
      <c r="CD572" s="16" t="s">
        <v>111</v>
      </c>
      <c r="CE572" s="3"/>
      <c r="CF572" s="3"/>
      <c r="CG572" s="3" t="s">
        <v>112</v>
      </c>
      <c r="CI572" s="3" t="s">
        <v>97</v>
      </c>
      <c r="CJ572" s="3" t="s">
        <v>467</v>
      </c>
      <c r="CK572" s="3" t="s">
        <v>114</v>
      </c>
      <c r="CL572" s="3" t="s">
        <v>115</v>
      </c>
      <c r="CM572" s="16"/>
      <c r="CN572" s="16" t="s">
        <v>349</v>
      </c>
      <c r="CO572" s="3" t="s">
        <v>118</v>
      </c>
      <c r="CP572" s="3" t="s">
        <v>139</v>
      </c>
      <c r="CQ572" s="3" t="s">
        <v>120</v>
      </c>
      <c r="CR572" s="3" t="s">
        <v>140</v>
      </c>
      <c r="CS572" s="3" t="s">
        <v>384</v>
      </c>
      <c r="CT572" s="16" t="s">
        <v>167</v>
      </c>
      <c r="CU572" s="16" t="s">
        <v>385</v>
      </c>
      <c r="CV572" s="16" t="s">
        <v>351</v>
      </c>
    </row>
    <row r="573" spans="1:100" ht="15" customHeight="1">
      <c r="A573" t="s">
        <v>3736</v>
      </c>
      <c r="B573" s="3" t="s">
        <v>3737</v>
      </c>
      <c r="C573" s="16" t="s">
        <v>97</v>
      </c>
      <c r="D573" s="40" t="s">
        <v>3738</v>
      </c>
      <c r="E573" s="16" t="s">
        <v>97</v>
      </c>
      <c r="F573" s="131" t="s">
        <v>3739</v>
      </c>
      <c r="I573" s="100" t="s">
        <v>342</v>
      </c>
      <c r="J573" s="16" t="s">
        <v>101</v>
      </c>
      <c r="K573" s="16"/>
      <c r="L573" s="3" t="s">
        <v>102</v>
      </c>
      <c r="M573" s="3" t="s">
        <v>103</v>
      </c>
      <c r="N573" s="3" t="s">
        <v>104</v>
      </c>
      <c r="O573" s="16" t="s">
        <v>105</v>
      </c>
      <c r="P573" s="3" t="s">
        <v>3740</v>
      </c>
      <c r="Q573" s="3" t="s">
        <v>3740</v>
      </c>
      <c r="R573" s="3" t="s">
        <v>3740</v>
      </c>
      <c r="S573" t="s">
        <v>3736</v>
      </c>
      <c r="T573" s="130" t="s">
        <v>465</v>
      </c>
      <c r="U573" s="35">
        <v>5</v>
      </c>
      <c r="V573" s="40"/>
      <c r="W573" s="40"/>
      <c r="X573" s="59" t="s">
        <v>108</v>
      </c>
      <c r="Y573" s="93">
        <f>IF(AD573=0, 0, IF(OR(H573="", H573&lt;&gt;0), 1, 0))</f>
        <v>1</v>
      </c>
      <c r="Z573" s="3">
        <v>0</v>
      </c>
      <c r="AA573" s="3" t="s">
        <v>3741</v>
      </c>
      <c r="AD573" s="6">
        <f>ROUND((AG573*(1+AJ573)),2)</f>
        <v>175.04</v>
      </c>
      <c r="AE573" s="69">
        <v>199.47617776000004</v>
      </c>
      <c r="AF573" s="17">
        <f>(AE573*1)</f>
        <v>199.47617776000004</v>
      </c>
      <c r="AG573" s="6">
        <f>ROUND((AE573*AI573),2)</f>
        <v>129.66</v>
      </c>
      <c r="AH573" s="30" t="s">
        <v>110</v>
      </c>
      <c r="AI573" s="3">
        <v>0.65</v>
      </c>
      <c r="AJ573" s="18">
        <v>0.35</v>
      </c>
      <c r="AK573" s="6">
        <f>ROUND((AD573-(AD573*BG573)),2)</f>
        <v>173.29</v>
      </c>
      <c r="AL573" s="6">
        <f>ROUND((AD573-(AD573*BH573)),2)</f>
        <v>171.54</v>
      </c>
      <c r="AM573" s="6">
        <f>ROUND((AD573-(AD573*BI573)),2)</f>
        <v>169.79</v>
      </c>
      <c r="AN573" s="6">
        <f>ROUND((AD573-(AD573*BJ573)),2)</f>
        <v>169.79</v>
      </c>
      <c r="AO573" s="6">
        <f>ROUND((AD573-(AD573*BK573)),2)</f>
        <v>175.04</v>
      </c>
      <c r="BG573" s="12">
        <v>0.01</v>
      </c>
      <c r="BH573" s="12">
        <v>0.02</v>
      </c>
      <c r="BI573" s="12">
        <v>0.03</v>
      </c>
      <c r="BJ573" s="12">
        <v>0.03</v>
      </c>
      <c r="CC573" s="3" t="str">
        <f>IF(B573&lt;&gt;"",CONCATENATE(SUBSTITUTE(B573," ","-"),".jpg"),"")</f>
        <v>Allied-Moulded-AMU1086HW.jpg</v>
      </c>
      <c r="CD573" s="16" t="s">
        <v>111</v>
      </c>
      <c r="CE573" s="3"/>
      <c r="CF573" s="3"/>
      <c r="CG573" s="3" t="s">
        <v>112</v>
      </c>
      <c r="CI573" s="3" t="s">
        <v>97</v>
      </c>
      <c r="CJ573" s="3" t="s">
        <v>467</v>
      </c>
      <c r="CK573" s="3" t="s">
        <v>114</v>
      </c>
      <c r="CL573" s="3" t="s">
        <v>115</v>
      </c>
      <c r="CM573" s="3" t="s">
        <v>116</v>
      </c>
      <c r="CN573" s="16" t="s">
        <v>349</v>
      </c>
      <c r="CO573" s="3" t="s">
        <v>118</v>
      </c>
      <c r="CP573" s="3" t="s">
        <v>139</v>
      </c>
      <c r="CQ573" s="3" t="s">
        <v>120</v>
      </c>
      <c r="CR573" s="3" t="s">
        <v>140</v>
      </c>
      <c r="CS573" s="3" t="s">
        <v>384</v>
      </c>
      <c r="CT573" s="16" t="s">
        <v>167</v>
      </c>
      <c r="CU573" s="16" t="s">
        <v>385</v>
      </c>
      <c r="CV573" s="16" t="s">
        <v>351</v>
      </c>
    </row>
    <row r="574" spans="1:100" ht="15" customHeight="1">
      <c r="A574" t="s">
        <v>3742</v>
      </c>
      <c r="B574" s="3" t="s">
        <v>3743</v>
      </c>
      <c r="C574" s="16" t="s">
        <v>97</v>
      </c>
      <c r="D574" s="39" t="s">
        <v>3744</v>
      </c>
      <c r="E574" s="16" t="s">
        <v>97</v>
      </c>
      <c r="F574" s="131" t="s">
        <v>3745</v>
      </c>
      <c r="I574" s="100" t="s">
        <v>342</v>
      </c>
      <c r="J574" s="16" t="s">
        <v>101</v>
      </c>
      <c r="K574" s="16"/>
      <c r="L574" s="3" t="s">
        <v>102</v>
      </c>
      <c r="M574" s="3" t="s">
        <v>103</v>
      </c>
      <c r="N574" s="3" t="s">
        <v>104</v>
      </c>
      <c r="O574" s="16" t="s">
        <v>105</v>
      </c>
      <c r="P574" s="3" t="s">
        <v>3746</v>
      </c>
      <c r="Q574" s="3" t="s">
        <v>3746</v>
      </c>
      <c r="R574" s="3" t="s">
        <v>3746</v>
      </c>
      <c r="S574" t="s">
        <v>3742</v>
      </c>
      <c r="T574" s="130" t="s">
        <v>465</v>
      </c>
      <c r="U574" s="34">
        <v>5</v>
      </c>
      <c r="V574" s="39"/>
      <c r="W574" s="39"/>
      <c r="X574" s="59" t="s">
        <v>108</v>
      </c>
      <c r="Y574" s="93">
        <f>IF(AD574=0, 0, IF(OR(H574="", H574&lt;&gt;0), 1, 0))</f>
        <v>1</v>
      </c>
      <c r="Z574" s="3">
        <v>0</v>
      </c>
      <c r="AA574" s="3" t="s">
        <v>3747</v>
      </c>
      <c r="AD574" s="6">
        <f>ROUND((AG574*(1+AJ574)),2)</f>
        <v>179.85</v>
      </c>
      <c r="AE574" s="69">
        <v>204.96023457000004</v>
      </c>
      <c r="AF574" s="17">
        <f>(AE574*1)</f>
        <v>204.96023457000004</v>
      </c>
      <c r="AG574" s="6">
        <f>ROUND((AE574*AI574),2)</f>
        <v>133.22</v>
      </c>
      <c r="AH574" s="30" t="s">
        <v>110</v>
      </c>
      <c r="AI574" s="3">
        <v>0.65</v>
      </c>
      <c r="AJ574" s="18">
        <v>0.35</v>
      </c>
      <c r="AK574" s="6">
        <f>ROUND((AD574-(AD574*BG574)),2)</f>
        <v>178.05</v>
      </c>
      <c r="AL574" s="6">
        <f>ROUND((AD574-(AD574*BH574)),2)</f>
        <v>176.25</v>
      </c>
      <c r="AM574" s="6">
        <f>ROUND((AD574-(AD574*BI574)),2)</f>
        <v>174.45</v>
      </c>
      <c r="AN574" s="6">
        <f>ROUND((AD574-(AD574*BJ574)),2)</f>
        <v>174.45</v>
      </c>
      <c r="AO574" s="6">
        <f>ROUND((AD574-(AD574*BK574)),2)</f>
        <v>179.85</v>
      </c>
      <c r="BG574" s="12">
        <v>0.01</v>
      </c>
      <c r="BH574" s="12">
        <v>0.02</v>
      </c>
      <c r="BI574" s="12">
        <v>0.03</v>
      </c>
      <c r="BJ574" s="12">
        <v>0.03</v>
      </c>
      <c r="CC574" s="3" t="str">
        <f>IF(B574&lt;&gt;"",CONCATENATE(SUBSTITUTE(B574," ","-"),".jpg"),"")</f>
        <v>Allied-Moulded-AMU1086HWF.jpg</v>
      </c>
      <c r="CD574" s="16" t="s">
        <v>111</v>
      </c>
      <c r="CE574" s="3"/>
      <c r="CF574" s="3"/>
      <c r="CG574" s="3" t="s">
        <v>112</v>
      </c>
      <c r="CI574" s="3" t="s">
        <v>97</v>
      </c>
      <c r="CJ574" s="3" t="s">
        <v>467</v>
      </c>
      <c r="CK574" s="3" t="s">
        <v>114</v>
      </c>
      <c r="CL574" s="3" t="s">
        <v>115</v>
      </c>
      <c r="CM574" s="3" t="s">
        <v>116</v>
      </c>
      <c r="CN574" s="16" t="s">
        <v>349</v>
      </c>
      <c r="CO574" s="3" t="s">
        <v>118</v>
      </c>
      <c r="CP574" s="3" t="s">
        <v>139</v>
      </c>
      <c r="CQ574" s="3" t="s">
        <v>120</v>
      </c>
      <c r="CR574" s="3" t="s">
        <v>140</v>
      </c>
      <c r="CS574" s="3" t="s">
        <v>384</v>
      </c>
      <c r="CT574" s="16" t="s">
        <v>167</v>
      </c>
      <c r="CU574" s="16" t="s">
        <v>385</v>
      </c>
      <c r="CV574" s="16" t="s">
        <v>351</v>
      </c>
    </row>
    <row r="575" spans="1:100" ht="15" customHeight="1">
      <c r="A575" t="s">
        <v>3748</v>
      </c>
      <c r="B575" s="3" t="s">
        <v>3749</v>
      </c>
      <c r="C575" s="16" t="s">
        <v>97</v>
      </c>
      <c r="D575" s="39" t="s">
        <v>3750</v>
      </c>
      <c r="E575" s="16" t="s">
        <v>97</v>
      </c>
      <c r="F575" s="131" t="s">
        <v>3751</v>
      </c>
      <c r="I575" s="100" t="s">
        <v>342</v>
      </c>
      <c r="J575" s="16" t="s">
        <v>101</v>
      </c>
      <c r="K575" s="16"/>
      <c r="L575" s="3" t="s">
        <v>102</v>
      </c>
      <c r="M575" s="3" t="s">
        <v>103</v>
      </c>
      <c r="N575" s="3" t="s">
        <v>104</v>
      </c>
      <c r="O575" s="16" t="s">
        <v>105</v>
      </c>
      <c r="P575" s="3" t="s">
        <v>3752</v>
      </c>
      <c r="Q575" s="3" t="s">
        <v>3752</v>
      </c>
      <c r="R575" s="3" t="s">
        <v>3752</v>
      </c>
      <c r="S575" t="s">
        <v>3748</v>
      </c>
      <c r="T575" s="130" t="s">
        <v>465</v>
      </c>
      <c r="U575" s="34">
        <v>5</v>
      </c>
      <c r="V575" s="39"/>
      <c r="W575" s="39"/>
      <c r="X575" s="59" t="s">
        <v>108</v>
      </c>
      <c r="Y575" s="93">
        <f>IF(AD575=0, 0, IF(OR(H575="", H575&lt;&gt;0), 1, 0))</f>
        <v>1</v>
      </c>
      <c r="Z575" s="3">
        <v>0</v>
      </c>
      <c r="AA575" s="3" t="s">
        <v>3753</v>
      </c>
      <c r="AD575" s="6">
        <f>ROUND((AG575*(1+AJ575)),2)</f>
        <v>189.81</v>
      </c>
      <c r="AE575" s="69">
        <v>216.30420446000002</v>
      </c>
      <c r="AF575" s="17">
        <f>(AE575*1)</f>
        <v>216.30420446000002</v>
      </c>
      <c r="AG575" s="6">
        <f>ROUND((AE575*AI575),2)</f>
        <v>140.6</v>
      </c>
      <c r="AH575" s="30" t="s">
        <v>110</v>
      </c>
      <c r="AI575" s="3">
        <v>0.65</v>
      </c>
      <c r="AJ575" s="18">
        <v>0.35</v>
      </c>
      <c r="AK575" s="6">
        <f>ROUND((AD575-(AD575*BG575)),2)</f>
        <v>187.91</v>
      </c>
      <c r="AL575" s="6">
        <f>ROUND((AD575-(AD575*BH575)),2)</f>
        <v>186.01</v>
      </c>
      <c r="AM575" s="6">
        <f>ROUND((AD575-(AD575*BI575)),2)</f>
        <v>184.12</v>
      </c>
      <c r="AN575" s="6">
        <f>ROUND((AD575-(AD575*BJ575)),2)</f>
        <v>184.12</v>
      </c>
      <c r="AO575" s="6">
        <f>ROUND((AD575-(AD575*BK575)),2)</f>
        <v>189.81</v>
      </c>
      <c r="BG575" s="12">
        <v>0.01</v>
      </c>
      <c r="BH575" s="12">
        <v>0.02</v>
      </c>
      <c r="BI575" s="12">
        <v>0.03</v>
      </c>
      <c r="BJ575" s="12">
        <v>0.03</v>
      </c>
      <c r="CC575" s="3" t="str">
        <f>IF(B575&lt;&gt;"",CONCATENATE(SUBSTITUTE(B575," ","-"),".jpg"),"")</f>
        <v>Allied-Moulded-AMU1086LW.jpg</v>
      </c>
      <c r="CD575" s="16" t="s">
        <v>111</v>
      </c>
      <c r="CE575" s="3"/>
      <c r="CF575" s="3"/>
      <c r="CG575" s="3" t="s">
        <v>112</v>
      </c>
      <c r="CI575" s="3" t="s">
        <v>97</v>
      </c>
      <c r="CJ575" s="3" t="s">
        <v>467</v>
      </c>
      <c r="CK575" s="3" t="s">
        <v>114</v>
      </c>
      <c r="CL575" s="3" t="s">
        <v>115</v>
      </c>
      <c r="CM575" s="3" t="s">
        <v>116</v>
      </c>
      <c r="CN575" t="s">
        <v>117</v>
      </c>
      <c r="CO575" s="3" t="s">
        <v>118</v>
      </c>
      <c r="CP575" s="3" t="s">
        <v>139</v>
      </c>
      <c r="CQ575" s="3" t="s">
        <v>120</v>
      </c>
      <c r="CR575" s="3" t="s">
        <v>140</v>
      </c>
      <c r="CS575" s="16" t="s">
        <v>122</v>
      </c>
      <c r="CT575" s="16" t="s">
        <v>167</v>
      </c>
      <c r="CU575" s="16" t="s">
        <v>385</v>
      </c>
      <c r="CV575" s="16" t="s">
        <v>351</v>
      </c>
    </row>
    <row r="576" spans="1:100" ht="15" customHeight="1">
      <c r="A576" t="s">
        <v>3754</v>
      </c>
      <c r="B576" s="3" t="s">
        <v>3755</v>
      </c>
      <c r="C576" s="16" t="s">
        <v>97</v>
      </c>
      <c r="D576" s="40" t="s">
        <v>3756</v>
      </c>
      <c r="E576" s="16" t="s">
        <v>97</v>
      </c>
      <c r="F576" s="131" t="s">
        <v>3757</v>
      </c>
      <c r="I576" s="100" t="s">
        <v>342</v>
      </c>
      <c r="J576" s="16" t="s">
        <v>101</v>
      </c>
      <c r="K576" s="16"/>
      <c r="L576" s="3" t="s">
        <v>102</v>
      </c>
      <c r="M576" s="3" t="s">
        <v>103</v>
      </c>
      <c r="N576" s="3" t="s">
        <v>104</v>
      </c>
      <c r="O576" s="16" t="s">
        <v>105</v>
      </c>
      <c r="P576" s="3" t="s">
        <v>3758</v>
      </c>
      <c r="Q576" s="3" t="s">
        <v>3758</v>
      </c>
      <c r="R576" s="3" t="s">
        <v>3758</v>
      </c>
      <c r="S576" t="s">
        <v>3754</v>
      </c>
      <c r="T576" s="130" t="s">
        <v>465</v>
      </c>
      <c r="U576" s="35">
        <v>5</v>
      </c>
      <c r="V576" s="40"/>
      <c r="W576" s="40"/>
      <c r="X576" s="59" t="s">
        <v>108</v>
      </c>
      <c r="Y576" s="93">
        <f>IF(AD576=0, 0, IF(OR(H576="", H576&lt;&gt;0), 1, 0))</f>
        <v>1</v>
      </c>
      <c r="Z576" s="3">
        <v>0</v>
      </c>
      <c r="AA576" s="3" t="s">
        <v>3759</v>
      </c>
      <c r="AD576" s="6">
        <f>ROUND((AG576*(1+AJ576)),2)</f>
        <v>195.01</v>
      </c>
      <c r="AE576" s="69">
        <v>222.23245288999999</v>
      </c>
      <c r="AF576" s="17">
        <f>(AE576*1)</f>
        <v>222.23245288999999</v>
      </c>
      <c r="AG576" s="6">
        <f>ROUND((AE576*AI576),2)</f>
        <v>144.44999999999999</v>
      </c>
      <c r="AH576" s="30" t="s">
        <v>110</v>
      </c>
      <c r="AI576" s="3">
        <v>0.65</v>
      </c>
      <c r="AJ576" s="18">
        <v>0.35</v>
      </c>
      <c r="AK576" s="6">
        <f>ROUND((AD576-(AD576*BG576)),2)</f>
        <v>193.06</v>
      </c>
      <c r="AL576" s="6">
        <f>ROUND((AD576-(AD576*BH576)),2)</f>
        <v>191.11</v>
      </c>
      <c r="AM576" s="6">
        <f>ROUND((AD576-(AD576*BI576)),2)</f>
        <v>189.16</v>
      </c>
      <c r="AN576" s="6">
        <f>ROUND((AD576-(AD576*BJ576)),2)</f>
        <v>189.16</v>
      </c>
      <c r="AO576" s="6">
        <f>ROUND((AD576-(AD576*BK576)),2)</f>
        <v>195.01</v>
      </c>
      <c r="BG576" s="12">
        <v>0.01</v>
      </c>
      <c r="BH576" s="12">
        <v>0.02</v>
      </c>
      <c r="BI576" s="12">
        <v>0.03</v>
      </c>
      <c r="BJ576" s="12">
        <v>0.03</v>
      </c>
      <c r="CC576" s="3" t="str">
        <f>IF(B576&lt;&gt;"",CONCATENATE(SUBSTITUTE(B576," ","-"),".jpg"),"")</f>
        <v>Allied-Moulded-AMU1086LWF.jpg</v>
      </c>
      <c r="CD576" s="16" t="s">
        <v>111</v>
      </c>
      <c r="CE576" s="3"/>
      <c r="CF576" s="3"/>
      <c r="CG576" s="3" t="s">
        <v>112</v>
      </c>
      <c r="CI576" s="3" t="s">
        <v>97</v>
      </c>
      <c r="CJ576" s="3" t="s">
        <v>467</v>
      </c>
      <c r="CK576" s="3" t="s">
        <v>114</v>
      </c>
      <c r="CL576" s="3" t="s">
        <v>115</v>
      </c>
      <c r="CM576" s="3" t="s">
        <v>116</v>
      </c>
      <c r="CN576" t="s">
        <v>117</v>
      </c>
      <c r="CO576" s="3" t="s">
        <v>118</v>
      </c>
      <c r="CP576" s="3" t="s">
        <v>139</v>
      </c>
      <c r="CQ576" s="3" t="s">
        <v>120</v>
      </c>
      <c r="CR576" s="3" t="s">
        <v>140</v>
      </c>
      <c r="CS576" s="16" t="s">
        <v>122</v>
      </c>
      <c r="CT576" s="16" t="s">
        <v>167</v>
      </c>
      <c r="CU576" s="16" t="s">
        <v>385</v>
      </c>
      <c r="CV576" s="16" t="s">
        <v>351</v>
      </c>
    </row>
    <row r="577" spans="1:100" ht="15" customHeight="1">
      <c r="A577" t="s">
        <v>3760</v>
      </c>
      <c r="B577" s="3" t="s">
        <v>3761</v>
      </c>
      <c r="C577" s="16" t="s">
        <v>97</v>
      </c>
      <c r="D577" s="40" t="s">
        <v>3762</v>
      </c>
      <c r="E577" s="16" t="s">
        <v>97</v>
      </c>
      <c r="F577" s="131" t="s">
        <v>3763</v>
      </c>
      <c r="I577" s="100" t="s">
        <v>342</v>
      </c>
      <c r="J577" s="16" t="s">
        <v>101</v>
      </c>
      <c r="K577" s="16"/>
      <c r="L577" s="3" t="s">
        <v>102</v>
      </c>
      <c r="M577" s="3" t="s">
        <v>103</v>
      </c>
      <c r="N577" s="3" t="s">
        <v>104</v>
      </c>
      <c r="O577" s="16" t="s">
        <v>105</v>
      </c>
      <c r="P577" s="3" t="s">
        <v>3764</v>
      </c>
      <c r="Q577" s="3" t="s">
        <v>3764</v>
      </c>
      <c r="R577" s="3" t="s">
        <v>3764</v>
      </c>
      <c r="S577" t="s">
        <v>3760</v>
      </c>
      <c r="T577" s="130" t="s">
        <v>465</v>
      </c>
      <c r="U577" s="35">
        <v>5</v>
      </c>
      <c r="V577" s="40"/>
      <c r="W577" s="40"/>
      <c r="X577" s="59" t="s">
        <v>108</v>
      </c>
      <c r="Y577" s="93">
        <f>IF(AD577=0, 0, IF(OR(H577="", H577&lt;&gt;0), 1, 0))</f>
        <v>1</v>
      </c>
      <c r="Z577" s="3">
        <v>0</v>
      </c>
      <c r="AA577" s="3" t="s">
        <v>3765</v>
      </c>
      <c r="AD577" s="6">
        <f>ROUND((AG577*(1+AJ577)),2)</f>
        <v>180.31</v>
      </c>
      <c r="AE577" s="69">
        <v>205.47276462999997</v>
      </c>
      <c r="AF577" s="17">
        <f>(AE577*1)</f>
        <v>205.47276462999997</v>
      </c>
      <c r="AG577" s="6">
        <f>ROUND((AE577*AI577),2)</f>
        <v>133.56</v>
      </c>
      <c r="AH577" s="30" t="s">
        <v>110</v>
      </c>
      <c r="AI577" s="3">
        <v>0.65</v>
      </c>
      <c r="AJ577" s="18">
        <v>0.35</v>
      </c>
      <c r="AK577" s="6">
        <f>ROUND((AD577-(AD577*BG577)),2)</f>
        <v>178.51</v>
      </c>
      <c r="AL577" s="6">
        <f>ROUND((AD577-(AD577*BH577)),2)</f>
        <v>176.7</v>
      </c>
      <c r="AM577" s="6">
        <f>ROUND((AD577-(AD577*BI577)),2)</f>
        <v>174.9</v>
      </c>
      <c r="AN577" s="6">
        <f>ROUND((AD577-(AD577*BJ577)),2)</f>
        <v>174.9</v>
      </c>
      <c r="AO577" s="6">
        <f>ROUND((AD577-(AD577*BK577)),2)</f>
        <v>180.31</v>
      </c>
      <c r="BG577" s="12">
        <v>0.01</v>
      </c>
      <c r="BH577" s="12">
        <v>0.02</v>
      </c>
      <c r="BI577" s="12">
        <v>0.03</v>
      </c>
      <c r="BJ577" s="12">
        <v>0.03</v>
      </c>
      <c r="CC577" s="3" t="str">
        <f>IF(B577&lt;&gt;"",CONCATENATE(SUBSTITUTE(B577," ","-"),".jpg"),"")</f>
        <v>Allied-Moulded-AMU1086NLW.jpg</v>
      </c>
      <c r="CD577" s="16" t="s">
        <v>111</v>
      </c>
      <c r="CE577" s="3"/>
      <c r="CF577" s="3"/>
      <c r="CG577" s="3" t="s">
        <v>112</v>
      </c>
      <c r="CI577" s="3" t="s">
        <v>97</v>
      </c>
      <c r="CJ577" s="3" t="s">
        <v>467</v>
      </c>
      <c r="CK577" s="3" t="s">
        <v>114</v>
      </c>
      <c r="CL577" s="3" t="s">
        <v>115</v>
      </c>
      <c r="CM577" s="3" t="s">
        <v>116</v>
      </c>
      <c r="CN577" t="s">
        <v>117</v>
      </c>
      <c r="CO577" s="3" t="s">
        <v>118</v>
      </c>
      <c r="CP577" s="3" t="s">
        <v>139</v>
      </c>
      <c r="CQ577" s="3" t="s">
        <v>120</v>
      </c>
      <c r="CR577" s="16" t="s">
        <v>121</v>
      </c>
      <c r="CS577" s="16" t="s">
        <v>122</v>
      </c>
      <c r="CT577" s="16" t="s">
        <v>167</v>
      </c>
      <c r="CU577" s="16" t="s">
        <v>385</v>
      </c>
      <c r="CV577" s="16" t="s">
        <v>351</v>
      </c>
    </row>
    <row r="578" spans="1:100" ht="15" customHeight="1">
      <c r="A578" t="s">
        <v>3766</v>
      </c>
      <c r="B578" s="3" t="s">
        <v>3767</v>
      </c>
      <c r="C578" s="16" t="s">
        <v>97</v>
      </c>
      <c r="D578" s="39" t="s">
        <v>3768</v>
      </c>
      <c r="E578" s="16" t="s">
        <v>97</v>
      </c>
      <c r="F578" s="131" t="s">
        <v>3769</v>
      </c>
      <c r="I578" s="100" t="s">
        <v>342</v>
      </c>
      <c r="J578" s="16" t="s">
        <v>101</v>
      </c>
      <c r="K578" s="16"/>
      <c r="L578" s="3" t="s">
        <v>102</v>
      </c>
      <c r="M578" s="3" t="s">
        <v>103</v>
      </c>
      <c r="N578" s="3" t="s">
        <v>104</v>
      </c>
      <c r="O578" s="16" t="s">
        <v>105</v>
      </c>
      <c r="P578" s="3" t="s">
        <v>3770</v>
      </c>
      <c r="Q578" s="3" t="s">
        <v>3770</v>
      </c>
      <c r="R578" s="3" t="s">
        <v>3770</v>
      </c>
      <c r="S578" t="s">
        <v>3766</v>
      </c>
      <c r="T578" s="130" t="s">
        <v>465</v>
      </c>
      <c r="U578" s="34">
        <v>5</v>
      </c>
      <c r="V578" s="39"/>
      <c r="W578" s="39"/>
      <c r="X578" s="59" t="s">
        <v>108</v>
      </c>
      <c r="Y578" s="93">
        <f>IF(AD578=0, 0, IF(OR(H578="", H578&lt;&gt;0), 1, 0))</f>
        <v>1</v>
      </c>
      <c r="Z578" s="3">
        <v>0</v>
      </c>
      <c r="AA578" s="3" t="s">
        <v>3771</v>
      </c>
      <c r="AD578" s="6">
        <f>ROUND((AG578*(1+AJ578)),2)</f>
        <v>185.26</v>
      </c>
      <c r="AE578" s="69">
        <v>211.12766445000003</v>
      </c>
      <c r="AF578" s="17">
        <f>(AE578*1)</f>
        <v>211.12766445000003</v>
      </c>
      <c r="AG578" s="6">
        <f>ROUND((AE578*AI578),2)</f>
        <v>137.22999999999999</v>
      </c>
      <c r="AH578" s="30" t="s">
        <v>110</v>
      </c>
      <c r="AI578" s="3">
        <v>0.65</v>
      </c>
      <c r="AJ578" s="18">
        <v>0.35</v>
      </c>
      <c r="AK578" s="6">
        <f>ROUND((AD578-(AD578*BG578)),2)</f>
        <v>183.41</v>
      </c>
      <c r="AL578" s="6">
        <f>ROUND((AD578-(AD578*BH578)),2)</f>
        <v>181.55</v>
      </c>
      <c r="AM578" s="6">
        <f>ROUND((AD578-(AD578*BI578)),2)</f>
        <v>179.7</v>
      </c>
      <c r="AN578" s="6">
        <f>ROUND((AD578-(AD578*BJ578)),2)</f>
        <v>179.7</v>
      </c>
      <c r="AO578" s="6">
        <f>ROUND((AD578-(AD578*BK578)),2)</f>
        <v>185.26</v>
      </c>
      <c r="BG578" s="12">
        <v>0.01</v>
      </c>
      <c r="BH578" s="12">
        <v>0.02</v>
      </c>
      <c r="BI578" s="12">
        <v>0.03</v>
      </c>
      <c r="BJ578" s="12">
        <v>0.03</v>
      </c>
      <c r="CC578" s="3" t="str">
        <f>IF(B578&lt;&gt;"",CONCATENATE(SUBSTITUTE(B578," ","-"),".jpg"),"")</f>
        <v>Allied-Moulded-AMU1086NLWF.jpg</v>
      </c>
      <c r="CD578" s="16" t="s">
        <v>111</v>
      </c>
      <c r="CE578" s="3"/>
      <c r="CF578" s="3"/>
      <c r="CG578" s="3" t="s">
        <v>112</v>
      </c>
      <c r="CI578" s="3" t="s">
        <v>97</v>
      </c>
      <c r="CJ578" s="3" t="s">
        <v>467</v>
      </c>
      <c r="CK578" s="3" t="s">
        <v>114</v>
      </c>
      <c r="CL578" s="3" t="s">
        <v>115</v>
      </c>
      <c r="CM578" s="3" t="s">
        <v>116</v>
      </c>
      <c r="CN578" t="s">
        <v>117</v>
      </c>
      <c r="CO578" s="3" t="s">
        <v>118</v>
      </c>
      <c r="CP578" s="3" t="s">
        <v>139</v>
      </c>
      <c r="CQ578" s="3" t="s">
        <v>120</v>
      </c>
      <c r="CR578" s="16" t="s">
        <v>121</v>
      </c>
      <c r="CS578" s="16" t="s">
        <v>122</v>
      </c>
      <c r="CT578" s="16" t="s">
        <v>167</v>
      </c>
      <c r="CU578" s="16" t="s">
        <v>385</v>
      </c>
      <c r="CV578" s="16" t="s">
        <v>351</v>
      </c>
    </row>
    <row r="579" spans="1:100" ht="15" customHeight="1">
      <c r="A579" t="s">
        <v>3772</v>
      </c>
      <c r="B579" s="3" t="s">
        <v>3773</v>
      </c>
      <c r="C579" s="16" t="s">
        <v>97</v>
      </c>
      <c r="D579" s="39" t="s">
        <v>3774</v>
      </c>
      <c r="E579" s="16" t="s">
        <v>97</v>
      </c>
      <c r="F579" s="131" t="s">
        <v>3775</v>
      </c>
      <c r="I579" s="100" t="s">
        <v>342</v>
      </c>
      <c r="J579" s="16" t="s">
        <v>101</v>
      </c>
      <c r="K579" s="16"/>
      <c r="L579" s="3" t="s">
        <v>102</v>
      </c>
      <c r="M579" s="3" t="s">
        <v>103</v>
      </c>
      <c r="N579" s="3" t="s">
        <v>104</v>
      </c>
      <c r="O579" s="16" t="s">
        <v>105</v>
      </c>
      <c r="P579" s="3" t="s">
        <v>3776</v>
      </c>
      <c r="Q579" s="3" t="s">
        <v>3776</v>
      </c>
      <c r="R579" s="3" t="s">
        <v>3776</v>
      </c>
      <c r="S579" t="s">
        <v>3772</v>
      </c>
      <c r="T579" s="130" t="s">
        <v>465</v>
      </c>
      <c r="U579" s="34">
        <v>5</v>
      </c>
      <c r="V579" s="39"/>
      <c r="W579" s="39"/>
      <c r="X579" s="59" t="s">
        <v>108</v>
      </c>
      <c r="Y579" s="93">
        <f>IF(AD579=0, 0, IF(OR(H579="", H579&lt;&gt;0), 1, 0))</f>
        <v>1</v>
      </c>
      <c r="Z579" s="3">
        <v>0</v>
      </c>
      <c r="AA579" s="3" t="s">
        <v>3777</v>
      </c>
      <c r="AD579" s="6">
        <f>ROUND((AG579*(1+AJ579)),2)</f>
        <v>189.81</v>
      </c>
      <c r="AE579" s="69">
        <v>216.30420446000002</v>
      </c>
      <c r="AF579" s="17">
        <f>(AE579*1)</f>
        <v>216.30420446000002</v>
      </c>
      <c r="AG579" s="6">
        <f>ROUND((AE579*AI579),2)</f>
        <v>140.6</v>
      </c>
      <c r="AH579" s="30" t="s">
        <v>110</v>
      </c>
      <c r="AI579" s="3">
        <v>0.65</v>
      </c>
      <c r="AJ579" s="18">
        <v>0.35</v>
      </c>
      <c r="AK579" s="6">
        <f>ROUND((AD579-(AD579*BG579)),2)</f>
        <v>187.91</v>
      </c>
      <c r="AL579" s="6">
        <f>ROUND((AD579-(AD579*BH579)),2)</f>
        <v>186.01</v>
      </c>
      <c r="AM579" s="6">
        <f>ROUND((AD579-(AD579*BI579)),2)</f>
        <v>184.12</v>
      </c>
      <c r="AN579" s="6">
        <f>ROUND((AD579-(AD579*BJ579)),2)</f>
        <v>184.12</v>
      </c>
      <c r="AO579" s="6">
        <f>ROUND((AD579-(AD579*BK579)),2)</f>
        <v>189.81</v>
      </c>
      <c r="BG579" s="12">
        <v>0.01</v>
      </c>
      <c r="BH579" s="12">
        <v>0.02</v>
      </c>
      <c r="BI579" s="12">
        <v>0.03</v>
      </c>
      <c r="BJ579" s="12">
        <v>0.03</v>
      </c>
      <c r="CC579" s="3" t="str">
        <f>IF(B579&lt;&gt;"",CONCATENATE(SUBSTITUTE(B579," ","-"),".jpg"),"")</f>
        <v>Allied-Moulded-AMU1086TW.jpg</v>
      </c>
      <c r="CD579" s="16" t="s">
        <v>111</v>
      </c>
      <c r="CE579" s="3"/>
      <c r="CF579" s="3"/>
      <c r="CG579" s="3" t="s">
        <v>112</v>
      </c>
      <c r="CI579" s="3" t="s">
        <v>97</v>
      </c>
      <c r="CJ579" s="3" t="s">
        <v>467</v>
      </c>
      <c r="CK579" s="3" t="s">
        <v>114</v>
      </c>
      <c r="CL579" s="3" t="s">
        <v>115</v>
      </c>
      <c r="CM579" s="3" t="s">
        <v>116</v>
      </c>
      <c r="CN579" s="16" t="s">
        <v>132</v>
      </c>
      <c r="CO579" s="3" t="s">
        <v>118</v>
      </c>
      <c r="CP579" s="3" t="s">
        <v>139</v>
      </c>
      <c r="CQ579" s="3" t="s">
        <v>120</v>
      </c>
      <c r="CR579" s="16" t="s">
        <v>121</v>
      </c>
      <c r="CS579" s="16" t="s">
        <v>122</v>
      </c>
      <c r="CT579" s="16" t="s">
        <v>167</v>
      </c>
      <c r="CU579" s="16" t="s">
        <v>385</v>
      </c>
      <c r="CV579" s="16" t="s">
        <v>351</v>
      </c>
    </row>
    <row r="580" spans="1:100" ht="15" customHeight="1">
      <c r="A580" t="s">
        <v>3778</v>
      </c>
      <c r="B580" s="3" t="s">
        <v>3779</v>
      </c>
      <c r="C580" s="16" t="s">
        <v>97</v>
      </c>
      <c r="D580" s="40" t="s">
        <v>3780</v>
      </c>
      <c r="E580" s="16" t="s">
        <v>97</v>
      </c>
      <c r="F580" s="131" t="s">
        <v>3781</v>
      </c>
      <c r="I580" s="100" t="s">
        <v>342</v>
      </c>
      <c r="J580" s="16" t="s">
        <v>101</v>
      </c>
      <c r="K580" s="16"/>
      <c r="L580" s="3" t="s">
        <v>102</v>
      </c>
      <c r="M580" s="3" t="s">
        <v>103</v>
      </c>
      <c r="N580" s="3" t="s">
        <v>104</v>
      </c>
      <c r="O580" s="16" t="s">
        <v>105</v>
      </c>
      <c r="P580" s="3" t="s">
        <v>3782</v>
      </c>
      <c r="Q580" s="3" t="s">
        <v>3782</v>
      </c>
      <c r="R580" s="3" t="s">
        <v>3782</v>
      </c>
      <c r="S580" t="s">
        <v>3778</v>
      </c>
      <c r="T580" s="130" t="s">
        <v>465</v>
      </c>
      <c r="U580" s="35">
        <v>5</v>
      </c>
      <c r="V580" s="40"/>
      <c r="W580" s="40"/>
      <c r="X580" s="59" t="s">
        <v>108</v>
      </c>
      <c r="Y580" s="93">
        <f>IF(AD580=0, 0, IF(OR(H580="", H580&lt;&gt;0), 1, 0))</f>
        <v>1</v>
      </c>
      <c r="Z580" s="3">
        <v>0</v>
      </c>
      <c r="AA580" s="3" t="s">
        <v>3783</v>
      </c>
      <c r="AD580" s="6">
        <f>ROUND((AG580*(1+AJ580)),2)</f>
        <v>195.01</v>
      </c>
      <c r="AE580" s="69">
        <v>222.23245288999999</v>
      </c>
      <c r="AF580" s="17">
        <f>(AE580*1)</f>
        <v>222.23245288999999</v>
      </c>
      <c r="AG580" s="6">
        <f>ROUND((AE580*AI580),2)</f>
        <v>144.44999999999999</v>
      </c>
      <c r="AH580" s="30" t="s">
        <v>110</v>
      </c>
      <c r="AI580" s="3">
        <v>0.65</v>
      </c>
      <c r="AJ580" s="18">
        <v>0.35</v>
      </c>
      <c r="AK580" s="6">
        <f>ROUND((AD580-(AD580*BG580)),2)</f>
        <v>193.06</v>
      </c>
      <c r="AL580" s="6">
        <f>ROUND((AD580-(AD580*BH580)),2)</f>
        <v>191.11</v>
      </c>
      <c r="AM580" s="6">
        <f>ROUND((AD580-(AD580*BI580)),2)</f>
        <v>189.16</v>
      </c>
      <c r="AN580" s="6">
        <f>ROUND((AD580-(AD580*BJ580)),2)</f>
        <v>189.16</v>
      </c>
      <c r="AO580" s="6">
        <f>ROUND((AD580-(AD580*BK580)),2)</f>
        <v>195.01</v>
      </c>
      <c r="BG580" s="12">
        <v>0.01</v>
      </c>
      <c r="BH580" s="12">
        <v>0.02</v>
      </c>
      <c r="BI580" s="12">
        <v>0.03</v>
      </c>
      <c r="BJ580" s="12">
        <v>0.03</v>
      </c>
      <c r="CC580" s="3" t="str">
        <f>IF(B580&lt;&gt;"",CONCATENATE(SUBSTITUTE(B580," ","-"),".jpg"),"")</f>
        <v>Allied-Moulded-AMU1086TWF.jpg</v>
      </c>
      <c r="CD580" s="16" t="s">
        <v>111</v>
      </c>
      <c r="CE580" s="3"/>
      <c r="CF580" s="3"/>
      <c r="CG580" s="3" t="s">
        <v>112</v>
      </c>
      <c r="CI580" s="3" t="s">
        <v>97</v>
      </c>
      <c r="CJ580" s="3" t="s">
        <v>467</v>
      </c>
      <c r="CK580" s="3" t="s">
        <v>114</v>
      </c>
      <c r="CL580" s="3" t="s">
        <v>115</v>
      </c>
      <c r="CM580" s="3" t="s">
        <v>116</v>
      </c>
      <c r="CN580" s="16" t="s">
        <v>132</v>
      </c>
      <c r="CO580" s="3" t="s">
        <v>118</v>
      </c>
      <c r="CP580" s="3" t="s">
        <v>139</v>
      </c>
      <c r="CQ580" s="3" t="s">
        <v>120</v>
      </c>
      <c r="CR580" s="16" t="s">
        <v>121</v>
      </c>
      <c r="CS580" s="16" t="s">
        <v>122</v>
      </c>
      <c r="CT580" s="16" t="s">
        <v>167</v>
      </c>
      <c r="CU580" s="16" t="s">
        <v>385</v>
      </c>
      <c r="CV580" s="16" t="s">
        <v>351</v>
      </c>
    </row>
    <row r="581" spans="1:100" ht="15" customHeight="1">
      <c r="A581" t="s">
        <v>3784</v>
      </c>
      <c r="B581" s="3" t="s">
        <v>3785</v>
      </c>
      <c r="C581" s="16" t="s">
        <v>97</v>
      </c>
      <c r="D581" s="40" t="s">
        <v>3786</v>
      </c>
      <c r="E581" s="16" t="s">
        <v>97</v>
      </c>
      <c r="F581" s="131" t="s">
        <v>3787</v>
      </c>
      <c r="I581" s="100" t="s">
        <v>342</v>
      </c>
      <c r="J581" s="16" t="s">
        <v>101</v>
      </c>
      <c r="K581" s="16"/>
      <c r="L581" s="3" t="s">
        <v>102</v>
      </c>
      <c r="M581" s="3" t="s">
        <v>103</v>
      </c>
      <c r="N581" s="3" t="s">
        <v>104</v>
      </c>
      <c r="O581" s="16" t="s">
        <v>105</v>
      </c>
      <c r="P581" s="3" t="s">
        <v>3788</v>
      </c>
      <c r="Q581" s="3" t="s">
        <v>3788</v>
      </c>
      <c r="R581" s="3" t="s">
        <v>3788</v>
      </c>
      <c r="S581" t="s">
        <v>3784</v>
      </c>
      <c r="T581" s="130" t="s">
        <v>465</v>
      </c>
      <c r="U581" s="35">
        <v>5</v>
      </c>
      <c r="V581" s="40"/>
      <c r="W581" s="40"/>
      <c r="X581" s="59" t="s">
        <v>108</v>
      </c>
      <c r="Y581" s="93">
        <f>IF(AD581=0, 0, IF(OR(H581="", H581&lt;&gt;0), 1, 0))</f>
        <v>1</v>
      </c>
      <c r="Z581" s="3">
        <v>0</v>
      </c>
      <c r="AA581" s="3" t="s">
        <v>3789</v>
      </c>
      <c r="AD581" s="6">
        <f>ROUND((AG581*(1+AJ581)),2)</f>
        <v>105.39</v>
      </c>
      <c r="AE581" s="69">
        <v>120.10422223</v>
      </c>
      <c r="AF581" s="17">
        <f>(AE581*1)</f>
        <v>120.10422223</v>
      </c>
      <c r="AG581" s="6">
        <f>ROUND((AE581*AI581),2)</f>
        <v>78.069999999999993</v>
      </c>
      <c r="AH581" s="30" t="s">
        <v>110</v>
      </c>
      <c r="AI581" s="3">
        <v>0.65</v>
      </c>
      <c r="AJ581" s="18">
        <v>0.35</v>
      </c>
      <c r="AK581" s="6">
        <f>ROUND((AD581-(AD581*BG581)),2)</f>
        <v>104.34</v>
      </c>
      <c r="AL581" s="6">
        <f>ROUND((AD581-(AD581*BH581)),2)</f>
        <v>103.28</v>
      </c>
      <c r="AM581" s="6">
        <f>ROUND((AD581-(AD581*BI581)),2)</f>
        <v>102.23</v>
      </c>
      <c r="AN581" s="6">
        <f>ROUND((AD581-(AD581*BJ581)),2)</f>
        <v>102.23</v>
      </c>
      <c r="AO581" s="6">
        <f>ROUND((AD581-(AD581*BK581)),2)</f>
        <v>105.39</v>
      </c>
      <c r="BG581" s="12">
        <v>0.01</v>
      </c>
      <c r="BH581" s="12">
        <v>0.02</v>
      </c>
      <c r="BI581" s="12">
        <v>0.03</v>
      </c>
      <c r="BJ581" s="12">
        <v>0.03</v>
      </c>
      <c r="CC581" s="3" t="str">
        <f>IF(B581&lt;&gt;"",CONCATENATE(SUBSTITUTE(B581," ","-"),".jpg"),"")</f>
        <v>Allied-Moulded-AMU1086CC.jpg</v>
      </c>
      <c r="CD581" s="16" t="s">
        <v>111</v>
      </c>
      <c r="CE581" s="3"/>
      <c r="CF581" s="3"/>
      <c r="CG581" s="3" t="s">
        <v>112</v>
      </c>
      <c r="CI581" s="3" t="s">
        <v>97</v>
      </c>
      <c r="CJ581" s="3" t="s">
        <v>467</v>
      </c>
      <c r="CK581" s="3" t="s">
        <v>114</v>
      </c>
      <c r="CL581" s="3" t="s">
        <v>115</v>
      </c>
      <c r="CM581" s="16"/>
      <c r="CN581" s="16" t="s">
        <v>349</v>
      </c>
      <c r="CO581" s="3" t="s">
        <v>118</v>
      </c>
      <c r="CP581" s="3" t="s">
        <v>139</v>
      </c>
      <c r="CQ581" s="3" t="s">
        <v>120</v>
      </c>
      <c r="CR581" s="16" t="s">
        <v>121</v>
      </c>
      <c r="CS581" s="3" t="s">
        <v>384</v>
      </c>
      <c r="CT581" s="16" t="s">
        <v>167</v>
      </c>
      <c r="CU581" s="16" t="s">
        <v>385</v>
      </c>
      <c r="CV581" s="16" t="s">
        <v>351</v>
      </c>
    </row>
    <row r="582" spans="1:100" ht="15" customHeight="1">
      <c r="A582" t="s">
        <v>3790</v>
      </c>
      <c r="B582" s="3" t="s">
        <v>3791</v>
      </c>
      <c r="C582" s="16" t="s">
        <v>97</v>
      </c>
      <c r="D582" s="39" t="s">
        <v>3792</v>
      </c>
      <c r="E582" s="16" t="s">
        <v>97</v>
      </c>
      <c r="F582" s="131" t="s">
        <v>3793</v>
      </c>
      <c r="I582" s="100" t="s">
        <v>342</v>
      </c>
      <c r="J582" s="16" t="s">
        <v>101</v>
      </c>
      <c r="K582" s="16"/>
      <c r="L582" s="3" t="s">
        <v>102</v>
      </c>
      <c r="M582" s="3" t="s">
        <v>103</v>
      </c>
      <c r="N582" s="3" t="s">
        <v>104</v>
      </c>
      <c r="O582" s="16" t="s">
        <v>105</v>
      </c>
      <c r="P582" s="3" t="s">
        <v>3794</v>
      </c>
      <c r="Q582" s="3" t="s">
        <v>3794</v>
      </c>
      <c r="R582" s="3" t="s">
        <v>3794</v>
      </c>
      <c r="S582" t="s">
        <v>3790</v>
      </c>
      <c r="T582" s="130" t="s">
        <v>465</v>
      </c>
      <c r="U582" s="34">
        <v>5</v>
      </c>
      <c r="V582" s="39"/>
      <c r="W582" s="39"/>
      <c r="X582" s="59" t="s">
        <v>108</v>
      </c>
      <c r="Y582" s="93">
        <f>IF(AD582=0, 0, IF(OR(H582="", H582&lt;&gt;0), 1, 0))</f>
        <v>1</v>
      </c>
      <c r="Z582" s="3">
        <v>0</v>
      </c>
      <c r="AA582" s="3" t="s">
        <v>3795</v>
      </c>
      <c r="AD582" s="6">
        <f>ROUND((AG582*(1+AJ582)),2)</f>
        <v>107.77</v>
      </c>
      <c r="AE582" s="69">
        <v>122.80785275000002</v>
      </c>
      <c r="AF582" s="17">
        <f>(AE582*1)</f>
        <v>122.80785275000002</v>
      </c>
      <c r="AG582" s="6">
        <f>ROUND((AE582*AI582),2)</f>
        <v>79.83</v>
      </c>
      <c r="AH582" s="30" t="s">
        <v>110</v>
      </c>
      <c r="AI582" s="3">
        <v>0.65</v>
      </c>
      <c r="AJ582" s="18">
        <v>0.35</v>
      </c>
      <c r="AK582" s="6">
        <f>ROUND((AD582-(AD582*BG582)),2)</f>
        <v>106.69</v>
      </c>
      <c r="AL582" s="6">
        <f>ROUND((AD582-(AD582*BH582)),2)</f>
        <v>105.61</v>
      </c>
      <c r="AM582" s="6">
        <f>ROUND((AD582-(AD582*BI582)),2)</f>
        <v>104.54</v>
      </c>
      <c r="AN582" s="6">
        <f>ROUND((AD582-(AD582*BJ582)),2)</f>
        <v>104.54</v>
      </c>
      <c r="AO582" s="6">
        <f>ROUND((AD582-(AD582*BK582)),2)</f>
        <v>107.77</v>
      </c>
      <c r="BG582" s="12">
        <v>0.01</v>
      </c>
      <c r="BH582" s="12">
        <v>0.02</v>
      </c>
      <c r="BI582" s="12">
        <v>0.03</v>
      </c>
      <c r="BJ582" s="12">
        <v>0.03</v>
      </c>
      <c r="CC582" s="3" t="str">
        <f>IF(B582&lt;&gt;"",CONCATENATE(SUBSTITUTE(B582," ","-"),".jpg"),"")</f>
        <v>Allied-Moulded-AMU1086CCF.jpg</v>
      </c>
      <c r="CD582" s="16" t="s">
        <v>111</v>
      </c>
      <c r="CE582" s="3"/>
      <c r="CF582" s="3"/>
      <c r="CG582" s="3" t="s">
        <v>112</v>
      </c>
      <c r="CI582" s="3" t="s">
        <v>97</v>
      </c>
      <c r="CJ582" s="3" t="s">
        <v>467</v>
      </c>
      <c r="CK582" s="3" t="s">
        <v>114</v>
      </c>
      <c r="CL582" s="3" t="s">
        <v>115</v>
      </c>
      <c r="CM582" s="16"/>
      <c r="CN582" s="16" t="s">
        <v>349</v>
      </c>
      <c r="CO582" s="3" t="s">
        <v>118</v>
      </c>
      <c r="CP582" s="3" t="s">
        <v>139</v>
      </c>
      <c r="CQ582" s="3" t="s">
        <v>120</v>
      </c>
      <c r="CR582" s="16" t="s">
        <v>121</v>
      </c>
      <c r="CS582" s="3" t="s">
        <v>384</v>
      </c>
      <c r="CT582" s="16" t="s">
        <v>167</v>
      </c>
      <c r="CU582" s="16" t="s">
        <v>385</v>
      </c>
      <c r="CV582" s="16" t="s">
        <v>351</v>
      </c>
    </row>
    <row r="583" spans="1:100" ht="15" customHeight="1">
      <c r="A583" t="s">
        <v>3796</v>
      </c>
      <c r="B583" s="3" t="s">
        <v>3797</v>
      </c>
      <c r="C583" s="16" t="s">
        <v>97</v>
      </c>
      <c r="D583" s="39" t="s">
        <v>3798</v>
      </c>
      <c r="E583" s="16" t="s">
        <v>97</v>
      </c>
      <c r="F583" s="131" t="s">
        <v>3799</v>
      </c>
      <c r="I583" s="100" t="s">
        <v>342</v>
      </c>
      <c r="J583" s="16" t="s">
        <v>101</v>
      </c>
      <c r="K583" s="16"/>
      <c r="L583" s="3" t="s">
        <v>102</v>
      </c>
      <c r="M583" s="3" t="s">
        <v>103</v>
      </c>
      <c r="N583" s="3" t="s">
        <v>104</v>
      </c>
      <c r="O583" s="16" t="s">
        <v>105</v>
      </c>
      <c r="P583" s="3" t="s">
        <v>3800</v>
      </c>
      <c r="Q583" s="3" t="s">
        <v>3800</v>
      </c>
      <c r="R583" s="3" t="s">
        <v>3800</v>
      </c>
      <c r="S583" t="s">
        <v>3796</v>
      </c>
      <c r="T583" s="130" t="s">
        <v>465</v>
      </c>
      <c r="U583" s="34">
        <v>5</v>
      </c>
      <c r="V583" s="39"/>
      <c r="W583" s="39"/>
      <c r="X583" s="59" t="s">
        <v>108</v>
      </c>
      <c r="Y583" s="93">
        <f>IF(AD583=0, 0, IF(OR(H583="", H583&lt;&gt;0), 1, 0))</f>
        <v>1</v>
      </c>
      <c r="Z583" s="3">
        <v>0</v>
      </c>
      <c r="AA583" s="3" t="s">
        <v>3801</v>
      </c>
      <c r="AD583" s="6">
        <f>ROUND((AG583*(1+AJ583)),2)</f>
        <v>115.43</v>
      </c>
      <c r="AE583" s="69">
        <v>131.53245229999999</v>
      </c>
      <c r="AF583" s="17">
        <f>(AE583*1)</f>
        <v>131.53245229999999</v>
      </c>
      <c r="AG583" s="6">
        <f>ROUND((AE583*AI583),2)</f>
        <v>85.5</v>
      </c>
      <c r="AH583" s="30" t="s">
        <v>110</v>
      </c>
      <c r="AI583" s="3">
        <v>0.65</v>
      </c>
      <c r="AJ583" s="18">
        <v>0.35</v>
      </c>
      <c r="AK583" s="6">
        <f>ROUND((AD583-(AD583*BG583)),2)</f>
        <v>114.28</v>
      </c>
      <c r="AL583" s="6">
        <f>ROUND((AD583-(AD583*BH583)),2)</f>
        <v>113.12</v>
      </c>
      <c r="AM583" s="6">
        <f>ROUND((AD583-(AD583*BI583)),2)</f>
        <v>111.97</v>
      </c>
      <c r="AN583" s="6">
        <f>ROUND((AD583-(AD583*BJ583)),2)</f>
        <v>111.97</v>
      </c>
      <c r="AO583" s="6">
        <f>ROUND((AD583-(AD583*BK583)),2)</f>
        <v>115.43</v>
      </c>
      <c r="BG583" s="12">
        <v>0.01</v>
      </c>
      <c r="BH583" s="12">
        <v>0.02</v>
      </c>
      <c r="BI583" s="12">
        <v>0.03</v>
      </c>
      <c r="BJ583" s="12">
        <v>0.03</v>
      </c>
      <c r="CC583" s="3" t="str">
        <f>IF(B583&lt;&gt;"",CONCATENATE(SUBSTITUTE(B583," ","-"),".jpg"),"")</f>
        <v>Allied-Moulded-AMU1086CCH.jpg</v>
      </c>
      <c r="CD583" s="16" t="s">
        <v>111</v>
      </c>
      <c r="CE583" s="3"/>
      <c r="CF583" s="3"/>
      <c r="CG583" s="3" t="s">
        <v>112</v>
      </c>
      <c r="CI583" s="3" t="s">
        <v>97</v>
      </c>
      <c r="CJ583" s="3" t="s">
        <v>467</v>
      </c>
      <c r="CK583" s="3" t="s">
        <v>114</v>
      </c>
      <c r="CL583" s="3" t="s">
        <v>115</v>
      </c>
      <c r="CM583" s="3" t="s">
        <v>116</v>
      </c>
      <c r="CN583" s="16" t="s">
        <v>349</v>
      </c>
      <c r="CO583" s="3" t="s">
        <v>118</v>
      </c>
      <c r="CP583" s="3" t="s">
        <v>139</v>
      </c>
      <c r="CQ583" s="3" t="s">
        <v>120</v>
      </c>
      <c r="CR583" s="16" t="s">
        <v>121</v>
      </c>
      <c r="CS583" s="3" t="s">
        <v>384</v>
      </c>
      <c r="CT583" s="16" t="s">
        <v>167</v>
      </c>
      <c r="CU583" s="16" t="s">
        <v>385</v>
      </c>
      <c r="CV583" s="16" t="s">
        <v>351</v>
      </c>
    </row>
    <row r="584" spans="1:100" ht="15" customHeight="1">
      <c r="A584" t="s">
        <v>3802</v>
      </c>
      <c r="B584" s="3" t="s">
        <v>3803</v>
      </c>
      <c r="C584" s="16" t="s">
        <v>97</v>
      </c>
      <c r="D584" s="40" t="s">
        <v>3804</v>
      </c>
      <c r="E584" s="16" t="s">
        <v>97</v>
      </c>
      <c r="F584" s="131" t="s">
        <v>3805</v>
      </c>
      <c r="I584" s="100" t="s">
        <v>342</v>
      </c>
      <c r="J584" s="16" t="s">
        <v>101</v>
      </c>
      <c r="K584" s="16"/>
      <c r="L584" s="3" t="s">
        <v>102</v>
      </c>
      <c r="M584" s="3" t="s">
        <v>103</v>
      </c>
      <c r="N584" s="3" t="s">
        <v>104</v>
      </c>
      <c r="O584" s="16" t="s">
        <v>105</v>
      </c>
      <c r="P584" s="3" t="s">
        <v>3806</v>
      </c>
      <c r="Q584" s="3" t="s">
        <v>3806</v>
      </c>
      <c r="R584" s="3" t="s">
        <v>3806</v>
      </c>
      <c r="S584" t="s">
        <v>3802</v>
      </c>
      <c r="T584" s="130" t="s">
        <v>465</v>
      </c>
      <c r="U584" s="35">
        <v>5</v>
      </c>
      <c r="V584" s="40"/>
      <c r="W584" s="40"/>
      <c r="X584" s="59" t="s">
        <v>108</v>
      </c>
      <c r="Y584" s="93">
        <f>IF(AD584=0, 0, IF(OR(H584="", H584&lt;&gt;0), 1, 0))</f>
        <v>1</v>
      </c>
      <c r="Z584" s="3">
        <v>0</v>
      </c>
      <c r="AA584" s="3" t="s">
        <v>3807</v>
      </c>
      <c r="AD584" s="6">
        <f>ROUND((AG584*(1+AJ584)),2)</f>
        <v>118.07</v>
      </c>
      <c r="AE584" s="69">
        <v>134.55122883000001</v>
      </c>
      <c r="AF584" s="17">
        <f>(AE584*1)</f>
        <v>134.55122883000001</v>
      </c>
      <c r="AG584" s="6">
        <f>ROUND((AE584*AI584),2)</f>
        <v>87.46</v>
      </c>
      <c r="AH584" s="30" t="s">
        <v>110</v>
      </c>
      <c r="AI584" s="3">
        <v>0.65</v>
      </c>
      <c r="AJ584" s="18">
        <v>0.35</v>
      </c>
      <c r="AK584" s="6">
        <f>ROUND((AD584-(AD584*BG584)),2)</f>
        <v>116.89</v>
      </c>
      <c r="AL584" s="6">
        <f>ROUND((AD584-(AD584*BH584)),2)</f>
        <v>115.71</v>
      </c>
      <c r="AM584" s="6">
        <f>ROUND((AD584-(AD584*BI584)),2)</f>
        <v>114.53</v>
      </c>
      <c r="AN584" s="6">
        <f>ROUND((AD584-(AD584*BJ584)),2)</f>
        <v>114.53</v>
      </c>
      <c r="AO584" s="6">
        <f>ROUND((AD584-(AD584*BK584)),2)</f>
        <v>118.07</v>
      </c>
      <c r="BG584" s="12">
        <v>0.01</v>
      </c>
      <c r="BH584" s="12">
        <v>0.02</v>
      </c>
      <c r="BI584" s="12">
        <v>0.03</v>
      </c>
      <c r="BJ584" s="12">
        <v>0.03</v>
      </c>
      <c r="CC584" s="3" t="str">
        <f>IF(B584&lt;&gt;"",CONCATENATE(SUBSTITUTE(B584," ","-"),".jpg"),"")</f>
        <v>Allied-Moulded-AMU1086CCHF.jpg</v>
      </c>
      <c r="CD584" s="16" t="s">
        <v>111</v>
      </c>
      <c r="CE584" s="3"/>
      <c r="CF584" s="3"/>
      <c r="CG584" s="3" t="s">
        <v>112</v>
      </c>
      <c r="CI584" s="3" t="s">
        <v>97</v>
      </c>
      <c r="CJ584" s="3" t="s">
        <v>467</v>
      </c>
      <c r="CK584" s="3" t="s">
        <v>114</v>
      </c>
      <c r="CL584" s="3" t="s">
        <v>115</v>
      </c>
      <c r="CM584" s="3" t="s">
        <v>116</v>
      </c>
      <c r="CN584" s="16" t="s">
        <v>349</v>
      </c>
      <c r="CO584" s="3" t="s">
        <v>118</v>
      </c>
      <c r="CP584" s="3" t="s">
        <v>139</v>
      </c>
      <c r="CQ584" s="3" t="s">
        <v>120</v>
      </c>
      <c r="CR584" s="16" t="s">
        <v>121</v>
      </c>
      <c r="CS584" s="3" t="s">
        <v>384</v>
      </c>
      <c r="CT584" s="16" t="s">
        <v>167</v>
      </c>
      <c r="CU584" s="16" t="s">
        <v>385</v>
      </c>
      <c r="CV584" s="16" t="s">
        <v>351</v>
      </c>
    </row>
    <row r="585" spans="1:100" ht="15" customHeight="1">
      <c r="A585" t="s">
        <v>3808</v>
      </c>
      <c r="B585" s="3" t="s">
        <v>3809</v>
      </c>
      <c r="C585" s="16" t="s">
        <v>97</v>
      </c>
      <c r="D585" s="40" t="s">
        <v>3810</v>
      </c>
      <c r="E585" s="16" t="s">
        <v>97</v>
      </c>
      <c r="F585" s="131" t="s">
        <v>3811</v>
      </c>
      <c r="I585" s="100" t="s">
        <v>342</v>
      </c>
      <c r="J585" s="16" t="s">
        <v>101</v>
      </c>
      <c r="K585" s="16"/>
      <c r="L585" s="3" t="s">
        <v>102</v>
      </c>
      <c r="M585" s="3" t="s">
        <v>103</v>
      </c>
      <c r="N585" s="3" t="s">
        <v>104</v>
      </c>
      <c r="O585" s="16" t="s">
        <v>105</v>
      </c>
      <c r="P585" s="3" t="s">
        <v>3812</v>
      </c>
      <c r="Q585" s="3" t="s">
        <v>3812</v>
      </c>
      <c r="R585" s="3" t="s">
        <v>3812</v>
      </c>
      <c r="S585" t="s">
        <v>3808</v>
      </c>
      <c r="T585" s="130" t="s">
        <v>465</v>
      </c>
      <c r="U585" s="35">
        <v>5</v>
      </c>
      <c r="V585" s="40"/>
      <c r="W585" s="40"/>
      <c r="X585" s="59" t="s">
        <v>108</v>
      </c>
      <c r="Y585" s="93">
        <f>IF(AD585=0, 0, IF(OR(H585="", H585&lt;&gt;0), 1, 0))</f>
        <v>1</v>
      </c>
      <c r="Z585" s="3">
        <v>0</v>
      </c>
      <c r="AA585" s="3" t="s">
        <v>3813</v>
      </c>
      <c r="AD585" s="6">
        <f>ROUND((AG585*(1+AJ585)),2)</f>
        <v>136.97999999999999</v>
      </c>
      <c r="AE585" s="69">
        <v>156.11392554</v>
      </c>
      <c r="AF585" s="17">
        <f>(AE585*1)</f>
        <v>156.11392554</v>
      </c>
      <c r="AG585" s="6">
        <f>ROUND((AE585*AI585),2)</f>
        <v>101.47</v>
      </c>
      <c r="AH585" s="30" t="s">
        <v>110</v>
      </c>
      <c r="AI585" s="3">
        <v>0.65</v>
      </c>
      <c r="AJ585" s="18">
        <v>0.35</v>
      </c>
      <c r="AK585" s="6">
        <f>ROUND((AD585-(AD585*BG585)),2)</f>
        <v>135.61000000000001</v>
      </c>
      <c r="AL585" s="6">
        <f>ROUND((AD585-(AD585*BH585)),2)</f>
        <v>134.24</v>
      </c>
      <c r="AM585" s="6">
        <f>ROUND((AD585-(AD585*BI585)),2)</f>
        <v>132.87</v>
      </c>
      <c r="AN585" s="6">
        <f>ROUND((AD585-(AD585*BJ585)),2)</f>
        <v>132.87</v>
      </c>
      <c r="AO585" s="6">
        <f>ROUND((AD585-(AD585*BK585)),2)</f>
        <v>136.97999999999999</v>
      </c>
      <c r="BG585" s="12">
        <v>0.01</v>
      </c>
      <c r="BH585" s="12">
        <v>0.02</v>
      </c>
      <c r="BI585" s="12">
        <v>0.03</v>
      </c>
      <c r="BJ585" s="12">
        <v>0.03</v>
      </c>
      <c r="CC585" s="3" t="str">
        <f>IF(B585&lt;&gt;"",CONCATENATE(SUBSTITUTE(B585," ","-"),".jpg"),"")</f>
        <v>Allied-Moulded-AMU1086CCL.jpg</v>
      </c>
      <c r="CD585" s="16" t="s">
        <v>111</v>
      </c>
      <c r="CE585" s="3"/>
      <c r="CF585" s="3"/>
      <c r="CG585" s="3" t="s">
        <v>112</v>
      </c>
      <c r="CI585" s="3" t="s">
        <v>97</v>
      </c>
      <c r="CJ585" s="3" t="s">
        <v>467</v>
      </c>
      <c r="CK585" s="3" t="s">
        <v>114</v>
      </c>
      <c r="CL585" s="3" t="s">
        <v>115</v>
      </c>
      <c r="CM585" s="3" t="s">
        <v>116</v>
      </c>
      <c r="CN585" t="s">
        <v>117</v>
      </c>
      <c r="CO585" s="3" t="s">
        <v>118</v>
      </c>
      <c r="CP585" s="3" t="s">
        <v>139</v>
      </c>
      <c r="CQ585" s="3" t="s">
        <v>120</v>
      </c>
      <c r="CR585" s="16" t="s">
        <v>121</v>
      </c>
      <c r="CS585" s="16" t="s">
        <v>122</v>
      </c>
      <c r="CT585" s="16" t="s">
        <v>167</v>
      </c>
      <c r="CU585" s="16" t="s">
        <v>385</v>
      </c>
      <c r="CV585" s="16" t="s">
        <v>351</v>
      </c>
    </row>
    <row r="586" spans="1:100" ht="15" customHeight="1">
      <c r="A586" t="s">
        <v>3814</v>
      </c>
      <c r="B586" s="3" t="s">
        <v>3815</v>
      </c>
      <c r="C586" s="16" t="s">
        <v>97</v>
      </c>
      <c r="D586" s="39" t="s">
        <v>3816</v>
      </c>
      <c r="E586" s="16" t="s">
        <v>97</v>
      </c>
      <c r="F586" s="131" t="s">
        <v>3817</v>
      </c>
      <c r="I586" s="100" t="s">
        <v>342</v>
      </c>
      <c r="J586" s="16" t="s">
        <v>101</v>
      </c>
      <c r="K586" s="16"/>
      <c r="L586" s="3" t="s">
        <v>102</v>
      </c>
      <c r="M586" s="3" t="s">
        <v>103</v>
      </c>
      <c r="N586" s="3" t="s">
        <v>104</v>
      </c>
      <c r="O586" s="16" t="s">
        <v>105</v>
      </c>
      <c r="P586" s="3" t="s">
        <v>3818</v>
      </c>
      <c r="Q586" s="3" t="s">
        <v>3818</v>
      </c>
      <c r="R586" s="3" t="s">
        <v>3818</v>
      </c>
      <c r="S586" t="s">
        <v>3814</v>
      </c>
      <c r="T586" s="130" t="s">
        <v>465</v>
      </c>
      <c r="U586" s="34">
        <v>5</v>
      </c>
      <c r="V586" s="39"/>
      <c r="W586" s="39"/>
      <c r="X586" s="59" t="s">
        <v>108</v>
      </c>
      <c r="Y586" s="93">
        <f>IF(AD586=0, 0, IF(OR(H586="", H586&lt;&gt;0), 1, 0))</f>
        <v>1</v>
      </c>
      <c r="Z586" s="3">
        <v>0</v>
      </c>
      <c r="AA586" s="3" t="s">
        <v>3819</v>
      </c>
      <c r="AD586" s="6">
        <f>ROUND((AG586*(1+AJ586)),2)</f>
        <v>140.08000000000001</v>
      </c>
      <c r="AE586" s="69">
        <v>159.63030433999998</v>
      </c>
      <c r="AF586" s="17">
        <f>(AE586*1)</f>
        <v>159.63030433999998</v>
      </c>
      <c r="AG586" s="6">
        <f>ROUND((AE586*AI586),2)</f>
        <v>103.76</v>
      </c>
      <c r="AH586" s="30" t="s">
        <v>110</v>
      </c>
      <c r="AI586" s="3">
        <v>0.65</v>
      </c>
      <c r="AJ586" s="18">
        <v>0.35</v>
      </c>
      <c r="AK586" s="6">
        <f>ROUND((AD586-(AD586*BG586)),2)</f>
        <v>138.68</v>
      </c>
      <c r="AL586" s="6">
        <f>ROUND((AD586-(AD586*BH586)),2)</f>
        <v>137.28</v>
      </c>
      <c r="AM586" s="6">
        <f>ROUND((AD586-(AD586*BI586)),2)</f>
        <v>135.88</v>
      </c>
      <c r="AN586" s="6">
        <f>ROUND((AD586-(AD586*BJ586)),2)</f>
        <v>135.88</v>
      </c>
      <c r="AO586" s="6">
        <f>ROUND((AD586-(AD586*BK586)),2)</f>
        <v>140.08000000000001</v>
      </c>
      <c r="BG586" s="12">
        <v>0.01</v>
      </c>
      <c r="BH586" s="12">
        <v>0.02</v>
      </c>
      <c r="BI586" s="12">
        <v>0.03</v>
      </c>
      <c r="BJ586" s="12">
        <v>0.03</v>
      </c>
      <c r="CC586" s="3" t="str">
        <f>IF(B586&lt;&gt;"",CONCATENATE(SUBSTITUTE(B586," ","-"),".jpg"),"")</f>
        <v>Allied-Moulded-AMU1086CCLF.jpg</v>
      </c>
      <c r="CD586" s="16" t="s">
        <v>111</v>
      </c>
      <c r="CE586" s="3"/>
      <c r="CF586" s="3"/>
      <c r="CG586" s="3" t="s">
        <v>112</v>
      </c>
      <c r="CI586" s="3" t="s">
        <v>97</v>
      </c>
      <c r="CJ586" s="3" t="s">
        <v>467</v>
      </c>
      <c r="CK586" s="3" t="s">
        <v>114</v>
      </c>
      <c r="CL586" s="3" t="s">
        <v>115</v>
      </c>
      <c r="CM586" s="3" t="s">
        <v>116</v>
      </c>
      <c r="CN586" t="s">
        <v>117</v>
      </c>
      <c r="CO586" s="3" t="s">
        <v>118</v>
      </c>
      <c r="CP586" s="3" t="s">
        <v>139</v>
      </c>
      <c r="CQ586" s="3" t="s">
        <v>120</v>
      </c>
      <c r="CR586" s="16" t="s">
        <v>121</v>
      </c>
      <c r="CS586" s="16" t="s">
        <v>122</v>
      </c>
      <c r="CT586" s="16" t="s">
        <v>167</v>
      </c>
      <c r="CU586" s="16" t="s">
        <v>385</v>
      </c>
      <c r="CV586" s="16" t="s">
        <v>351</v>
      </c>
    </row>
    <row r="587" spans="1:100" ht="15" customHeight="1">
      <c r="A587" t="s">
        <v>3820</v>
      </c>
      <c r="B587" s="3" t="s">
        <v>3821</v>
      </c>
      <c r="C587" s="16" t="s">
        <v>97</v>
      </c>
      <c r="D587" s="39" t="s">
        <v>3822</v>
      </c>
      <c r="E587" s="16" t="s">
        <v>97</v>
      </c>
      <c r="F587" s="131" t="s">
        <v>3823</v>
      </c>
      <c r="I587" s="100" t="s">
        <v>342</v>
      </c>
      <c r="J587" s="16" t="s">
        <v>101</v>
      </c>
      <c r="K587" s="16"/>
      <c r="L587" s="3" t="s">
        <v>102</v>
      </c>
      <c r="M587" s="3" t="s">
        <v>103</v>
      </c>
      <c r="N587" s="3" t="s">
        <v>104</v>
      </c>
      <c r="O587" s="16" t="s">
        <v>105</v>
      </c>
      <c r="P587" s="3" t="s">
        <v>3824</v>
      </c>
      <c r="Q587" s="3" t="s">
        <v>3824</v>
      </c>
      <c r="R587" s="3" t="s">
        <v>3824</v>
      </c>
      <c r="S587" t="s">
        <v>3820</v>
      </c>
      <c r="T587" s="130" t="s">
        <v>465</v>
      </c>
      <c r="U587" s="34">
        <v>5</v>
      </c>
      <c r="V587" s="39"/>
      <c r="W587" s="39"/>
      <c r="X587" s="59" t="s">
        <v>108</v>
      </c>
      <c r="Y587" s="93">
        <f>IF(AD587=0, 0, IF(OR(H587="", H587&lt;&gt;0), 1, 0))</f>
        <v>1</v>
      </c>
      <c r="Z587" s="3">
        <v>0</v>
      </c>
      <c r="AA587" s="3" t="s">
        <v>3825</v>
      </c>
      <c r="AD587" s="6">
        <f>ROUND((AG587*(1+AJ587)),2)</f>
        <v>130.13</v>
      </c>
      <c r="AE587" s="69">
        <v>148.28500883999999</v>
      </c>
      <c r="AF587" s="17">
        <f>(AE587*1)</f>
        <v>148.28500883999999</v>
      </c>
      <c r="AG587" s="6">
        <f>ROUND((AE587*AI587),2)</f>
        <v>96.39</v>
      </c>
      <c r="AH587" s="30" t="s">
        <v>110</v>
      </c>
      <c r="AI587" s="3">
        <v>0.65</v>
      </c>
      <c r="AJ587" s="18">
        <v>0.35</v>
      </c>
      <c r="AK587" s="6">
        <f>ROUND((AD587-(AD587*BG587)),2)</f>
        <v>128.83000000000001</v>
      </c>
      <c r="AL587" s="6">
        <f>ROUND((AD587-(AD587*BH587)),2)</f>
        <v>127.53</v>
      </c>
      <c r="AM587" s="6">
        <f>ROUND((AD587-(AD587*BI587)),2)</f>
        <v>126.23</v>
      </c>
      <c r="AN587" s="6">
        <f>ROUND((AD587-(AD587*BJ587)),2)</f>
        <v>126.23</v>
      </c>
      <c r="AO587" s="6">
        <f>ROUND((AD587-(AD587*BK587)),2)</f>
        <v>130.13</v>
      </c>
      <c r="BG587" s="12">
        <v>0.01</v>
      </c>
      <c r="BH587" s="12">
        <v>0.02</v>
      </c>
      <c r="BI587" s="12">
        <v>0.03</v>
      </c>
      <c r="BJ587" s="12">
        <v>0.03</v>
      </c>
      <c r="CC587" s="3" t="str">
        <f>IF(B587&lt;&gt;"",CONCATENATE(SUBSTITUTE(B587," ","-"),".jpg"),"")</f>
        <v>Allied-Moulded-AMU1086CCNL.jpg</v>
      </c>
      <c r="CD587" s="16" t="s">
        <v>111</v>
      </c>
      <c r="CE587" s="3"/>
      <c r="CF587" s="3"/>
      <c r="CG587" s="3" t="s">
        <v>112</v>
      </c>
      <c r="CI587" s="3" t="s">
        <v>97</v>
      </c>
      <c r="CJ587" s="3" t="s">
        <v>467</v>
      </c>
      <c r="CK587" s="3" t="s">
        <v>114</v>
      </c>
      <c r="CL587" s="3" t="s">
        <v>115</v>
      </c>
      <c r="CM587" s="3" t="s">
        <v>116</v>
      </c>
      <c r="CN587" t="s">
        <v>117</v>
      </c>
      <c r="CO587" s="3" t="s">
        <v>118</v>
      </c>
      <c r="CP587" s="3" t="s">
        <v>139</v>
      </c>
      <c r="CQ587" s="3" t="s">
        <v>120</v>
      </c>
      <c r="CR587" s="16" t="s">
        <v>121</v>
      </c>
      <c r="CS587" s="16" t="s">
        <v>122</v>
      </c>
      <c r="CT587" s="16" t="s">
        <v>167</v>
      </c>
      <c r="CU587" s="16" t="s">
        <v>385</v>
      </c>
      <c r="CV587" s="16" t="s">
        <v>351</v>
      </c>
    </row>
    <row r="588" spans="1:100" ht="15" customHeight="1">
      <c r="A588" t="s">
        <v>3826</v>
      </c>
      <c r="B588" s="3" t="s">
        <v>3827</v>
      </c>
      <c r="C588" s="16" t="s">
        <v>97</v>
      </c>
      <c r="D588" s="40" t="s">
        <v>3828</v>
      </c>
      <c r="E588" s="16" t="s">
        <v>97</v>
      </c>
      <c r="F588" s="131" t="s">
        <v>3829</v>
      </c>
      <c r="I588" s="100" t="s">
        <v>342</v>
      </c>
      <c r="J588" s="16" t="s">
        <v>101</v>
      </c>
      <c r="K588" s="16"/>
      <c r="L588" s="3" t="s">
        <v>102</v>
      </c>
      <c r="M588" s="3" t="s">
        <v>103</v>
      </c>
      <c r="N588" s="3" t="s">
        <v>104</v>
      </c>
      <c r="O588" s="16" t="s">
        <v>105</v>
      </c>
      <c r="P588" s="3" t="s">
        <v>3830</v>
      </c>
      <c r="Q588" s="3" t="s">
        <v>3830</v>
      </c>
      <c r="R588" s="3" t="s">
        <v>3830</v>
      </c>
      <c r="S588" t="s">
        <v>3826</v>
      </c>
      <c r="T588" s="130" t="s">
        <v>465</v>
      </c>
      <c r="U588" s="35">
        <v>5</v>
      </c>
      <c r="V588" s="40"/>
      <c r="W588" s="40"/>
      <c r="X588" s="59" t="s">
        <v>108</v>
      </c>
      <c r="Y588" s="93">
        <f>IF(AD588=0, 0, IF(OR(H588="", H588&lt;&gt;0), 1, 0))</f>
        <v>1</v>
      </c>
      <c r="Z588" s="3">
        <v>0</v>
      </c>
      <c r="AA588" s="3" t="s">
        <v>3831</v>
      </c>
      <c r="AD588" s="6">
        <f>ROUND((AG588*(1+AJ588)),2)</f>
        <v>133.07</v>
      </c>
      <c r="AE588" s="69">
        <v>151.65210561999999</v>
      </c>
      <c r="AF588" s="17">
        <f>(AE588*1)</f>
        <v>151.65210561999999</v>
      </c>
      <c r="AG588" s="6">
        <f>ROUND((AE588*AI588),2)</f>
        <v>98.57</v>
      </c>
      <c r="AH588" s="30" t="s">
        <v>110</v>
      </c>
      <c r="AI588" s="3">
        <v>0.65</v>
      </c>
      <c r="AJ588" s="18">
        <v>0.35</v>
      </c>
      <c r="AK588" s="6">
        <f>ROUND((AD588-(AD588*BG588)),2)</f>
        <v>131.74</v>
      </c>
      <c r="AL588" s="6">
        <f>ROUND((AD588-(AD588*BH588)),2)</f>
        <v>130.41</v>
      </c>
      <c r="AM588" s="6">
        <f>ROUND((AD588-(AD588*BI588)),2)</f>
        <v>129.08000000000001</v>
      </c>
      <c r="AN588" s="6">
        <f>ROUND((AD588-(AD588*BJ588)),2)</f>
        <v>129.08000000000001</v>
      </c>
      <c r="AO588" s="6">
        <f>ROUND((AD588-(AD588*BK588)),2)</f>
        <v>133.07</v>
      </c>
      <c r="BG588" s="12">
        <v>0.01</v>
      </c>
      <c r="BH588" s="12">
        <v>0.02</v>
      </c>
      <c r="BI588" s="12">
        <v>0.03</v>
      </c>
      <c r="BJ588" s="12">
        <v>0.03</v>
      </c>
      <c r="CC588" s="3" t="str">
        <f>IF(B588&lt;&gt;"",CONCATENATE(SUBSTITUTE(B588," ","-"),".jpg"),"")</f>
        <v>Allied-Moulded-AMU1086CCNLF.jpg</v>
      </c>
      <c r="CD588" s="16" t="s">
        <v>111</v>
      </c>
      <c r="CE588" s="3"/>
      <c r="CF588" s="3"/>
      <c r="CG588" s="3" t="s">
        <v>112</v>
      </c>
      <c r="CI588" s="3" t="s">
        <v>97</v>
      </c>
      <c r="CJ588" s="3" t="s">
        <v>467</v>
      </c>
      <c r="CK588" s="3" t="s">
        <v>114</v>
      </c>
      <c r="CL588" s="3" t="s">
        <v>115</v>
      </c>
      <c r="CM588" s="3" t="s">
        <v>116</v>
      </c>
      <c r="CN588" t="s">
        <v>117</v>
      </c>
      <c r="CO588" s="3" t="s">
        <v>118</v>
      </c>
      <c r="CP588" s="3" t="s">
        <v>139</v>
      </c>
      <c r="CQ588" s="3" t="s">
        <v>120</v>
      </c>
      <c r="CR588" s="16" t="s">
        <v>121</v>
      </c>
      <c r="CS588" s="16" t="s">
        <v>122</v>
      </c>
      <c r="CT588" s="16" t="s">
        <v>167</v>
      </c>
      <c r="CU588" s="16" t="s">
        <v>385</v>
      </c>
      <c r="CV588" s="16" t="s">
        <v>351</v>
      </c>
    </row>
    <row r="589" spans="1:100" ht="15" customHeight="1">
      <c r="A589" t="s">
        <v>3832</v>
      </c>
      <c r="B589" s="3" t="s">
        <v>3833</v>
      </c>
      <c r="C589" s="16" t="s">
        <v>97</v>
      </c>
      <c r="D589" s="38" t="s">
        <v>3834</v>
      </c>
      <c r="E589" s="16" t="s">
        <v>97</v>
      </c>
      <c r="F589" s="131" t="s">
        <v>3835</v>
      </c>
      <c r="I589" s="100" t="s">
        <v>342</v>
      </c>
      <c r="J589" s="16" t="s">
        <v>101</v>
      </c>
      <c r="K589" s="16"/>
      <c r="L589" s="3" t="s">
        <v>102</v>
      </c>
      <c r="M589" s="3" t="s">
        <v>103</v>
      </c>
      <c r="N589" s="3" t="s">
        <v>104</v>
      </c>
      <c r="O589" s="16" t="s">
        <v>105</v>
      </c>
      <c r="P589" s="3" t="s">
        <v>3836</v>
      </c>
      <c r="Q589" s="3" t="s">
        <v>3836</v>
      </c>
      <c r="R589" s="3" t="s">
        <v>3836</v>
      </c>
      <c r="S589" t="s">
        <v>3832</v>
      </c>
      <c r="T589" s="130" t="s">
        <v>465</v>
      </c>
      <c r="U589" s="49">
        <v>5</v>
      </c>
      <c r="V589" s="58"/>
      <c r="W589" s="58"/>
      <c r="X589" s="59" t="s">
        <v>108</v>
      </c>
      <c r="Y589" s="93">
        <f>IF(AD589=0, 0, IF(OR(H589="", H589&lt;&gt;0), 1, 0))</f>
        <v>1</v>
      </c>
      <c r="Z589" s="3">
        <v>0</v>
      </c>
      <c r="AA589" s="3" t="s">
        <v>3837</v>
      </c>
      <c r="AD589" s="6">
        <f>ROUND((AG589*(1+AJ589)),2)</f>
        <v>136.97999999999999</v>
      </c>
      <c r="AE589" s="68">
        <v>156.11392554</v>
      </c>
      <c r="AF589" s="17">
        <f>(AE589*1)</f>
        <v>156.11392554</v>
      </c>
      <c r="AG589" s="6">
        <f>ROUND((AE589*AI589),2)</f>
        <v>101.47</v>
      </c>
      <c r="AH589" s="30" t="s">
        <v>110</v>
      </c>
      <c r="AI589" s="3">
        <v>0.65</v>
      </c>
      <c r="AJ589" s="18">
        <v>0.35</v>
      </c>
      <c r="AK589" s="6">
        <f>ROUND((AD589-(AD589*BG589)),2)</f>
        <v>135.61000000000001</v>
      </c>
      <c r="AL589" s="6">
        <f>ROUND((AD589-(AD589*BH589)),2)</f>
        <v>134.24</v>
      </c>
      <c r="AM589" s="6">
        <f>ROUND((AD589-(AD589*BI589)),2)</f>
        <v>132.87</v>
      </c>
      <c r="AN589" s="6">
        <f>ROUND((AD589-(AD589*BJ589)),2)</f>
        <v>132.87</v>
      </c>
      <c r="AO589" s="6">
        <f>ROUND((AD589-(AD589*BK589)),2)</f>
        <v>136.97999999999999</v>
      </c>
      <c r="BG589" s="12">
        <v>0.01</v>
      </c>
      <c r="BH589" s="12">
        <v>0.02</v>
      </c>
      <c r="BI589" s="12">
        <v>0.03</v>
      </c>
      <c r="BJ589" s="12">
        <v>0.03</v>
      </c>
      <c r="CC589" s="3" t="str">
        <f>IF(B589&lt;&gt;"",CONCATENATE(SUBSTITUTE(B589," ","-"),".jpg"),"")</f>
        <v>Allied-Moulded-AMU1086CCT.jpg</v>
      </c>
      <c r="CD589" s="16" t="s">
        <v>111</v>
      </c>
      <c r="CE589" s="3"/>
      <c r="CF589" s="3"/>
      <c r="CG589" s="3" t="s">
        <v>112</v>
      </c>
      <c r="CI589" s="3" t="s">
        <v>97</v>
      </c>
      <c r="CJ589" s="3" t="s">
        <v>467</v>
      </c>
      <c r="CK589" s="3" t="s">
        <v>114</v>
      </c>
      <c r="CL589" s="3" t="s">
        <v>115</v>
      </c>
      <c r="CM589" s="3" t="s">
        <v>116</v>
      </c>
      <c r="CN589" s="16" t="s">
        <v>132</v>
      </c>
      <c r="CO589" s="3" t="s">
        <v>118</v>
      </c>
      <c r="CP589" s="3" t="s">
        <v>139</v>
      </c>
      <c r="CQ589" s="3" t="s">
        <v>120</v>
      </c>
      <c r="CR589" s="16" t="s">
        <v>121</v>
      </c>
      <c r="CS589" s="16" t="s">
        <v>122</v>
      </c>
      <c r="CT589" s="16" t="s">
        <v>167</v>
      </c>
      <c r="CU589" s="16" t="s">
        <v>385</v>
      </c>
      <c r="CV589" s="16" t="s">
        <v>351</v>
      </c>
    </row>
    <row r="590" spans="1:100" ht="15" customHeight="1">
      <c r="A590" t="s">
        <v>3838</v>
      </c>
      <c r="B590" s="3" t="s">
        <v>3839</v>
      </c>
      <c r="C590" s="16" t="s">
        <v>97</v>
      </c>
      <c r="D590" s="39" t="s">
        <v>3840</v>
      </c>
      <c r="E590" s="16" t="s">
        <v>97</v>
      </c>
      <c r="F590" s="131" t="s">
        <v>3841</v>
      </c>
      <c r="I590" s="100" t="s">
        <v>342</v>
      </c>
      <c r="J590" s="16" t="s">
        <v>101</v>
      </c>
      <c r="K590" s="16"/>
      <c r="L590" s="3" t="s">
        <v>102</v>
      </c>
      <c r="M590" s="3" t="s">
        <v>103</v>
      </c>
      <c r="N590" s="3" t="s">
        <v>104</v>
      </c>
      <c r="O590" s="16" t="s">
        <v>105</v>
      </c>
      <c r="P590" s="3" t="s">
        <v>3842</v>
      </c>
      <c r="Q590" s="3" t="s">
        <v>3842</v>
      </c>
      <c r="R590" s="3" t="s">
        <v>3842</v>
      </c>
      <c r="S590" t="s">
        <v>3838</v>
      </c>
      <c r="T590" s="130" t="s">
        <v>465</v>
      </c>
      <c r="U590" s="50">
        <v>5</v>
      </c>
      <c r="V590" s="54"/>
      <c r="W590" s="54"/>
      <c r="X590" s="59" t="s">
        <v>108</v>
      </c>
      <c r="Y590" s="93">
        <f>IF(AD590=0, 0, IF(OR(H590="", H590&lt;&gt;0), 1, 0))</f>
        <v>1</v>
      </c>
      <c r="Z590" s="3">
        <v>0</v>
      </c>
      <c r="AA590" s="3" t="s">
        <v>3843</v>
      </c>
      <c r="AD590" s="6">
        <f>ROUND((AG590*(1+AJ590)),2)</f>
        <v>140.08000000000001</v>
      </c>
      <c r="AE590" s="69">
        <v>159.63030433999998</v>
      </c>
      <c r="AF590" s="17">
        <f>(AE590*1)</f>
        <v>159.63030433999998</v>
      </c>
      <c r="AG590" s="6">
        <f>ROUND((AE590*AI590),2)</f>
        <v>103.76</v>
      </c>
      <c r="AH590" s="30" t="s">
        <v>110</v>
      </c>
      <c r="AI590" s="3">
        <v>0.65</v>
      </c>
      <c r="AJ590" s="18">
        <v>0.35</v>
      </c>
      <c r="AK590" s="6">
        <f>ROUND((AD590-(AD590*BG590)),2)</f>
        <v>138.68</v>
      </c>
      <c r="AL590" s="6">
        <f>ROUND((AD590-(AD590*BH590)),2)</f>
        <v>137.28</v>
      </c>
      <c r="AM590" s="6">
        <f>ROUND((AD590-(AD590*BI590)),2)</f>
        <v>135.88</v>
      </c>
      <c r="AN590" s="6">
        <f>ROUND((AD590-(AD590*BJ590)),2)</f>
        <v>135.88</v>
      </c>
      <c r="AO590" s="6">
        <f>ROUND((AD590-(AD590*BK590)),2)</f>
        <v>140.08000000000001</v>
      </c>
      <c r="BG590" s="12">
        <v>0.01</v>
      </c>
      <c r="BH590" s="12">
        <v>0.02</v>
      </c>
      <c r="BI590" s="12">
        <v>0.03</v>
      </c>
      <c r="BJ590" s="12">
        <v>0.03</v>
      </c>
      <c r="CC590" s="3" t="str">
        <f>IF(B590&lt;&gt;"",CONCATENATE(SUBSTITUTE(B590," ","-"),".jpg"),"")</f>
        <v>Allied-Moulded-AMU1086CCTF.jpg</v>
      </c>
      <c r="CD590" s="16" t="s">
        <v>111</v>
      </c>
      <c r="CE590" s="3"/>
      <c r="CF590" s="3"/>
      <c r="CG590" s="3" t="s">
        <v>112</v>
      </c>
      <c r="CI590" s="3" t="s">
        <v>97</v>
      </c>
      <c r="CJ590" s="3" t="s">
        <v>467</v>
      </c>
      <c r="CK590" s="3" t="s">
        <v>114</v>
      </c>
      <c r="CL590" s="3" t="s">
        <v>115</v>
      </c>
      <c r="CM590" s="3" t="s">
        <v>116</v>
      </c>
      <c r="CN590" s="16" t="s">
        <v>132</v>
      </c>
      <c r="CO590" s="3" t="s">
        <v>118</v>
      </c>
      <c r="CP590" s="3" t="s">
        <v>139</v>
      </c>
      <c r="CQ590" s="3" t="s">
        <v>120</v>
      </c>
      <c r="CR590" s="16" t="s">
        <v>121</v>
      </c>
      <c r="CS590" s="16" t="s">
        <v>122</v>
      </c>
      <c r="CT590" s="16" t="s">
        <v>167</v>
      </c>
      <c r="CU590" s="16" t="s">
        <v>385</v>
      </c>
      <c r="CV590" s="16" t="s">
        <v>351</v>
      </c>
    </row>
    <row r="591" spans="1:100" ht="15" customHeight="1">
      <c r="A591" t="s">
        <v>3844</v>
      </c>
      <c r="B591" s="3" t="s">
        <v>3845</v>
      </c>
      <c r="C591" s="16" t="s">
        <v>97</v>
      </c>
      <c r="D591" s="40" t="s">
        <v>3846</v>
      </c>
      <c r="E591" s="16" t="s">
        <v>97</v>
      </c>
      <c r="F591" s="131" t="s">
        <v>3847</v>
      </c>
      <c r="I591" s="100" t="s">
        <v>342</v>
      </c>
      <c r="J591" s="16" t="s">
        <v>101</v>
      </c>
      <c r="K591" s="16"/>
      <c r="L591" s="3" t="s">
        <v>102</v>
      </c>
      <c r="M591" s="3" t="s">
        <v>103</v>
      </c>
      <c r="N591" s="3" t="s">
        <v>104</v>
      </c>
      <c r="O591" s="16" t="s">
        <v>478</v>
      </c>
      <c r="P591" s="3" t="s">
        <v>3848</v>
      </c>
      <c r="Q591" s="3" t="s">
        <v>3848</v>
      </c>
      <c r="R591" s="3" t="s">
        <v>3848</v>
      </c>
      <c r="S591" t="s">
        <v>3844</v>
      </c>
      <c r="T591" s="130" t="s">
        <v>465</v>
      </c>
      <c r="U591" s="51">
        <v>5</v>
      </c>
      <c r="V591" s="58"/>
      <c r="W591" s="58"/>
      <c r="X591" s="59" t="s">
        <v>108</v>
      </c>
      <c r="Y591" s="93">
        <f>IF(AD591=0, 0, IF(OR(H591="", H591&lt;&gt;0), 1, 0))</f>
        <v>1</v>
      </c>
      <c r="Z591" s="3">
        <v>0</v>
      </c>
      <c r="AA591" s="3" t="s">
        <v>3849</v>
      </c>
      <c r="AD591" s="6">
        <f>ROUND((AG591*(1+AJ591)),2)</f>
        <v>83.38</v>
      </c>
      <c r="AE591" s="69">
        <v>95.021714549999999</v>
      </c>
      <c r="AF591" s="17">
        <f>(AE591*1)</f>
        <v>95.021714549999999</v>
      </c>
      <c r="AG591" s="6">
        <f>ROUND((AE591*AI591),2)</f>
        <v>61.76</v>
      </c>
      <c r="AH591" s="30" t="s">
        <v>110</v>
      </c>
      <c r="AI591" s="3">
        <v>0.65</v>
      </c>
      <c r="AJ591" s="18">
        <v>0.35</v>
      </c>
      <c r="AK591" s="6">
        <f>ROUND((AD591-(AD591*BG591)),2)</f>
        <v>82.55</v>
      </c>
      <c r="AL591" s="6">
        <f>ROUND((AD591-(AD591*BH591)),2)</f>
        <v>81.709999999999994</v>
      </c>
      <c r="AM591" s="6">
        <f>ROUND((AD591-(AD591*BI591)),2)</f>
        <v>80.88</v>
      </c>
      <c r="AN591" s="6">
        <f>ROUND((AD591-(AD591*BJ591)),2)</f>
        <v>80.88</v>
      </c>
      <c r="AO591" s="6">
        <f>ROUND((AD591-(AD591*BK591)),2)</f>
        <v>83.38</v>
      </c>
      <c r="BG591" s="12">
        <v>0.01</v>
      </c>
      <c r="BH591" s="12">
        <v>0.02</v>
      </c>
      <c r="BI591" s="12">
        <v>0.03</v>
      </c>
      <c r="BJ591" s="12">
        <v>0.03</v>
      </c>
      <c r="CC591" s="3" t="str">
        <f>IF(B591&lt;&gt;"",CONCATENATE(SUBSTITUTE(B591," ","-"),".jpg"),"")</f>
        <v>Allied-Moulded-AMP1204CCNL.jpg</v>
      </c>
      <c r="CD591" s="16" t="s">
        <v>111</v>
      </c>
      <c r="CE591" s="3"/>
      <c r="CF591" s="3"/>
      <c r="CG591" s="3" t="s">
        <v>112</v>
      </c>
      <c r="CI591" s="3" t="s">
        <v>97</v>
      </c>
      <c r="CJ591" s="3" t="s">
        <v>481</v>
      </c>
      <c r="CK591" s="3" t="s">
        <v>114</v>
      </c>
      <c r="CL591" s="3" t="s">
        <v>115</v>
      </c>
      <c r="CM591" s="3" t="s">
        <v>116</v>
      </c>
      <c r="CN591" t="s">
        <v>117</v>
      </c>
      <c r="CO591" s="3" t="s">
        <v>482</v>
      </c>
      <c r="CP591" s="3" t="s">
        <v>139</v>
      </c>
      <c r="CQ591" s="3" t="s">
        <v>120</v>
      </c>
      <c r="CR591" s="16" t="s">
        <v>121</v>
      </c>
      <c r="CS591" s="16" t="s">
        <v>122</v>
      </c>
      <c r="CT591" s="16" t="s">
        <v>167</v>
      </c>
      <c r="CU591" s="16" t="s">
        <v>385</v>
      </c>
      <c r="CV591" s="16" t="s">
        <v>351</v>
      </c>
    </row>
    <row r="592" spans="1:100" ht="15" customHeight="1">
      <c r="A592" t="s">
        <v>3850</v>
      </c>
      <c r="B592" s="3" t="s">
        <v>3851</v>
      </c>
      <c r="C592" s="16" t="s">
        <v>97</v>
      </c>
      <c r="D592" s="40" t="s">
        <v>3852</v>
      </c>
      <c r="E592" s="16" t="s">
        <v>97</v>
      </c>
      <c r="F592" s="131" t="s">
        <v>3853</v>
      </c>
      <c r="I592" s="100" t="s">
        <v>342</v>
      </c>
      <c r="J592" s="16" t="s">
        <v>101</v>
      </c>
      <c r="K592" s="16"/>
      <c r="L592" s="3" t="s">
        <v>102</v>
      </c>
      <c r="M592" s="3" t="s">
        <v>103</v>
      </c>
      <c r="N592" s="3" t="s">
        <v>104</v>
      </c>
      <c r="O592" s="16" t="s">
        <v>105</v>
      </c>
      <c r="P592" s="3" t="s">
        <v>3854</v>
      </c>
      <c r="Q592" s="3" t="s">
        <v>3854</v>
      </c>
      <c r="R592" s="3" t="s">
        <v>3854</v>
      </c>
      <c r="S592" t="s">
        <v>3850</v>
      </c>
      <c r="T592" s="130" t="s">
        <v>465</v>
      </c>
      <c r="U592" s="35">
        <v>4</v>
      </c>
      <c r="V592" s="40"/>
      <c r="W592" s="40"/>
      <c r="X592" s="59" t="s">
        <v>108</v>
      </c>
      <c r="Y592" s="93">
        <f>IF(AD592=0, 0, IF(OR(H592="", H592&lt;&gt;0), 1, 0))</f>
        <v>1</v>
      </c>
      <c r="Z592" s="3">
        <v>0</v>
      </c>
      <c r="AA592" s="3" t="s">
        <v>3855</v>
      </c>
      <c r="AD592" s="6">
        <f>ROUND((AG592*(1+AJ592)),2)</f>
        <v>90.18</v>
      </c>
      <c r="AE592" s="69">
        <v>102.76542676999999</v>
      </c>
      <c r="AF592" s="17">
        <f>(AE592*1)</f>
        <v>102.76542676999999</v>
      </c>
      <c r="AG592" s="6">
        <f>ROUND((AE592*AI592),2)</f>
        <v>66.8</v>
      </c>
      <c r="AH592" s="30" t="s">
        <v>110</v>
      </c>
      <c r="AI592" s="3">
        <v>0.65</v>
      </c>
      <c r="AJ592" s="18">
        <v>0.35</v>
      </c>
      <c r="AK592" s="6">
        <f>ROUND((AD592-(AD592*BG592)),2)</f>
        <v>89.28</v>
      </c>
      <c r="AL592" s="6">
        <f>ROUND((AD592-(AD592*BH592)),2)</f>
        <v>88.38</v>
      </c>
      <c r="AM592" s="6">
        <f>ROUND((AD592-(AD592*BI592)),2)</f>
        <v>87.47</v>
      </c>
      <c r="AN592" s="6">
        <f>ROUND((AD592-(AD592*BJ592)),2)</f>
        <v>87.47</v>
      </c>
      <c r="AO592" s="6">
        <f>ROUND((AD592-(AD592*BK592)),2)</f>
        <v>90.18</v>
      </c>
      <c r="BG592" s="12">
        <v>0.01</v>
      </c>
      <c r="BH592" s="12">
        <v>0.02</v>
      </c>
      <c r="BI592" s="12">
        <v>0.03</v>
      </c>
      <c r="BJ592" s="12">
        <v>0.03</v>
      </c>
      <c r="CC592" s="3" t="str">
        <f>IF(B592&lt;&gt;"",CONCATENATE(SUBSTITUTE(B592," ","-"),".jpg"),"")</f>
        <v>Allied-Moulded-AMU1084.jpg</v>
      </c>
      <c r="CD592" s="16" t="s">
        <v>111</v>
      </c>
      <c r="CE592" s="3"/>
      <c r="CF592" s="3"/>
      <c r="CG592" s="3" t="s">
        <v>112</v>
      </c>
      <c r="CI592" s="3" t="s">
        <v>97</v>
      </c>
      <c r="CJ592" s="3" t="s">
        <v>467</v>
      </c>
      <c r="CK592" s="3" t="s">
        <v>114</v>
      </c>
      <c r="CL592" s="3" t="s">
        <v>115</v>
      </c>
      <c r="CM592" s="16"/>
      <c r="CN592" s="16" t="s">
        <v>349</v>
      </c>
      <c r="CO592" s="3" t="s">
        <v>118</v>
      </c>
      <c r="CP592" s="3" t="s">
        <v>139</v>
      </c>
      <c r="CQ592" s="3" t="s">
        <v>120</v>
      </c>
      <c r="CR592" s="3" t="s">
        <v>140</v>
      </c>
      <c r="CS592" s="3" t="s">
        <v>384</v>
      </c>
      <c r="CT592" s="16" t="s">
        <v>167</v>
      </c>
      <c r="CU592" s="16" t="s">
        <v>385</v>
      </c>
      <c r="CV592" s="16" t="s">
        <v>657</v>
      </c>
    </row>
    <row r="593" spans="1:100" ht="15" customHeight="1">
      <c r="A593" t="s">
        <v>3856</v>
      </c>
      <c r="B593" s="3" t="s">
        <v>3857</v>
      </c>
      <c r="C593" s="16" t="s">
        <v>97</v>
      </c>
      <c r="D593" s="39" t="s">
        <v>3858</v>
      </c>
      <c r="E593" s="16" t="s">
        <v>97</v>
      </c>
      <c r="F593" s="131" t="s">
        <v>3859</v>
      </c>
      <c r="I593" s="100" t="s">
        <v>342</v>
      </c>
      <c r="J593" s="16" t="s">
        <v>101</v>
      </c>
      <c r="K593" s="16"/>
      <c r="L593" s="3" t="s">
        <v>102</v>
      </c>
      <c r="M593" s="3" t="s">
        <v>103</v>
      </c>
      <c r="N593" s="3" t="s">
        <v>104</v>
      </c>
      <c r="O593" s="16" t="s">
        <v>105</v>
      </c>
      <c r="P593" s="3" t="s">
        <v>3860</v>
      </c>
      <c r="Q593" s="3" t="s">
        <v>3860</v>
      </c>
      <c r="R593" s="3" t="s">
        <v>3860</v>
      </c>
      <c r="S593" t="s">
        <v>3856</v>
      </c>
      <c r="T593" s="130" t="s">
        <v>465</v>
      </c>
      <c r="U593" s="34">
        <v>4</v>
      </c>
      <c r="V593" s="39"/>
      <c r="W593" s="39"/>
      <c r="X593" s="59" t="s">
        <v>108</v>
      </c>
      <c r="Y593" s="93">
        <f>IF(AD593=0, 0, IF(OR(H593="", H593&lt;&gt;0), 1, 0))</f>
        <v>1</v>
      </c>
      <c r="Z593" s="3">
        <v>0</v>
      </c>
      <c r="AA593" s="3" t="s">
        <v>3861</v>
      </c>
      <c r="AD593" s="6">
        <f>ROUND((AG593*(1+AJ593)),2)</f>
        <v>92.69</v>
      </c>
      <c r="AE593" s="69">
        <v>105.63370793999998</v>
      </c>
      <c r="AF593" s="17">
        <f>(AE593*1)</f>
        <v>105.63370793999998</v>
      </c>
      <c r="AG593" s="6">
        <f>ROUND((AE593*AI593),2)</f>
        <v>68.66</v>
      </c>
      <c r="AH593" s="30" t="s">
        <v>110</v>
      </c>
      <c r="AI593" s="3">
        <v>0.65</v>
      </c>
      <c r="AJ593" s="18">
        <v>0.35</v>
      </c>
      <c r="AK593" s="6">
        <f>ROUND((AD593-(AD593*BG593)),2)</f>
        <v>91.76</v>
      </c>
      <c r="AL593" s="6">
        <f>ROUND((AD593-(AD593*BH593)),2)</f>
        <v>90.84</v>
      </c>
      <c r="AM593" s="6">
        <f>ROUND((AD593-(AD593*BI593)),2)</f>
        <v>89.91</v>
      </c>
      <c r="AN593" s="6">
        <f>ROUND((AD593-(AD593*BJ593)),2)</f>
        <v>89.91</v>
      </c>
      <c r="AO593" s="6">
        <f>ROUND((AD593-(AD593*BK593)),2)</f>
        <v>92.69</v>
      </c>
      <c r="BG593" s="12">
        <v>0.01</v>
      </c>
      <c r="BH593" s="12">
        <v>0.02</v>
      </c>
      <c r="BI593" s="12">
        <v>0.03</v>
      </c>
      <c r="BJ593" s="12">
        <v>0.03</v>
      </c>
      <c r="CC593" s="3" t="str">
        <f>IF(B593&lt;&gt;"",CONCATENATE(SUBSTITUTE(B593," ","-"),".jpg"),"")</f>
        <v>Allied-Moulded-AMU1084F.jpg</v>
      </c>
      <c r="CD593" s="16" t="s">
        <v>111</v>
      </c>
      <c r="CE593" s="3"/>
      <c r="CF593" s="3"/>
      <c r="CG593" s="3" t="s">
        <v>112</v>
      </c>
      <c r="CI593" s="3" t="s">
        <v>97</v>
      </c>
      <c r="CJ593" s="3" t="s">
        <v>467</v>
      </c>
      <c r="CK593" s="3" t="s">
        <v>114</v>
      </c>
      <c r="CL593" s="3" t="s">
        <v>115</v>
      </c>
      <c r="CM593" s="16"/>
      <c r="CN593" s="16" t="s">
        <v>349</v>
      </c>
      <c r="CO593" s="3" t="s">
        <v>118</v>
      </c>
      <c r="CP593" s="3" t="s">
        <v>139</v>
      </c>
      <c r="CQ593" s="3" t="s">
        <v>120</v>
      </c>
      <c r="CR593" s="3" t="s">
        <v>140</v>
      </c>
      <c r="CS593" s="3" t="s">
        <v>384</v>
      </c>
      <c r="CT593" s="16" t="s">
        <v>167</v>
      </c>
      <c r="CU593" s="16" t="s">
        <v>385</v>
      </c>
      <c r="CV593" s="16" t="s">
        <v>657</v>
      </c>
    </row>
    <row r="594" spans="1:100" ht="15" customHeight="1">
      <c r="A594" t="s">
        <v>3862</v>
      </c>
      <c r="B594" s="3" t="s">
        <v>3863</v>
      </c>
      <c r="C594" s="16" t="s">
        <v>97</v>
      </c>
      <c r="D594" s="39" t="s">
        <v>3864</v>
      </c>
      <c r="E594" s="16" t="s">
        <v>97</v>
      </c>
      <c r="F594" s="131" t="s">
        <v>3865</v>
      </c>
      <c r="I594" s="100" t="s">
        <v>342</v>
      </c>
      <c r="J594" s="16" t="s">
        <v>101</v>
      </c>
      <c r="K594" s="16"/>
      <c r="L594" s="3" t="s">
        <v>102</v>
      </c>
      <c r="M594" s="3" t="s">
        <v>103</v>
      </c>
      <c r="N594" s="3" t="s">
        <v>104</v>
      </c>
      <c r="O594" s="16" t="s">
        <v>105</v>
      </c>
      <c r="P594" s="3" t="s">
        <v>3866</v>
      </c>
      <c r="Q594" s="3" t="s">
        <v>3866</v>
      </c>
      <c r="R594" s="3" t="s">
        <v>3866</v>
      </c>
      <c r="S594" t="s">
        <v>3862</v>
      </c>
      <c r="T594" s="130" t="s">
        <v>465</v>
      </c>
      <c r="U594" s="34">
        <v>4</v>
      </c>
      <c r="V594" s="39"/>
      <c r="W594" s="39"/>
      <c r="X594" s="59" t="s">
        <v>108</v>
      </c>
      <c r="Y594" s="93">
        <f>IF(AD594=0, 0, IF(OR(H594="", H594&lt;&gt;0), 1, 0))</f>
        <v>1</v>
      </c>
      <c r="Z594" s="3">
        <v>0</v>
      </c>
      <c r="AA594" s="3" t="s">
        <v>3867</v>
      </c>
      <c r="AD594" s="6">
        <f>ROUND((AG594*(1+AJ594)),2)</f>
        <v>99.86</v>
      </c>
      <c r="AE594" s="69">
        <v>113.79863227000001</v>
      </c>
      <c r="AF594" s="17">
        <f>(AE594*1)</f>
        <v>113.79863227000001</v>
      </c>
      <c r="AG594" s="6">
        <f>ROUND((AE594*AI594),2)</f>
        <v>73.97</v>
      </c>
      <c r="AH594" s="30" t="s">
        <v>110</v>
      </c>
      <c r="AI594" s="3">
        <v>0.65</v>
      </c>
      <c r="AJ594" s="18">
        <v>0.35</v>
      </c>
      <c r="AK594" s="6">
        <f>ROUND((AD594-(AD594*BG594)),2)</f>
        <v>98.86</v>
      </c>
      <c r="AL594" s="6">
        <f>ROUND((AD594-(AD594*BH594)),2)</f>
        <v>97.86</v>
      </c>
      <c r="AM594" s="6">
        <f>ROUND((AD594-(AD594*BI594)),2)</f>
        <v>96.86</v>
      </c>
      <c r="AN594" s="6">
        <f>ROUND((AD594-(AD594*BJ594)),2)</f>
        <v>96.86</v>
      </c>
      <c r="AO594" s="6">
        <f>ROUND((AD594-(AD594*BK594)),2)</f>
        <v>99.86</v>
      </c>
      <c r="BG594" s="12">
        <v>0.01</v>
      </c>
      <c r="BH594" s="12">
        <v>0.02</v>
      </c>
      <c r="BI594" s="12">
        <v>0.03</v>
      </c>
      <c r="BJ594" s="12">
        <v>0.03</v>
      </c>
      <c r="CC594" s="3" t="str">
        <f>IF(B594&lt;&gt;"",CONCATENATE(SUBSTITUTE(B594," ","-"),".jpg"),"")</f>
        <v>Allied-Moulded-AMU1084H.jpg</v>
      </c>
      <c r="CD594" s="16" t="s">
        <v>111</v>
      </c>
      <c r="CE594" s="3"/>
      <c r="CF594" s="3"/>
      <c r="CG594" s="3" t="s">
        <v>112</v>
      </c>
      <c r="CI594" s="3" t="s">
        <v>97</v>
      </c>
      <c r="CJ594" s="3" t="s">
        <v>467</v>
      </c>
      <c r="CK594" s="3" t="s">
        <v>114</v>
      </c>
      <c r="CL594" s="3" t="s">
        <v>115</v>
      </c>
      <c r="CM594" s="3" t="s">
        <v>116</v>
      </c>
      <c r="CN594" s="16" t="s">
        <v>349</v>
      </c>
      <c r="CO594" s="3" t="s">
        <v>118</v>
      </c>
      <c r="CP594" s="3" t="s">
        <v>139</v>
      </c>
      <c r="CQ594" s="3" t="s">
        <v>120</v>
      </c>
      <c r="CR594" s="3" t="s">
        <v>140</v>
      </c>
      <c r="CS594" s="3" t="s">
        <v>384</v>
      </c>
      <c r="CT594" s="16" t="s">
        <v>167</v>
      </c>
      <c r="CU594" s="16" t="s">
        <v>385</v>
      </c>
      <c r="CV594" s="16" t="s">
        <v>657</v>
      </c>
    </row>
    <row r="595" spans="1:100" ht="15" customHeight="1">
      <c r="A595" t="s">
        <v>3868</v>
      </c>
      <c r="B595" s="3" t="s">
        <v>3869</v>
      </c>
      <c r="C595" s="16" t="s">
        <v>97</v>
      </c>
      <c r="D595" s="40" t="s">
        <v>3870</v>
      </c>
      <c r="E595" s="16" t="s">
        <v>97</v>
      </c>
      <c r="F595" s="131" t="s">
        <v>3871</v>
      </c>
      <c r="I595" s="100" t="s">
        <v>342</v>
      </c>
      <c r="J595" s="16" t="s">
        <v>101</v>
      </c>
      <c r="K595" s="16"/>
      <c r="L595" s="3" t="s">
        <v>102</v>
      </c>
      <c r="M595" s="3" t="s">
        <v>103</v>
      </c>
      <c r="N595" s="3" t="s">
        <v>104</v>
      </c>
      <c r="O595" s="16" t="s">
        <v>105</v>
      </c>
      <c r="P595" s="3" t="s">
        <v>3872</v>
      </c>
      <c r="Q595" s="3" t="s">
        <v>3872</v>
      </c>
      <c r="R595" s="3" t="s">
        <v>3872</v>
      </c>
      <c r="S595" t="s">
        <v>3868</v>
      </c>
      <c r="T595" s="130" t="s">
        <v>465</v>
      </c>
      <c r="U595" s="35">
        <v>4</v>
      </c>
      <c r="V595" s="40"/>
      <c r="W595" s="40"/>
      <c r="X595" s="59" t="s">
        <v>108</v>
      </c>
      <c r="Y595" s="93">
        <f>IF(AD595=0, 0, IF(OR(H595="", H595&lt;&gt;0), 1, 0))</f>
        <v>1</v>
      </c>
      <c r="Z595" s="3">
        <v>0</v>
      </c>
      <c r="AA595" s="3" t="s">
        <v>3873</v>
      </c>
      <c r="AD595" s="6">
        <f>ROUND((AG595*(1+AJ595)),2)</f>
        <v>102.61</v>
      </c>
      <c r="AE595" s="69">
        <v>116.93086432999999</v>
      </c>
      <c r="AF595" s="17">
        <f>(AE595*1)</f>
        <v>116.93086432999999</v>
      </c>
      <c r="AG595" s="6">
        <f>ROUND((AE595*AI595),2)</f>
        <v>76.010000000000005</v>
      </c>
      <c r="AH595" s="30" t="s">
        <v>110</v>
      </c>
      <c r="AI595" s="3">
        <v>0.65</v>
      </c>
      <c r="AJ595" s="18">
        <v>0.35</v>
      </c>
      <c r="AK595" s="6">
        <f>ROUND((AD595-(AD595*BG595)),2)</f>
        <v>101.58</v>
      </c>
      <c r="AL595" s="6">
        <f>ROUND((AD595-(AD595*BH595)),2)</f>
        <v>100.56</v>
      </c>
      <c r="AM595" s="6">
        <f>ROUND((AD595-(AD595*BI595)),2)</f>
        <v>99.53</v>
      </c>
      <c r="AN595" s="6">
        <f>ROUND((AD595-(AD595*BJ595)),2)</f>
        <v>99.53</v>
      </c>
      <c r="AO595" s="6">
        <f>ROUND((AD595-(AD595*BK595)),2)</f>
        <v>102.61</v>
      </c>
      <c r="BG595" s="12">
        <v>0.01</v>
      </c>
      <c r="BH595" s="12">
        <v>0.02</v>
      </c>
      <c r="BI595" s="12">
        <v>0.03</v>
      </c>
      <c r="BJ595" s="12">
        <v>0.03</v>
      </c>
      <c r="CC595" s="3" t="str">
        <f>IF(B595&lt;&gt;"",CONCATENATE(SUBSTITUTE(B595," ","-"),".jpg"),"")</f>
        <v>Allied-Moulded-AMU1084HF.jpg</v>
      </c>
      <c r="CD595" s="16" t="s">
        <v>111</v>
      </c>
      <c r="CE595" s="3"/>
      <c r="CF595" s="3"/>
      <c r="CG595" s="3" t="s">
        <v>112</v>
      </c>
      <c r="CI595" s="3" t="s">
        <v>97</v>
      </c>
      <c r="CJ595" s="3" t="s">
        <v>467</v>
      </c>
      <c r="CK595" s="3" t="s">
        <v>114</v>
      </c>
      <c r="CL595" s="3" t="s">
        <v>115</v>
      </c>
      <c r="CM595" s="3" t="s">
        <v>116</v>
      </c>
      <c r="CN595" s="16" t="s">
        <v>349</v>
      </c>
      <c r="CO595" s="3" t="s">
        <v>118</v>
      </c>
      <c r="CP595" s="3" t="s">
        <v>139</v>
      </c>
      <c r="CQ595" s="3" t="s">
        <v>120</v>
      </c>
      <c r="CR595" s="3" t="s">
        <v>140</v>
      </c>
      <c r="CS595" s="3" t="s">
        <v>384</v>
      </c>
      <c r="CT595" s="16" t="s">
        <v>167</v>
      </c>
      <c r="CU595" s="16" t="s">
        <v>385</v>
      </c>
      <c r="CV595" s="16" t="s">
        <v>657</v>
      </c>
    </row>
    <row r="596" spans="1:100" ht="15" customHeight="1">
      <c r="A596" t="s">
        <v>3874</v>
      </c>
      <c r="B596" s="3" t="s">
        <v>3875</v>
      </c>
      <c r="C596" s="16" t="s">
        <v>97</v>
      </c>
      <c r="D596" s="40" t="s">
        <v>3876</v>
      </c>
      <c r="E596" s="16" t="s">
        <v>97</v>
      </c>
      <c r="F596" s="131" t="s">
        <v>3877</v>
      </c>
      <c r="I596" s="100" t="s">
        <v>342</v>
      </c>
      <c r="J596" s="16" t="s">
        <v>101</v>
      </c>
      <c r="K596" s="16"/>
      <c r="L596" s="3" t="s">
        <v>102</v>
      </c>
      <c r="M596" s="3" t="s">
        <v>103</v>
      </c>
      <c r="N596" s="3" t="s">
        <v>104</v>
      </c>
      <c r="O596" s="16" t="s">
        <v>105</v>
      </c>
      <c r="P596" s="3" t="s">
        <v>3878</v>
      </c>
      <c r="Q596" s="3" t="s">
        <v>3878</v>
      </c>
      <c r="R596" s="3" t="s">
        <v>3878</v>
      </c>
      <c r="S596" t="s">
        <v>3874</v>
      </c>
      <c r="T596" s="130" t="s">
        <v>465</v>
      </c>
      <c r="U596" s="35">
        <v>4</v>
      </c>
      <c r="V596" s="40"/>
      <c r="W596" s="40"/>
      <c r="X596" s="59" t="s">
        <v>108</v>
      </c>
      <c r="Y596" s="93">
        <f>IF(AD596=0, 0, IF(OR(H596="", H596&lt;&gt;0), 1, 0))</f>
        <v>1</v>
      </c>
      <c r="Z596" s="3">
        <v>0</v>
      </c>
      <c r="AA596" s="3" t="s">
        <v>3879</v>
      </c>
      <c r="AD596" s="6">
        <f>ROUND((AG596*(1+AJ596)),2)</f>
        <v>121.14</v>
      </c>
      <c r="AE596" s="69">
        <v>138.0470478</v>
      </c>
      <c r="AF596" s="17">
        <f>(AE596*1)</f>
        <v>138.0470478</v>
      </c>
      <c r="AG596" s="6">
        <f>ROUND((AE596*AI596),2)</f>
        <v>89.73</v>
      </c>
      <c r="AH596" s="30" t="s">
        <v>110</v>
      </c>
      <c r="AI596" s="3">
        <v>0.65</v>
      </c>
      <c r="AJ596" s="18">
        <v>0.35</v>
      </c>
      <c r="AK596" s="6">
        <f>ROUND((AD596-(AD596*BG596)),2)</f>
        <v>119.93</v>
      </c>
      <c r="AL596" s="6">
        <f>ROUND((AD596-(AD596*BH596)),2)</f>
        <v>118.72</v>
      </c>
      <c r="AM596" s="6">
        <f>ROUND((AD596-(AD596*BI596)),2)</f>
        <v>117.51</v>
      </c>
      <c r="AN596" s="6">
        <f>ROUND((AD596-(AD596*BJ596)),2)</f>
        <v>117.51</v>
      </c>
      <c r="AO596" s="6">
        <f>ROUND((AD596-(AD596*BK596)),2)</f>
        <v>121.14</v>
      </c>
      <c r="BG596" s="12">
        <v>0.01</v>
      </c>
      <c r="BH596" s="12">
        <v>0.02</v>
      </c>
      <c r="BI596" s="12">
        <v>0.03</v>
      </c>
      <c r="BJ596" s="12">
        <v>0.03</v>
      </c>
      <c r="CC596" s="3" t="str">
        <f>IF(B596&lt;&gt;"",CONCATENATE(SUBSTITUTE(B596," ","-"),".jpg"),"")</f>
        <v>Allied-Moulded-AMU1084L.jpg</v>
      </c>
      <c r="CD596" s="16" t="s">
        <v>111</v>
      </c>
      <c r="CE596" s="3"/>
      <c r="CF596" s="3"/>
      <c r="CG596" s="3" t="s">
        <v>112</v>
      </c>
      <c r="CI596" s="3" t="s">
        <v>97</v>
      </c>
      <c r="CJ596" s="3" t="s">
        <v>467</v>
      </c>
      <c r="CK596" s="3" t="s">
        <v>114</v>
      </c>
      <c r="CL596" s="3" t="s">
        <v>115</v>
      </c>
      <c r="CM596" s="3" t="s">
        <v>116</v>
      </c>
      <c r="CN596" t="s">
        <v>117</v>
      </c>
      <c r="CO596" s="3" t="s">
        <v>118</v>
      </c>
      <c r="CP596" s="3" t="s">
        <v>139</v>
      </c>
      <c r="CQ596" s="3" t="s">
        <v>120</v>
      </c>
      <c r="CR596" s="3" t="s">
        <v>140</v>
      </c>
      <c r="CS596" s="16" t="s">
        <v>122</v>
      </c>
      <c r="CT596" s="16" t="s">
        <v>167</v>
      </c>
      <c r="CU596" s="16" t="s">
        <v>385</v>
      </c>
      <c r="CV596" s="16" t="s">
        <v>657</v>
      </c>
    </row>
    <row r="597" spans="1:100" ht="15" customHeight="1">
      <c r="A597" t="s">
        <v>3880</v>
      </c>
      <c r="B597" s="3" t="s">
        <v>3881</v>
      </c>
      <c r="C597" s="16" t="s">
        <v>97</v>
      </c>
      <c r="D597" s="39" t="s">
        <v>3882</v>
      </c>
      <c r="E597" s="16" t="s">
        <v>97</v>
      </c>
      <c r="F597" s="131" t="s">
        <v>3883</v>
      </c>
      <c r="I597" s="100" t="s">
        <v>342</v>
      </c>
      <c r="J597" s="16" t="s">
        <v>101</v>
      </c>
      <c r="K597" s="16"/>
      <c r="L597" s="3" t="s">
        <v>102</v>
      </c>
      <c r="M597" s="3" t="s">
        <v>103</v>
      </c>
      <c r="N597" s="3" t="s">
        <v>104</v>
      </c>
      <c r="O597" s="16" t="s">
        <v>105</v>
      </c>
      <c r="P597" s="3" t="s">
        <v>3884</v>
      </c>
      <c r="Q597" s="3" t="s">
        <v>3884</v>
      </c>
      <c r="R597" s="3" t="s">
        <v>3884</v>
      </c>
      <c r="S597" t="s">
        <v>3880</v>
      </c>
      <c r="T597" s="130" t="s">
        <v>465</v>
      </c>
      <c r="U597" s="34">
        <v>4</v>
      </c>
      <c r="V597" s="39"/>
      <c r="W597" s="39"/>
      <c r="X597" s="59" t="s">
        <v>108</v>
      </c>
      <c r="Y597" s="93">
        <f>IF(AD597=0, 0, IF(OR(H597="", H597&lt;&gt;0), 1, 0))</f>
        <v>1</v>
      </c>
      <c r="Z597" s="3">
        <v>0</v>
      </c>
      <c r="AA597" s="3" t="s">
        <v>3885</v>
      </c>
      <c r="AD597" s="6">
        <f>ROUND((AG597*(1+AJ597)),2)</f>
        <v>124.52</v>
      </c>
      <c r="AE597" s="69">
        <v>141.90075263</v>
      </c>
      <c r="AF597" s="17">
        <f>(AE597*1)</f>
        <v>141.90075263</v>
      </c>
      <c r="AG597" s="6">
        <f>ROUND((AE597*AI597),2)</f>
        <v>92.24</v>
      </c>
      <c r="AH597" s="30" t="s">
        <v>110</v>
      </c>
      <c r="AI597" s="3">
        <v>0.65</v>
      </c>
      <c r="AJ597" s="18">
        <v>0.35</v>
      </c>
      <c r="AK597" s="6">
        <f>ROUND((AD597-(AD597*BG597)),2)</f>
        <v>123.27</v>
      </c>
      <c r="AL597" s="6">
        <f>ROUND((AD597-(AD597*BH597)),2)</f>
        <v>122.03</v>
      </c>
      <c r="AM597" s="6">
        <f>ROUND((AD597-(AD597*BI597)),2)</f>
        <v>120.78</v>
      </c>
      <c r="AN597" s="6">
        <f>ROUND((AD597-(AD597*BJ597)),2)</f>
        <v>120.78</v>
      </c>
      <c r="AO597" s="6">
        <f>ROUND((AD597-(AD597*BK597)),2)</f>
        <v>124.52</v>
      </c>
      <c r="BG597" s="12">
        <v>0.01</v>
      </c>
      <c r="BH597" s="12">
        <v>0.02</v>
      </c>
      <c r="BI597" s="12">
        <v>0.03</v>
      </c>
      <c r="BJ597" s="12">
        <v>0.03</v>
      </c>
      <c r="CC597" s="3" t="str">
        <f>IF(B597&lt;&gt;"",CONCATENATE(SUBSTITUTE(B597," ","-"),".jpg"),"")</f>
        <v>Allied-Moulded-AMU1084LF.jpg</v>
      </c>
      <c r="CD597" s="16" t="s">
        <v>111</v>
      </c>
      <c r="CE597" s="3"/>
      <c r="CF597" s="3"/>
      <c r="CG597" s="3" t="s">
        <v>112</v>
      </c>
      <c r="CI597" s="3" t="s">
        <v>97</v>
      </c>
      <c r="CJ597" s="3" t="s">
        <v>467</v>
      </c>
      <c r="CK597" s="3" t="s">
        <v>114</v>
      </c>
      <c r="CL597" s="3" t="s">
        <v>115</v>
      </c>
      <c r="CM597" s="3" t="s">
        <v>116</v>
      </c>
      <c r="CN597" t="s">
        <v>117</v>
      </c>
      <c r="CO597" s="3" t="s">
        <v>118</v>
      </c>
      <c r="CP597" s="3" t="s">
        <v>139</v>
      </c>
      <c r="CQ597" s="3" t="s">
        <v>120</v>
      </c>
      <c r="CR597" s="3" t="s">
        <v>140</v>
      </c>
      <c r="CS597" s="16" t="s">
        <v>122</v>
      </c>
      <c r="CT597" s="16" t="s">
        <v>167</v>
      </c>
      <c r="CU597" s="16" t="s">
        <v>385</v>
      </c>
      <c r="CV597" s="16" t="s">
        <v>657</v>
      </c>
    </row>
    <row r="598" spans="1:100" ht="15" customHeight="1">
      <c r="A598" t="s">
        <v>3886</v>
      </c>
      <c r="B598" s="3" t="s">
        <v>3887</v>
      </c>
      <c r="C598" s="16" t="s">
        <v>97</v>
      </c>
      <c r="D598" s="39" t="s">
        <v>3888</v>
      </c>
      <c r="E598" s="16" t="s">
        <v>97</v>
      </c>
      <c r="F598" s="131" t="s">
        <v>3889</v>
      </c>
      <c r="I598" s="100" t="s">
        <v>342</v>
      </c>
      <c r="J598" s="16" t="s">
        <v>101</v>
      </c>
      <c r="K598" s="16"/>
      <c r="L598" s="3" t="s">
        <v>102</v>
      </c>
      <c r="M598" s="3" t="s">
        <v>103</v>
      </c>
      <c r="N598" s="3" t="s">
        <v>104</v>
      </c>
      <c r="O598" s="16" t="s">
        <v>105</v>
      </c>
      <c r="P598" s="3" t="s">
        <v>3890</v>
      </c>
      <c r="Q598" s="3" t="s">
        <v>3890</v>
      </c>
      <c r="R598" s="3" t="s">
        <v>3890</v>
      </c>
      <c r="S598" t="s">
        <v>3886</v>
      </c>
      <c r="T598" s="130" t="s">
        <v>465</v>
      </c>
      <c r="U598" s="34">
        <v>4</v>
      </c>
      <c r="V598" s="39"/>
      <c r="W598" s="39"/>
      <c r="X598" s="59" t="s">
        <v>108</v>
      </c>
      <c r="Y598" s="93">
        <f>IF(AD598=0, 0, IF(OR(H598="", H598&lt;&gt;0), 1, 0))</f>
        <v>1</v>
      </c>
      <c r="Z598" s="3">
        <v>0</v>
      </c>
      <c r="AA598" s="3" t="s">
        <v>3891</v>
      </c>
      <c r="AD598" s="6">
        <f>ROUND((AG598*(1+AJ598)),2)</f>
        <v>115.09</v>
      </c>
      <c r="AE598" s="69">
        <v>131.14909351000003</v>
      </c>
      <c r="AF598" s="17">
        <f>(AE598*1)</f>
        <v>131.14909351000003</v>
      </c>
      <c r="AG598" s="6">
        <f>ROUND((AE598*AI598),2)</f>
        <v>85.25</v>
      </c>
      <c r="AH598" s="30" t="s">
        <v>110</v>
      </c>
      <c r="AI598" s="3">
        <v>0.65</v>
      </c>
      <c r="AJ598" s="18">
        <v>0.35</v>
      </c>
      <c r="AK598" s="6">
        <f>ROUND((AD598-(AD598*BG598)),2)</f>
        <v>113.94</v>
      </c>
      <c r="AL598" s="6">
        <f>ROUND((AD598-(AD598*BH598)),2)</f>
        <v>112.79</v>
      </c>
      <c r="AM598" s="6">
        <f>ROUND((AD598-(AD598*BI598)),2)</f>
        <v>111.64</v>
      </c>
      <c r="AN598" s="6">
        <f>ROUND((AD598-(AD598*BJ598)),2)</f>
        <v>111.64</v>
      </c>
      <c r="AO598" s="6">
        <f>ROUND((AD598-(AD598*BK598)),2)</f>
        <v>115.09</v>
      </c>
      <c r="BG598" s="12">
        <v>0.01</v>
      </c>
      <c r="BH598" s="12">
        <v>0.02</v>
      </c>
      <c r="BI598" s="12">
        <v>0.03</v>
      </c>
      <c r="BJ598" s="12">
        <v>0.03</v>
      </c>
      <c r="CC598" s="3" t="str">
        <f>IF(B598&lt;&gt;"",CONCATENATE(SUBSTITUTE(B598," ","-"),".jpg"),"")</f>
        <v>Allied-Moulded-AMU1084NL.jpg</v>
      </c>
      <c r="CD598" s="16" t="s">
        <v>111</v>
      </c>
      <c r="CE598" s="3"/>
      <c r="CF598" s="3"/>
      <c r="CG598" s="3" t="s">
        <v>112</v>
      </c>
      <c r="CI598" s="3" t="s">
        <v>97</v>
      </c>
      <c r="CJ598" s="3" t="s">
        <v>467</v>
      </c>
      <c r="CK598" s="3" t="s">
        <v>114</v>
      </c>
      <c r="CL598" s="3" t="s">
        <v>115</v>
      </c>
      <c r="CM598" s="3" t="s">
        <v>116</v>
      </c>
      <c r="CN598" t="s">
        <v>117</v>
      </c>
      <c r="CO598" s="3" t="s">
        <v>118</v>
      </c>
      <c r="CP598" s="3" t="s">
        <v>139</v>
      </c>
      <c r="CQ598" s="3" t="s">
        <v>120</v>
      </c>
      <c r="CR598" s="3" t="s">
        <v>140</v>
      </c>
      <c r="CS598" s="16" t="s">
        <v>122</v>
      </c>
      <c r="CT598" s="16" t="s">
        <v>167</v>
      </c>
      <c r="CU598" s="16" t="s">
        <v>385</v>
      </c>
      <c r="CV598" s="16" t="s">
        <v>657</v>
      </c>
    </row>
    <row r="599" spans="1:100" ht="15" customHeight="1">
      <c r="A599" t="s">
        <v>3892</v>
      </c>
      <c r="B599" s="3" t="s">
        <v>3893</v>
      </c>
      <c r="C599" s="16" t="s">
        <v>97</v>
      </c>
      <c r="D599" s="40" t="s">
        <v>3894</v>
      </c>
      <c r="E599" s="16" t="s">
        <v>97</v>
      </c>
      <c r="F599" s="131" t="s">
        <v>3895</v>
      </c>
      <c r="I599" s="100" t="s">
        <v>342</v>
      </c>
      <c r="J599" s="16" t="s">
        <v>101</v>
      </c>
      <c r="K599" s="16"/>
      <c r="L599" s="3" t="s">
        <v>102</v>
      </c>
      <c r="M599" s="3" t="s">
        <v>103</v>
      </c>
      <c r="N599" s="3" t="s">
        <v>104</v>
      </c>
      <c r="O599" s="16" t="s">
        <v>105</v>
      </c>
      <c r="P599" s="3" t="s">
        <v>3896</v>
      </c>
      <c r="Q599" s="3" t="s">
        <v>3896</v>
      </c>
      <c r="R599" s="3" t="s">
        <v>3896</v>
      </c>
      <c r="S599" t="s">
        <v>3892</v>
      </c>
      <c r="T599" s="130" t="s">
        <v>465</v>
      </c>
      <c r="U599" s="35">
        <v>4</v>
      </c>
      <c r="V599" s="40"/>
      <c r="W599" s="40"/>
      <c r="X599" s="59" t="s">
        <v>108</v>
      </c>
      <c r="Y599" s="93">
        <f>IF(AD599=0, 0, IF(OR(H599="", H599&lt;&gt;0), 1, 0))</f>
        <v>1</v>
      </c>
      <c r="Z599" s="3">
        <v>0</v>
      </c>
      <c r="AA599" s="3" t="s">
        <v>3897</v>
      </c>
      <c r="AD599" s="6">
        <f>ROUND((AG599*(1+AJ599)),2)</f>
        <v>118.31</v>
      </c>
      <c r="AE599" s="69">
        <v>134.82683108000001</v>
      </c>
      <c r="AF599" s="17">
        <f>(AE599*1)</f>
        <v>134.82683108000001</v>
      </c>
      <c r="AG599" s="6">
        <f>ROUND((AE599*AI599),2)</f>
        <v>87.64</v>
      </c>
      <c r="AH599" s="30" t="s">
        <v>110</v>
      </c>
      <c r="AI599" s="3">
        <v>0.65</v>
      </c>
      <c r="AJ599" s="18">
        <v>0.35</v>
      </c>
      <c r="AK599" s="6">
        <f>ROUND((AD599-(AD599*BG599)),2)</f>
        <v>117.13</v>
      </c>
      <c r="AL599" s="6">
        <f>ROUND((AD599-(AD599*BH599)),2)</f>
        <v>115.94</v>
      </c>
      <c r="AM599" s="6">
        <f>ROUND((AD599-(AD599*BI599)),2)</f>
        <v>114.76</v>
      </c>
      <c r="AN599" s="6">
        <f>ROUND((AD599-(AD599*BJ599)),2)</f>
        <v>114.76</v>
      </c>
      <c r="AO599" s="6">
        <f>ROUND((AD599-(AD599*BK599)),2)</f>
        <v>118.31</v>
      </c>
      <c r="BG599" s="12">
        <v>0.01</v>
      </c>
      <c r="BH599" s="12">
        <v>0.02</v>
      </c>
      <c r="BI599" s="12">
        <v>0.03</v>
      </c>
      <c r="BJ599" s="12">
        <v>0.03</v>
      </c>
      <c r="CC599" s="3" t="str">
        <f>IF(B599&lt;&gt;"",CONCATENATE(SUBSTITUTE(B599," ","-"),".jpg"),"")</f>
        <v>Allied-Moulded-AMU1084NLF.jpg</v>
      </c>
      <c r="CD599" s="16" t="s">
        <v>111</v>
      </c>
      <c r="CE599" s="3"/>
      <c r="CF599" s="3"/>
      <c r="CG599" s="3" t="s">
        <v>112</v>
      </c>
      <c r="CI599" s="3" t="s">
        <v>97</v>
      </c>
      <c r="CJ599" s="3" t="s">
        <v>467</v>
      </c>
      <c r="CK599" s="3" t="s">
        <v>114</v>
      </c>
      <c r="CL599" s="3" t="s">
        <v>115</v>
      </c>
      <c r="CM599" s="3" t="s">
        <v>116</v>
      </c>
      <c r="CN599" t="s">
        <v>117</v>
      </c>
      <c r="CO599" s="3" t="s">
        <v>118</v>
      </c>
      <c r="CP599" s="3" t="s">
        <v>139</v>
      </c>
      <c r="CQ599" s="3" t="s">
        <v>120</v>
      </c>
      <c r="CR599" s="3" t="s">
        <v>140</v>
      </c>
      <c r="CS599" s="16" t="s">
        <v>122</v>
      </c>
      <c r="CT599" s="16" t="s">
        <v>167</v>
      </c>
      <c r="CU599" s="16" t="s">
        <v>385</v>
      </c>
      <c r="CV599" s="16" t="s">
        <v>657</v>
      </c>
    </row>
    <row r="600" spans="1:100" ht="15" customHeight="1">
      <c r="A600" t="s">
        <v>3898</v>
      </c>
      <c r="B600" s="3" t="s">
        <v>3899</v>
      </c>
      <c r="C600" s="16" t="s">
        <v>97</v>
      </c>
      <c r="D600" s="40" t="s">
        <v>3900</v>
      </c>
      <c r="E600" s="16" t="s">
        <v>97</v>
      </c>
      <c r="F600" s="131" t="s">
        <v>3901</v>
      </c>
      <c r="I600" s="100" t="s">
        <v>342</v>
      </c>
      <c r="J600" s="16" t="s">
        <v>101</v>
      </c>
      <c r="K600" s="16"/>
      <c r="L600" s="3" t="s">
        <v>102</v>
      </c>
      <c r="M600" s="3" t="s">
        <v>103</v>
      </c>
      <c r="N600" s="3" t="s">
        <v>104</v>
      </c>
      <c r="O600" s="16" t="s">
        <v>105</v>
      </c>
      <c r="P600" s="3" t="s">
        <v>3902</v>
      </c>
      <c r="Q600" s="3" t="s">
        <v>3902</v>
      </c>
      <c r="R600" s="3" t="s">
        <v>3902</v>
      </c>
      <c r="S600" t="s">
        <v>3898</v>
      </c>
      <c r="T600" s="130" t="s">
        <v>465</v>
      </c>
      <c r="U600" s="51">
        <v>4</v>
      </c>
      <c r="V600" s="58"/>
      <c r="W600" s="58"/>
      <c r="X600" s="59" t="s">
        <v>108</v>
      </c>
      <c r="Y600" s="93">
        <f>IF(AD600=0, 0, IF(OR(H600="", H600&lt;&gt;0), 1, 0))</f>
        <v>1</v>
      </c>
      <c r="Z600" s="3">
        <v>0</v>
      </c>
      <c r="AA600" s="3" t="s">
        <v>3903</v>
      </c>
      <c r="AD600" s="6">
        <f>ROUND((AG600*(1+AJ600)),2)</f>
        <v>121.14</v>
      </c>
      <c r="AE600" s="69">
        <v>138.0470478</v>
      </c>
      <c r="AF600" s="17">
        <f>(AE600*1)</f>
        <v>138.0470478</v>
      </c>
      <c r="AG600" s="6">
        <f>ROUND((AE600*AI600),2)</f>
        <v>89.73</v>
      </c>
      <c r="AH600" s="30" t="s">
        <v>110</v>
      </c>
      <c r="AI600" s="3">
        <v>0.65</v>
      </c>
      <c r="AJ600" s="18">
        <v>0.35</v>
      </c>
      <c r="AK600" s="6">
        <f>ROUND((AD600-(AD600*BG600)),2)</f>
        <v>119.93</v>
      </c>
      <c r="AL600" s="6">
        <f>ROUND((AD600-(AD600*BH600)),2)</f>
        <v>118.72</v>
      </c>
      <c r="AM600" s="6">
        <f>ROUND((AD600-(AD600*BI600)),2)</f>
        <v>117.51</v>
      </c>
      <c r="AN600" s="6">
        <f>ROUND((AD600-(AD600*BJ600)),2)</f>
        <v>117.51</v>
      </c>
      <c r="AO600" s="6">
        <f>ROUND((AD600-(AD600*BK600)),2)</f>
        <v>121.14</v>
      </c>
      <c r="BG600" s="12">
        <v>0.01</v>
      </c>
      <c r="BH600" s="12">
        <v>0.02</v>
      </c>
      <c r="BI600" s="12">
        <v>0.03</v>
      </c>
      <c r="BJ600" s="12">
        <v>0.03</v>
      </c>
      <c r="CC600" s="3" t="str">
        <f>IF(B600&lt;&gt;"",CONCATENATE(SUBSTITUTE(B600," ","-"),".jpg"),"")</f>
        <v>Allied-Moulded-AMU1084T.jpg</v>
      </c>
      <c r="CD600" s="16" t="s">
        <v>111</v>
      </c>
      <c r="CE600" s="3"/>
      <c r="CF600" s="3"/>
      <c r="CG600" s="3" t="s">
        <v>112</v>
      </c>
      <c r="CI600" s="3" t="s">
        <v>97</v>
      </c>
      <c r="CJ600" s="3" t="s">
        <v>467</v>
      </c>
      <c r="CK600" s="3" t="s">
        <v>114</v>
      </c>
      <c r="CL600" s="3" t="s">
        <v>115</v>
      </c>
      <c r="CM600" s="3" t="s">
        <v>116</v>
      </c>
      <c r="CN600" s="16" t="s">
        <v>132</v>
      </c>
      <c r="CO600" s="3" t="s">
        <v>118</v>
      </c>
      <c r="CP600" s="3" t="s">
        <v>139</v>
      </c>
      <c r="CQ600" s="3" t="s">
        <v>120</v>
      </c>
      <c r="CR600" s="3" t="s">
        <v>140</v>
      </c>
      <c r="CS600" s="16" t="s">
        <v>122</v>
      </c>
      <c r="CT600" s="16" t="s">
        <v>167</v>
      </c>
      <c r="CU600" s="16" t="s">
        <v>385</v>
      </c>
      <c r="CV600" s="16" t="s">
        <v>657</v>
      </c>
    </row>
    <row r="601" spans="1:100" ht="15" customHeight="1">
      <c r="A601" t="s">
        <v>3904</v>
      </c>
      <c r="B601" s="3" t="s">
        <v>3905</v>
      </c>
      <c r="C601" s="16" t="s">
        <v>97</v>
      </c>
      <c r="D601" s="39" t="s">
        <v>3906</v>
      </c>
      <c r="E601" s="16" t="s">
        <v>97</v>
      </c>
      <c r="F601" s="131" t="s">
        <v>3907</v>
      </c>
      <c r="I601" s="100" t="s">
        <v>342</v>
      </c>
      <c r="J601" s="16" t="s">
        <v>101</v>
      </c>
      <c r="K601" s="16"/>
      <c r="L601" s="3" t="s">
        <v>102</v>
      </c>
      <c r="M601" s="3" t="s">
        <v>103</v>
      </c>
      <c r="N601" s="3" t="s">
        <v>104</v>
      </c>
      <c r="O601" s="16" t="s">
        <v>105</v>
      </c>
      <c r="P601" s="3" t="s">
        <v>3908</v>
      </c>
      <c r="Q601" s="3" t="s">
        <v>3908</v>
      </c>
      <c r="R601" s="3" t="s">
        <v>3908</v>
      </c>
      <c r="S601" t="s">
        <v>3904</v>
      </c>
      <c r="T601" s="130" t="s">
        <v>465</v>
      </c>
      <c r="U601" s="50">
        <v>4</v>
      </c>
      <c r="V601" s="54"/>
      <c r="W601" s="54"/>
      <c r="X601" s="59" t="s">
        <v>108</v>
      </c>
      <c r="Y601" s="93">
        <f>IF(AD601=0, 0, IF(OR(H601="", H601&lt;&gt;0), 1, 0))</f>
        <v>1</v>
      </c>
      <c r="Z601" s="3">
        <v>0</v>
      </c>
      <c r="AA601" s="3" t="s">
        <v>3909</v>
      </c>
      <c r="AD601" s="6">
        <f>ROUND((AG601*(1+AJ601)),2)</f>
        <v>124.52</v>
      </c>
      <c r="AE601" s="69">
        <v>141.90075263</v>
      </c>
      <c r="AF601" s="17">
        <f>(AE601*1)</f>
        <v>141.90075263</v>
      </c>
      <c r="AG601" s="6">
        <f>ROUND((AE601*AI601),2)</f>
        <v>92.24</v>
      </c>
      <c r="AH601" s="30" t="s">
        <v>110</v>
      </c>
      <c r="AI601" s="3">
        <v>0.65</v>
      </c>
      <c r="AJ601" s="18">
        <v>0.35</v>
      </c>
      <c r="AK601" s="6">
        <f>ROUND((AD601-(AD601*BG601)),2)</f>
        <v>123.27</v>
      </c>
      <c r="AL601" s="6">
        <f>ROUND((AD601-(AD601*BH601)),2)</f>
        <v>122.03</v>
      </c>
      <c r="AM601" s="6">
        <f>ROUND((AD601-(AD601*BI601)),2)</f>
        <v>120.78</v>
      </c>
      <c r="AN601" s="6">
        <f>ROUND((AD601-(AD601*BJ601)),2)</f>
        <v>120.78</v>
      </c>
      <c r="AO601" s="6">
        <f>ROUND((AD601-(AD601*BK601)),2)</f>
        <v>124.52</v>
      </c>
      <c r="BG601" s="12">
        <v>0.01</v>
      </c>
      <c r="BH601" s="12">
        <v>0.02</v>
      </c>
      <c r="BI601" s="12">
        <v>0.03</v>
      </c>
      <c r="BJ601" s="12">
        <v>0.03</v>
      </c>
      <c r="CC601" s="3" t="str">
        <f>IF(B601&lt;&gt;"",CONCATENATE(SUBSTITUTE(B601," ","-"),".jpg"),"")</f>
        <v>Allied-Moulded-AMU1084TF.jpg</v>
      </c>
      <c r="CD601" s="16" t="s">
        <v>111</v>
      </c>
      <c r="CE601" s="3"/>
      <c r="CF601" s="3"/>
      <c r="CG601" s="3" t="s">
        <v>112</v>
      </c>
      <c r="CI601" s="3" t="s">
        <v>97</v>
      </c>
      <c r="CJ601" s="3" t="s">
        <v>467</v>
      </c>
      <c r="CK601" s="3" t="s">
        <v>114</v>
      </c>
      <c r="CL601" s="3" t="s">
        <v>115</v>
      </c>
      <c r="CM601" s="3" t="s">
        <v>116</v>
      </c>
      <c r="CN601" s="16" t="s">
        <v>132</v>
      </c>
      <c r="CO601" s="3" t="s">
        <v>118</v>
      </c>
      <c r="CP601" s="3" t="s">
        <v>139</v>
      </c>
      <c r="CQ601" s="3" t="s">
        <v>120</v>
      </c>
      <c r="CR601" s="3" t="s">
        <v>140</v>
      </c>
      <c r="CS601" s="16" t="s">
        <v>122</v>
      </c>
      <c r="CT601" s="16" t="s">
        <v>167</v>
      </c>
      <c r="CU601" s="16" t="s">
        <v>385</v>
      </c>
      <c r="CV601" s="16" t="s">
        <v>657</v>
      </c>
    </row>
    <row r="602" spans="1:100" ht="15" customHeight="1">
      <c r="A602" t="s">
        <v>3910</v>
      </c>
      <c r="B602" s="3" t="s">
        <v>3911</v>
      </c>
      <c r="C602" s="16" t="s">
        <v>97</v>
      </c>
      <c r="D602" s="40" t="s">
        <v>3912</v>
      </c>
      <c r="E602" s="16" t="s">
        <v>97</v>
      </c>
      <c r="F602" s="131" t="s">
        <v>3913</v>
      </c>
      <c r="I602" s="100" t="s">
        <v>342</v>
      </c>
      <c r="J602" s="16" t="s">
        <v>101</v>
      </c>
      <c r="K602" s="16"/>
      <c r="L602" s="3" t="s">
        <v>102</v>
      </c>
      <c r="M602" s="3" t="s">
        <v>103</v>
      </c>
      <c r="N602" s="3" t="s">
        <v>104</v>
      </c>
      <c r="O602" s="16" t="s">
        <v>105</v>
      </c>
      <c r="P602" s="3" t="s">
        <v>3914</v>
      </c>
      <c r="Q602" s="3" t="s">
        <v>3914</v>
      </c>
      <c r="R602" s="3" t="s">
        <v>3914</v>
      </c>
      <c r="S602" t="s">
        <v>3910</v>
      </c>
      <c r="T602" s="130" t="s">
        <v>465</v>
      </c>
      <c r="U602" s="51">
        <v>4</v>
      </c>
      <c r="V602" s="58"/>
      <c r="W602" s="58"/>
      <c r="X602" s="59" t="s">
        <v>108</v>
      </c>
      <c r="Y602" s="93">
        <f>IF(AD602=0, 0, IF(OR(H602="", H602&lt;&gt;0), 1, 0))</f>
        <v>1</v>
      </c>
      <c r="Z602" s="3">
        <v>0</v>
      </c>
      <c r="AA602" s="3" t="s">
        <v>3915</v>
      </c>
      <c r="AD602" s="6">
        <f>ROUND((AG602*(1+AJ602)),2)</f>
        <v>164.21</v>
      </c>
      <c r="AE602" s="69">
        <v>187.14217289999999</v>
      </c>
      <c r="AF602" s="17">
        <f>(AE602*1)</f>
        <v>187.14217289999999</v>
      </c>
      <c r="AG602" s="6">
        <f>ROUND((AE602*AI602),2)</f>
        <v>121.64</v>
      </c>
      <c r="AH602" s="30" t="s">
        <v>110</v>
      </c>
      <c r="AI602" s="3">
        <v>0.65</v>
      </c>
      <c r="AJ602" s="18">
        <v>0.35</v>
      </c>
      <c r="AK602" s="6">
        <f>ROUND((AD602-(AD602*BG602)),2)</f>
        <v>162.57</v>
      </c>
      <c r="AL602" s="6">
        <f>ROUND((AD602-(AD602*BH602)),2)</f>
        <v>160.93</v>
      </c>
      <c r="AM602" s="6">
        <f>ROUND((AD602-(AD602*BI602)),2)</f>
        <v>159.28</v>
      </c>
      <c r="AN602" s="6">
        <f>ROUND((AD602-(AD602*BJ602)),2)</f>
        <v>159.28</v>
      </c>
      <c r="AO602" s="6">
        <f>ROUND((AD602-(AD602*BK602)),2)</f>
        <v>164.21</v>
      </c>
      <c r="BG602" s="12">
        <v>0.01</v>
      </c>
      <c r="BH602" s="12">
        <v>0.02</v>
      </c>
      <c r="BI602" s="12">
        <v>0.03</v>
      </c>
      <c r="BJ602" s="12">
        <v>0.03</v>
      </c>
      <c r="CC602" s="3" t="str">
        <f>IF(B602&lt;&gt;"",CONCATENATE(SUBSTITUTE(B602," ","-"),".jpg"),"")</f>
        <v>Allied-Moulded-AMU1084W.jpg</v>
      </c>
      <c r="CD602" s="16" t="s">
        <v>111</v>
      </c>
      <c r="CE602" s="3"/>
      <c r="CF602" s="3"/>
      <c r="CG602" s="3" t="s">
        <v>112</v>
      </c>
      <c r="CI602" s="3" t="s">
        <v>97</v>
      </c>
      <c r="CJ602" s="3" t="s">
        <v>467</v>
      </c>
      <c r="CK602" s="3" t="s">
        <v>114</v>
      </c>
      <c r="CL602" s="3" t="s">
        <v>115</v>
      </c>
      <c r="CM602" s="16"/>
      <c r="CN602" s="16" t="s">
        <v>349</v>
      </c>
      <c r="CO602" s="3" t="s">
        <v>118</v>
      </c>
      <c r="CP602" s="3" t="s">
        <v>139</v>
      </c>
      <c r="CQ602" s="3" t="s">
        <v>120</v>
      </c>
      <c r="CR602" s="3" t="s">
        <v>140</v>
      </c>
      <c r="CS602" s="3" t="s">
        <v>384</v>
      </c>
      <c r="CT602" s="16" t="s">
        <v>167</v>
      </c>
      <c r="CU602" s="16" t="s">
        <v>385</v>
      </c>
      <c r="CV602" s="16" t="s">
        <v>657</v>
      </c>
    </row>
    <row r="603" spans="1:100" ht="15" customHeight="1">
      <c r="A603" t="s">
        <v>3916</v>
      </c>
      <c r="B603" s="3" t="s">
        <v>3917</v>
      </c>
      <c r="C603" s="16" t="s">
        <v>97</v>
      </c>
      <c r="D603" s="39" t="s">
        <v>3918</v>
      </c>
      <c r="E603" s="16" t="s">
        <v>97</v>
      </c>
      <c r="F603" s="131" t="s">
        <v>3919</v>
      </c>
      <c r="I603" s="100" t="s">
        <v>342</v>
      </c>
      <c r="J603" s="16" t="s">
        <v>101</v>
      </c>
      <c r="K603" s="16"/>
      <c r="L603" s="3" t="s">
        <v>102</v>
      </c>
      <c r="M603" s="3" t="s">
        <v>103</v>
      </c>
      <c r="N603" s="3" t="s">
        <v>104</v>
      </c>
      <c r="O603" s="16" t="s">
        <v>105</v>
      </c>
      <c r="P603" s="3" t="s">
        <v>3920</v>
      </c>
      <c r="Q603" s="3" t="s">
        <v>3920</v>
      </c>
      <c r="R603" s="3" t="s">
        <v>3920</v>
      </c>
      <c r="S603" t="s">
        <v>3916</v>
      </c>
      <c r="T603" s="130" t="s">
        <v>465</v>
      </c>
      <c r="U603" s="50">
        <v>4</v>
      </c>
      <c r="V603" s="54"/>
      <c r="W603" s="54"/>
      <c r="X603" s="59" t="s">
        <v>108</v>
      </c>
      <c r="Y603" s="93">
        <f>IF(AD603=0, 0, IF(OR(H603="", H603&lt;&gt;0), 1, 0))</f>
        <v>1</v>
      </c>
      <c r="Z603" s="3">
        <v>0</v>
      </c>
      <c r="AA603" s="3" t="s">
        <v>3921</v>
      </c>
      <c r="AD603" s="6">
        <f>ROUND((AG603*(1+AJ603)),2)</f>
        <v>168.76</v>
      </c>
      <c r="AE603" s="69">
        <v>192.31563939000003</v>
      </c>
      <c r="AF603" s="17">
        <f>(AE603*1)</f>
        <v>192.31563939000003</v>
      </c>
      <c r="AG603" s="6">
        <f>ROUND((AE603*AI603),2)</f>
        <v>125.01</v>
      </c>
      <c r="AH603" s="30" t="s">
        <v>110</v>
      </c>
      <c r="AI603" s="3">
        <v>0.65</v>
      </c>
      <c r="AJ603" s="18">
        <v>0.35</v>
      </c>
      <c r="AK603" s="6">
        <f>ROUND((AD603-(AD603*BG603)),2)</f>
        <v>167.07</v>
      </c>
      <c r="AL603" s="6">
        <f>ROUND((AD603-(AD603*BH603)),2)</f>
        <v>165.38</v>
      </c>
      <c r="AM603" s="6">
        <f>ROUND((AD603-(AD603*BI603)),2)</f>
        <v>163.69999999999999</v>
      </c>
      <c r="AN603" s="6">
        <f>ROUND((AD603-(AD603*BJ603)),2)</f>
        <v>163.69999999999999</v>
      </c>
      <c r="AO603" s="6">
        <f>ROUND((AD603-(AD603*BK603)),2)</f>
        <v>168.76</v>
      </c>
      <c r="BG603" s="12">
        <v>0.01</v>
      </c>
      <c r="BH603" s="12">
        <v>0.02</v>
      </c>
      <c r="BI603" s="12">
        <v>0.03</v>
      </c>
      <c r="BJ603" s="12">
        <v>0.03</v>
      </c>
      <c r="CC603" s="3" t="str">
        <f>IF(B603&lt;&gt;"",CONCATENATE(SUBSTITUTE(B603," ","-"),".jpg"),"")</f>
        <v>Allied-Moulded-AMU1084WF.jpg</v>
      </c>
      <c r="CD603" s="16" t="s">
        <v>111</v>
      </c>
      <c r="CE603" s="3"/>
      <c r="CF603" s="3"/>
      <c r="CG603" s="3" t="s">
        <v>112</v>
      </c>
      <c r="CI603" s="3" t="s">
        <v>97</v>
      </c>
      <c r="CJ603" s="3" t="s">
        <v>467</v>
      </c>
      <c r="CK603" s="3" t="s">
        <v>114</v>
      </c>
      <c r="CL603" s="3" t="s">
        <v>115</v>
      </c>
      <c r="CM603" s="16"/>
      <c r="CN603" s="16" t="s">
        <v>349</v>
      </c>
      <c r="CO603" s="3" t="s">
        <v>118</v>
      </c>
      <c r="CP603" s="3" t="s">
        <v>139</v>
      </c>
      <c r="CQ603" s="3" t="s">
        <v>120</v>
      </c>
      <c r="CR603" s="3" t="s">
        <v>140</v>
      </c>
      <c r="CS603" s="3" t="s">
        <v>384</v>
      </c>
      <c r="CT603" s="16" t="s">
        <v>167</v>
      </c>
      <c r="CU603" s="16" t="s">
        <v>385</v>
      </c>
      <c r="CV603" s="16" t="s">
        <v>657</v>
      </c>
    </row>
    <row r="604" spans="1:100" ht="15" customHeight="1">
      <c r="A604" t="s">
        <v>3922</v>
      </c>
      <c r="B604" s="3" t="s">
        <v>3923</v>
      </c>
      <c r="C604" s="16" t="s">
        <v>97</v>
      </c>
      <c r="D604" s="40" t="s">
        <v>3924</v>
      </c>
      <c r="E604" s="16" t="s">
        <v>97</v>
      </c>
      <c r="F604" s="131" t="s">
        <v>3925</v>
      </c>
      <c r="I604" s="100" t="s">
        <v>342</v>
      </c>
      <c r="J604" s="16" t="s">
        <v>101</v>
      </c>
      <c r="K604" s="16"/>
      <c r="L604" s="3" t="s">
        <v>102</v>
      </c>
      <c r="M604" s="3" t="s">
        <v>103</v>
      </c>
      <c r="N604" s="3" t="s">
        <v>104</v>
      </c>
      <c r="O604" s="16" t="s">
        <v>105</v>
      </c>
      <c r="P604" s="3" t="s">
        <v>3926</v>
      </c>
      <c r="Q604" s="3" t="s">
        <v>3926</v>
      </c>
      <c r="R604" s="3" t="s">
        <v>3926</v>
      </c>
      <c r="S604" t="s">
        <v>3922</v>
      </c>
      <c r="T604" s="130" t="s">
        <v>465</v>
      </c>
      <c r="U604" s="35">
        <v>4</v>
      </c>
      <c r="V604" s="40"/>
      <c r="W604" s="40"/>
      <c r="X604" s="59" t="s">
        <v>108</v>
      </c>
      <c r="Y604" s="93">
        <f>IF(AD604=0, 0, IF(OR(H604="", H604&lt;&gt;0), 1, 0))</f>
        <v>1</v>
      </c>
      <c r="Z604" s="3">
        <v>0</v>
      </c>
      <c r="AA604" s="3" t="s">
        <v>3927</v>
      </c>
      <c r="AD604" s="6">
        <f>ROUND((AG604*(1+AJ604)),2)</f>
        <v>168.21</v>
      </c>
      <c r="AE604" s="69">
        <v>191.69974985999997</v>
      </c>
      <c r="AF604" s="17">
        <f>(AE604*1)</f>
        <v>191.69974985999997</v>
      </c>
      <c r="AG604" s="6">
        <f>ROUND((AE604*AI604),2)</f>
        <v>124.6</v>
      </c>
      <c r="AH604" s="30" t="s">
        <v>110</v>
      </c>
      <c r="AI604" s="3">
        <v>0.65</v>
      </c>
      <c r="AJ604" s="18">
        <v>0.35</v>
      </c>
      <c r="AK604" s="6">
        <f>ROUND((AD604-(AD604*BG604)),2)</f>
        <v>166.53</v>
      </c>
      <c r="AL604" s="6">
        <f>ROUND((AD604-(AD604*BH604)),2)</f>
        <v>164.85</v>
      </c>
      <c r="AM604" s="6">
        <f>ROUND((AD604-(AD604*BI604)),2)</f>
        <v>163.16</v>
      </c>
      <c r="AN604" s="6">
        <f>ROUND((AD604-(AD604*BJ604)),2)</f>
        <v>163.16</v>
      </c>
      <c r="AO604" s="6">
        <f>ROUND((AD604-(AD604*BK604)),2)</f>
        <v>168.21</v>
      </c>
      <c r="BG604" s="12">
        <v>0.01</v>
      </c>
      <c r="BH604" s="12">
        <v>0.02</v>
      </c>
      <c r="BI604" s="12">
        <v>0.03</v>
      </c>
      <c r="BJ604" s="12">
        <v>0.03</v>
      </c>
      <c r="CC604" s="3" t="str">
        <f>IF(B604&lt;&gt;"",CONCATENATE(SUBSTITUTE(B604," ","-"),".jpg"),"")</f>
        <v>Allied-Moulded-AMU1084HW.jpg</v>
      </c>
      <c r="CD604" s="16" t="s">
        <v>111</v>
      </c>
      <c r="CE604" s="3"/>
      <c r="CF604" s="3"/>
      <c r="CG604" s="3" t="s">
        <v>112</v>
      </c>
      <c r="CI604" s="3" t="s">
        <v>97</v>
      </c>
      <c r="CJ604" s="3" t="s">
        <v>467</v>
      </c>
      <c r="CK604" s="3" t="s">
        <v>114</v>
      </c>
      <c r="CL604" s="3" t="s">
        <v>115</v>
      </c>
      <c r="CM604" s="3" t="s">
        <v>116</v>
      </c>
      <c r="CN604" s="16" t="s">
        <v>349</v>
      </c>
      <c r="CO604" s="3" t="s">
        <v>118</v>
      </c>
      <c r="CP604" s="3" t="s">
        <v>139</v>
      </c>
      <c r="CQ604" s="3" t="s">
        <v>120</v>
      </c>
      <c r="CR604" s="3" t="s">
        <v>140</v>
      </c>
      <c r="CS604" s="3" t="s">
        <v>384</v>
      </c>
      <c r="CT604" s="16" t="s">
        <v>167</v>
      </c>
      <c r="CU604" s="16" t="s">
        <v>385</v>
      </c>
      <c r="CV604" s="16" t="s">
        <v>657</v>
      </c>
    </row>
    <row r="605" spans="1:100" ht="15" customHeight="1">
      <c r="A605" t="s">
        <v>3928</v>
      </c>
      <c r="B605" s="3" t="s">
        <v>3929</v>
      </c>
      <c r="C605" s="16" t="s">
        <v>97</v>
      </c>
      <c r="D605" s="39" t="s">
        <v>3930</v>
      </c>
      <c r="E605" s="16" t="s">
        <v>97</v>
      </c>
      <c r="F605" s="131" t="s">
        <v>3931</v>
      </c>
      <c r="I605" s="100" t="s">
        <v>342</v>
      </c>
      <c r="J605" s="16" t="s">
        <v>101</v>
      </c>
      <c r="K605" s="16"/>
      <c r="L605" s="3" t="s">
        <v>102</v>
      </c>
      <c r="M605" s="3" t="s">
        <v>103</v>
      </c>
      <c r="N605" s="3" t="s">
        <v>104</v>
      </c>
      <c r="O605" s="16" t="s">
        <v>105</v>
      </c>
      <c r="P605" s="3" t="s">
        <v>3932</v>
      </c>
      <c r="Q605" s="3" t="s">
        <v>3932</v>
      </c>
      <c r="R605" s="3" t="s">
        <v>3932</v>
      </c>
      <c r="S605" t="s">
        <v>3928</v>
      </c>
      <c r="T605" s="130" t="s">
        <v>465</v>
      </c>
      <c r="U605" s="34">
        <v>4</v>
      </c>
      <c r="V605" s="39"/>
      <c r="W605" s="39"/>
      <c r="X605" s="59" t="s">
        <v>108</v>
      </c>
      <c r="Y605" s="93">
        <f>IF(AD605=0, 0, IF(OR(H605="", H605&lt;&gt;0), 1, 0))</f>
        <v>1</v>
      </c>
      <c r="Z605" s="3">
        <v>0</v>
      </c>
      <c r="AA605" s="3" t="s">
        <v>3933</v>
      </c>
      <c r="AD605" s="6">
        <f>ROUND((AG605*(1+AJ605)),2)</f>
        <v>172.87</v>
      </c>
      <c r="AE605" s="69">
        <v>196.99639301999997</v>
      </c>
      <c r="AF605" s="17">
        <f>(AE605*1)</f>
        <v>196.99639301999997</v>
      </c>
      <c r="AG605" s="6">
        <f>ROUND((AE605*AI605),2)</f>
        <v>128.05000000000001</v>
      </c>
      <c r="AH605" s="30" t="s">
        <v>110</v>
      </c>
      <c r="AI605" s="3">
        <v>0.65</v>
      </c>
      <c r="AJ605" s="18">
        <v>0.35</v>
      </c>
      <c r="AK605" s="6">
        <f>ROUND((AD605-(AD605*BG605)),2)</f>
        <v>171.14</v>
      </c>
      <c r="AL605" s="6">
        <f>ROUND((AD605-(AD605*BH605)),2)</f>
        <v>169.41</v>
      </c>
      <c r="AM605" s="6">
        <f>ROUND((AD605-(AD605*BI605)),2)</f>
        <v>167.68</v>
      </c>
      <c r="AN605" s="6">
        <f>ROUND((AD605-(AD605*BJ605)),2)</f>
        <v>167.68</v>
      </c>
      <c r="AO605" s="6">
        <f>ROUND((AD605-(AD605*BK605)),2)</f>
        <v>172.87</v>
      </c>
      <c r="BG605" s="12">
        <v>0.01</v>
      </c>
      <c r="BH605" s="12">
        <v>0.02</v>
      </c>
      <c r="BI605" s="12">
        <v>0.03</v>
      </c>
      <c r="BJ605" s="12">
        <v>0.03</v>
      </c>
      <c r="CC605" s="3" t="str">
        <f>IF(B605&lt;&gt;"",CONCATENATE(SUBSTITUTE(B605," ","-"),".jpg"),"")</f>
        <v>Allied-Moulded-AMU1084HWF.jpg</v>
      </c>
      <c r="CD605" s="16" t="s">
        <v>111</v>
      </c>
      <c r="CE605" s="3"/>
      <c r="CF605" s="3"/>
      <c r="CG605" s="3" t="s">
        <v>112</v>
      </c>
      <c r="CI605" s="3" t="s">
        <v>97</v>
      </c>
      <c r="CJ605" s="3" t="s">
        <v>467</v>
      </c>
      <c r="CK605" s="3" t="s">
        <v>114</v>
      </c>
      <c r="CL605" s="3" t="s">
        <v>115</v>
      </c>
      <c r="CM605" s="3" t="s">
        <v>116</v>
      </c>
      <c r="CN605" s="16" t="s">
        <v>349</v>
      </c>
      <c r="CO605" s="3" t="s">
        <v>118</v>
      </c>
      <c r="CP605" s="3" t="s">
        <v>139</v>
      </c>
      <c r="CQ605" s="3" t="s">
        <v>120</v>
      </c>
      <c r="CR605" s="3" t="s">
        <v>140</v>
      </c>
      <c r="CS605" s="3" t="s">
        <v>384</v>
      </c>
      <c r="CT605" s="16" t="s">
        <v>167</v>
      </c>
      <c r="CU605" s="16" t="s">
        <v>385</v>
      </c>
      <c r="CV605" s="16" t="s">
        <v>657</v>
      </c>
    </row>
    <row r="606" spans="1:100" ht="15" customHeight="1">
      <c r="A606" t="s">
        <v>3934</v>
      </c>
      <c r="B606" s="3" t="s">
        <v>3935</v>
      </c>
      <c r="C606" s="16" t="s">
        <v>97</v>
      </c>
      <c r="D606" s="39" t="s">
        <v>3936</v>
      </c>
      <c r="E606" s="16" t="s">
        <v>97</v>
      </c>
      <c r="F606" s="131" t="s">
        <v>3937</v>
      </c>
      <c r="I606" s="100" t="s">
        <v>342</v>
      </c>
      <c r="J606" s="16" t="s">
        <v>101</v>
      </c>
      <c r="K606" s="16"/>
      <c r="L606" s="3" t="s">
        <v>102</v>
      </c>
      <c r="M606" s="3" t="s">
        <v>103</v>
      </c>
      <c r="N606" s="3" t="s">
        <v>104</v>
      </c>
      <c r="O606" s="16" t="s">
        <v>105</v>
      </c>
      <c r="P606" s="3" t="s">
        <v>3938</v>
      </c>
      <c r="Q606" s="3" t="s">
        <v>3938</v>
      </c>
      <c r="R606" s="3" t="s">
        <v>3938</v>
      </c>
      <c r="S606" t="s">
        <v>3934</v>
      </c>
      <c r="T606" s="130" t="s">
        <v>465</v>
      </c>
      <c r="U606" s="34">
        <v>4</v>
      </c>
      <c r="V606" s="39"/>
      <c r="W606" s="39"/>
      <c r="X606" s="59" t="s">
        <v>108</v>
      </c>
      <c r="Y606" s="93">
        <f>IF(AD606=0, 0, IF(OR(H606="", H606&lt;&gt;0), 1, 0))</f>
        <v>1</v>
      </c>
      <c r="Z606" s="3">
        <v>0</v>
      </c>
      <c r="AA606" s="3" t="s">
        <v>3939</v>
      </c>
      <c r="AD606" s="6">
        <f>ROUND((AG606*(1+AJ606)),2)</f>
        <v>183.72</v>
      </c>
      <c r="AE606" s="69">
        <v>209.36695773</v>
      </c>
      <c r="AF606" s="17">
        <f>(AE606*1)</f>
        <v>209.36695773</v>
      </c>
      <c r="AG606" s="6">
        <f>ROUND((AE606*AI606),2)</f>
        <v>136.09</v>
      </c>
      <c r="AH606" s="30" t="s">
        <v>110</v>
      </c>
      <c r="AI606" s="3">
        <v>0.65</v>
      </c>
      <c r="AJ606" s="18">
        <v>0.35</v>
      </c>
      <c r="AK606" s="6">
        <f>ROUND((AD606-(AD606*BG606)),2)</f>
        <v>181.88</v>
      </c>
      <c r="AL606" s="6">
        <f>ROUND((AD606-(AD606*BH606)),2)</f>
        <v>180.05</v>
      </c>
      <c r="AM606" s="6">
        <f>ROUND((AD606-(AD606*BI606)),2)</f>
        <v>178.21</v>
      </c>
      <c r="AN606" s="6">
        <f>ROUND((AD606-(AD606*BJ606)),2)</f>
        <v>178.21</v>
      </c>
      <c r="AO606" s="6">
        <f>ROUND((AD606-(AD606*BK606)),2)</f>
        <v>183.72</v>
      </c>
      <c r="BG606" s="12">
        <v>0.01</v>
      </c>
      <c r="BH606" s="12">
        <v>0.02</v>
      </c>
      <c r="BI606" s="12">
        <v>0.03</v>
      </c>
      <c r="BJ606" s="12">
        <v>0.03</v>
      </c>
      <c r="CC606" s="3" t="str">
        <f>IF(B606&lt;&gt;"",CONCATENATE(SUBSTITUTE(B606," ","-"),".jpg"),"")</f>
        <v>Allied-Moulded-AMU1084LW.jpg</v>
      </c>
      <c r="CD606" s="16" t="s">
        <v>111</v>
      </c>
      <c r="CE606" s="3"/>
      <c r="CF606" s="3"/>
      <c r="CG606" s="3" t="s">
        <v>112</v>
      </c>
      <c r="CI606" s="3" t="s">
        <v>97</v>
      </c>
      <c r="CJ606" s="3" t="s">
        <v>467</v>
      </c>
      <c r="CK606" s="3" t="s">
        <v>114</v>
      </c>
      <c r="CL606" s="3" t="s">
        <v>115</v>
      </c>
      <c r="CM606" s="3" t="s">
        <v>116</v>
      </c>
      <c r="CN606" t="s">
        <v>117</v>
      </c>
      <c r="CO606" s="3" t="s">
        <v>118</v>
      </c>
      <c r="CP606" s="3" t="s">
        <v>139</v>
      </c>
      <c r="CQ606" s="3" t="s">
        <v>120</v>
      </c>
      <c r="CR606" s="3" t="s">
        <v>140</v>
      </c>
      <c r="CS606" s="16" t="s">
        <v>122</v>
      </c>
      <c r="CT606" s="16" t="s">
        <v>167</v>
      </c>
      <c r="CU606" s="16" t="s">
        <v>385</v>
      </c>
      <c r="CV606" s="16" t="s">
        <v>657</v>
      </c>
    </row>
    <row r="607" spans="1:100" ht="15" customHeight="1">
      <c r="A607" t="s">
        <v>3940</v>
      </c>
      <c r="B607" s="3" t="s">
        <v>3941</v>
      </c>
      <c r="C607" s="16" t="s">
        <v>97</v>
      </c>
      <c r="D607" s="40" t="s">
        <v>3942</v>
      </c>
      <c r="E607" s="16" t="s">
        <v>97</v>
      </c>
      <c r="F607" s="131" t="s">
        <v>3943</v>
      </c>
      <c r="I607" s="100" t="s">
        <v>342</v>
      </c>
      <c r="J607" s="16" t="s">
        <v>101</v>
      </c>
      <c r="K607" s="16"/>
      <c r="L607" s="3" t="s">
        <v>102</v>
      </c>
      <c r="M607" s="3" t="s">
        <v>103</v>
      </c>
      <c r="N607" s="3" t="s">
        <v>104</v>
      </c>
      <c r="O607" s="16" t="s">
        <v>105</v>
      </c>
      <c r="P607" s="3" t="s">
        <v>3944</v>
      </c>
      <c r="Q607" s="3" t="s">
        <v>3944</v>
      </c>
      <c r="R607" s="3" t="s">
        <v>3944</v>
      </c>
      <c r="S607" t="s">
        <v>3940</v>
      </c>
      <c r="T607" s="130" t="s">
        <v>465</v>
      </c>
      <c r="U607" s="35">
        <v>4</v>
      </c>
      <c r="V607" s="40"/>
      <c r="W607" s="40"/>
      <c r="X607" s="59" t="s">
        <v>108</v>
      </c>
      <c r="Y607" s="93">
        <f>IF(AD607=0, 0, IF(OR(H607="", H607&lt;&gt;0), 1, 0))</f>
        <v>1</v>
      </c>
      <c r="Z607" s="3">
        <v>0</v>
      </c>
      <c r="AA607" s="3" t="s">
        <v>3945</v>
      </c>
      <c r="AD607" s="6">
        <f>ROUND((AG607*(1+AJ607)),2)</f>
        <v>188.77</v>
      </c>
      <c r="AE607" s="69">
        <v>215.12111865</v>
      </c>
      <c r="AF607" s="17">
        <f>(AE607*1)</f>
        <v>215.12111865</v>
      </c>
      <c r="AG607" s="6">
        <f>ROUND((AE607*AI607),2)</f>
        <v>139.83000000000001</v>
      </c>
      <c r="AH607" s="30" t="s">
        <v>110</v>
      </c>
      <c r="AI607" s="3">
        <v>0.65</v>
      </c>
      <c r="AJ607" s="18">
        <v>0.35</v>
      </c>
      <c r="AK607" s="6">
        <f>ROUND((AD607-(AD607*BG607)),2)</f>
        <v>186.88</v>
      </c>
      <c r="AL607" s="6">
        <f>ROUND((AD607-(AD607*BH607)),2)</f>
        <v>184.99</v>
      </c>
      <c r="AM607" s="6">
        <f>ROUND((AD607-(AD607*BI607)),2)</f>
        <v>183.11</v>
      </c>
      <c r="AN607" s="6">
        <f>ROUND((AD607-(AD607*BJ607)),2)</f>
        <v>183.11</v>
      </c>
      <c r="AO607" s="6">
        <f>ROUND((AD607-(AD607*BK607)),2)</f>
        <v>188.77</v>
      </c>
      <c r="BG607" s="12">
        <v>0.01</v>
      </c>
      <c r="BH607" s="12">
        <v>0.02</v>
      </c>
      <c r="BI607" s="12">
        <v>0.03</v>
      </c>
      <c r="BJ607" s="12">
        <v>0.03</v>
      </c>
      <c r="CC607" s="3" t="str">
        <f>IF(B607&lt;&gt;"",CONCATENATE(SUBSTITUTE(B607," ","-"),".jpg"),"")</f>
        <v>Allied-Moulded-AMU1084LWF.jpg</v>
      </c>
      <c r="CD607" s="16" t="s">
        <v>111</v>
      </c>
      <c r="CE607" s="3"/>
      <c r="CF607" s="3"/>
      <c r="CG607" s="3" t="s">
        <v>112</v>
      </c>
      <c r="CI607" s="3" t="s">
        <v>97</v>
      </c>
      <c r="CJ607" s="3" t="s">
        <v>467</v>
      </c>
      <c r="CK607" s="3" t="s">
        <v>114</v>
      </c>
      <c r="CL607" s="3" t="s">
        <v>115</v>
      </c>
      <c r="CM607" s="3" t="s">
        <v>116</v>
      </c>
      <c r="CN607" t="s">
        <v>117</v>
      </c>
      <c r="CO607" s="3" t="s">
        <v>118</v>
      </c>
      <c r="CP607" s="3" t="s">
        <v>139</v>
      </c>
      <c r="CQ607" s="3" t="s">
        <v>120</v>
      </c>
      <c r="CR607" s="3" t="s">
        <v>140</v>
      </c>
      <c r="CS607" s="16" t="s">
        <v>122</v>
      </c>
      <c r="CT607" s="16" t="s">
        <v>167</v>
      </c>
      <c r="CU607" s="16" t="s">
        <v>385</v>
      </c>
      <c r="CV607" s="16" t="s">
        <v>657</v>
      </c>
    </row>
    <row r="608" spans="1:100" ht="15" customHeight="1">
      <c r="A608" t="s">
        <v>3946</v>
      </c>
      <c r="B608" s="3" t="s">
        <v>3947</v>
      </c>
      <c r="C608" s="16" t="s">
        <v>97</v>
      </c>
      <c r="D608" s="40" t="s">
        <v>3948</v>
      </c>
      <c r="E608" s="16" t="s">
        <v>97</v>
      </c>
      <c r="F608" s="131" t="s">
        <v>3949</v>
      </c>
      <c r="I608" s="100" t="s">
        <v>342</v>
      </c>
      <c r="J608" s="16" t="s">
        <v>101</v>
      </c>
      <c r="K608" s="16"/>
      <c r="L608" s="3" t="s">
        <v>102</v>
      </c>
      <c r="M608" s="3" t="s">
        <v>103</v>
      </c>
      <c r="N608" s="3" t="s">
        <v>104</v>
      </c>
      <c r="O608" s="16" t="s">
        <v>105</v>
      </c>
      <c r="P608" s="3" t="s">
        <v>3950</v>
      </c>
      <c r="Q608" s="3" t="s">
        <v>3950</v>
      </c>
      <c r="R608" s="3" t="s">
        <v>3950</v>
      </c>
      <c r="S608" t="s">
        <v>3946</v>
      </c>
      <c r="T608" s="130" t="s">
        <v>465</v>
      </c>
      <c r="U608" s="35">
        <v>4</v>
      </c>
      <c r="V608" s="40"/>
      <c r="W608" s="40"/>
      <c r="X608" s="59" t="s">
        <v>108</v>
      </c>
      <c r="Y608" s="93">
        <f>IF(AD608=0, 0, IF(OR(H608="", H608&lt;&gt;0), 1, 0))</f>
        <v>1</v>
      </c>
      <c r="Z608" s="3">
        <v>0</v>
      </c>
      <c r="AA608" s="3" t="s">
        <v>3951</v>
      </c>
      <c r="AD608" s="6">
        <f>ROUND((AG608*(1+AJ608)),2)</f>
        <v>174.53</v>
      </c>
      <c r="AE608" s="69">
        <v>198.89685013999997</v>
      </c>
      <c r="AF608" s="17">
        <f>(AE608*1)</f>
        <v>198.89685013999997</v>
      </c>
      <c r="AG608" s="6">
        <f>ROUND((AE608*AI608),2)</f>
        <v>129.28</v>
      </c>
      <c r="AH608" s="30" t="s">
        <v>110</v>
      </c>
      <c r="AI608" s="3">
        <v>0.65</v>
      </c>
      <c r="AJ608" s="18">
        <v>0.35</v>
      </c>
      <c r="AK608" s="6">
        <f>ROUND((AD608-(AD608*BG608)),2)</f>
        <v>172.78</v>
      </c>
      <c r="AL608" s="6">
        <f>ROUND((AD608-(AD608*BH608)),2)</f>
        <v>171.04</v>
      </c>
      <c r="AM608" s="6">
        <f>ROUND((AD608-(AD608*BI608)),2)</f>
        <v>169.29</v>
      </c>
      <c r="AN608" s="6">
        <f>ROUND((AD608-(AD608*BJ608)),2)</f>
        <v>169.29</v>
      </c>
      <c r="AO608" s="6">
        <f>ROUND((AD608-(AD608*BK608)),2)</f>
        <v>174.53</v>
      </c>
      <c r="BG608" s="12">
        <v>0.01</v>
      </c>
      <c r="BH608" s="12">
        <v>0.02</v>
      </c>
      <c r="BI608" s="12">
        <v>0.03</v>
      </c>
      <c r="BJ608" s="12">
        <v>0.03</v>
      </c>
      <c r="CC608" s="3" t="str">
        <f>IF(B608&lt;&gt;"",CONCATENATE(SUBSTITUTE(B608," ","-"),".jpg"),"")</f>
        <v>Allied-Moulded-AMU1084NLW.jpg</v>
      </c>
      <c r="CD608" s="16" t="s">
        <v>111</v>
      </c>
      <c r="CE608" s="3"/>
      <c r="CF608" s="3"/>
      <c r="CG608" s="3" t="s">
        <v>112</v>
      </c>
      <c r="CI608" s="3" t="s">
        <v>97</v>
      </c>
      <c r="CJ608" s="3" t="s">
        <v>467</v>
      </c>
      <c r="CK608" s="3" t="s">
        <v>114</v>
      </c>
      <c r="CL608" s="3" t="s">
        <v>115</v>
      </c>
      <c r="CM608" s="3" t="s">
        <v>116</v>
      </c>
      <c r="CN608" t="s">
        <v>117</v>
      </c>
      <c r="CO608" s="3" t="s">
        <v>118</v>
      </c>
      <c r="CP608" s="3" t="s">
        <v>139</v>
      </c>
      <c r="CQ608" s="3" t="s">
        <v>120</v>
      </c>
      <c r="CR608" s="16" t="s">
        <v>121</v>
      </c>
      <c r="CS608" s="16" t="s">
        <v>122</v>
      </c>
      <c r="CT608" s="16" t="s">
        <v>167</v>
      </c>
      <c r="CU608" s="16" t="s">
        <v>385</v>
      </c>
      <c r="CV608" s="16" t="s">
        <v>657</v>
      </c>
    </row>
    <row r="609" spans="1:100" ht="15" customHeight="1">
      <c r="A609" t="s">
        <v>3952</v>
      </c>
      <c r="B609" s="3" t="s">
        <v>3953</v>
      </c>
      <c r="C609" s="16" t="s">
        <v>97</v>
      </c>
      <c r="D609" s="39" t="s">
        <v>3954</v>
      </c>
      <c r="E609" s="16" t="s">
        <v>97</v>
      </c>
      <c r="F609" s="131" t="s">
        <v>3955</v>
      </c>
      <c r="I609" s="100" t="s">
        <v>342</v>
      </c>
      <c r="J609" s="16" t="s">
        <v>101</v>
      </c>
      <c r="K609" s="16"/>
      <c r="L609" s="3" t="s">
        <v>102</v>
      </c>
      <c r="M609" s="3" t="s">
        <v>103</v>
      </c>
      <c r="N609" s="3" t="s">
        <v>104</v>
      </c>
      <c r="O609" s="16" t="s">
        <v>105</v>
      </c>
      <c r="P609" s="3" t="s">
        <v>3956</v>
      </c>
      <c r="Q609" s="3" t="s">
        <v>3956</v>
      </c>
      <c r="R609" s="3" t="s">
        <v>3956</v>
      </c>
      <c r="S609" t="s">
        <v>3952</v>
      </c>
      <c r="T609" s="130" t="s">
        <v>465</v>
      </c>
      <c r="U609" s="34">
        <v>4</v>
      </c>
      <c r="V609" s="39"/>
      <c r="W609" s="39"/>
      <c r="X609" s="59" t="s">
        <v>108</v>
      </c>
      <c r="Y609" s="93">
        <f>IF(AD609=0, 0, IF(OR(H609="", H609&lt;&gt;0), 1, 0))</f>
        <v>1</v>
      </c>
      <c r="Z609" s="3">
        <v>0</v>
      </c>
      <c r="AA609" s="3" t="s">
        <v>3957</v>
      </c>
      <c r="AD609" s="6">
        <f>ROUND((AG609*(1+AJ609)),2)</f>
        <v>179.33</v>
      </c>
      <c r="AE609" s="69">
        <v>204.36946055999999</v>
      </c>
      <c r="AF609" s="17">
        <f>(AE609*1)</f>
        <v>204.36946055999999</v>
      </c>
      <c r="AG609" s="6">
        <f>ROUND((AE609*AI609),2)</f>
        <v>132.84</v>
      </c>
      <c r="AH609" s="30" t="s">
        <v>110</v>
      </c>
      <c r="AI609" s="3">
        <v>0.65</v>
      </c>
      <c r="AJ609" s="18">
        <v>0.35</v>
      </c>
      <c r="AK609" s="6">
        <f>ROUND((AD609-(AD609*BG609)),2)</f>
        <v>177.54</v>
      </c>
      <c r="AL609" s="6">
        <f>ROUND((AD609-(AD609*BH609)),2)</f>
        <v>175.74</v>
      </c>
      <c r="AM609" s="6">
        <f>ROUND((AD609-(AD609*BI609)),2)</f>
        <v>173.95</v>
      </c>
      <c r="AN609" s="6">
        <f>ROUND((AD609-(AD609*BJ609)),2)</f>
        <v>173.95</v>
      </c>
      <c r="AO609" s="6">
        <f>ROUND((AD609-(AD609*BK609)),2)</f>
        <v>179.33</v>
      </c>
      <c r="BG609" s="12">
        <v>0.01</v>
      </c>
      <c r="BH609" s="12">
        <v>0.02</v>
      </c>
      <c r="BI609" s="12">
        <v>0.03</v>
      </c>
      <c r="BJ609" s="12">
        <v>0.03</v>
      </c>
      <c r="CC609" s="3" t="str">
        <f>IF(B609&lt;&gt;"",CONCATENATE(SUBSTITUTE(B609," ","-"),".jpg"),"")</f>
        <v>Allied-Moulded-AMU1084NLWF.jpg</v>
      </c>
      <c r="CD609" s="16" t="s">
        <v>111</v>
      </c>
      <c r="CE609" s="3"/>
      <c r="CF609" s="3"/>
      <c r="CG609" s="3" t="s">
        <v>112</v>
      </c>
      <c r="CI609" s="3" t="s">
        <v>97</v>
      </c>
      <c r="CJ609" s="3" t="s">
        <v>467</v>
      </c>
      <c r="CK609" s="3" t="s">
        <v>114</v>
      </c>
      <c r="CL609" s="3" t="s">
        <v>115</v>
      </c>
      <c r="CM609" s="3" t="s">
        <v>116</v>
      </c>
      <c r="CN609" t="s">
        <v>117</v>
      </c>
      <c r="CO609" s="3" t="s">
        <v>118</v>
      </c>
      <c r="CP609" s="3" t="s">
        <v>139</v>
      </c>
      <c r="CQ609" s="3" t="s">
        <v>120</v>
      </c>
      <c r="CR609" s="16" t="s">
        <v>121</v>
      </c>
      <c r="CS609" s="16" t="s">
        <v>122</v>
      </c>
      <c r="CT609" s="16" t="s">
        <v>167</v>
      </c>
      <c r="CU609" s="16" t="s">
        <v>385</v>
      </c>
      <c r="CV609" s="16" t="s">
        <v>657</v>
      </c>
    </row>
    <row r="610" spans="1:100" ht="15" customHeight="1">
      <c r="A610" t="s">
        <v>3958</v>
      </c>
      <c r="B610" s="3" t="s">
        <v>3959</v>
      </c>
      <c r="C610" s="16" t="s">
        <v>97</v>
      </c>
      <c r="D610" s="39" t="s">
        <v>3960</v>
      </c>
      <c r="E610" s="16" t="s">
        <v>97</v>
      </c>
      <c r="F610" s="131" t="s">
        <v>3961</v>
      </c>
      <c r="I610" s="100" t="s">
        <v>342</v>
      </c>
      <c r="J610" s="16" t="s">
        <v>101</v>
      </c>
      <c r="K610" s="16"/>
      <c r="L610" s="3" t="s">
        <v>102</v>
      </c>
      <c r="M610" s="3" t="s">
        <v>103</v>
      </c>
      <c r="N610" s="3" t="s">
        <v>104</v>
      </c>
      <c r="O610" s="16" t="s">
        <v>105</v>
      </c>
      <c r="P610" s="3" t="s">
        <v>3962</v>
      </c>
      <c r="Q610" s="3" t="s">
        <v>3962</v>
      </c>
      <c r="R610" s="3" t="s">
        <v>3962</v>
      </c>
      <c r="S610" t="s">
        <v>3958</v>
      </c>
      <c r="T610" s="130" t="s">
        <v>465</v>
      </c>
      <c r="U610" s="34">
        <v>4</v>
      </c>
      <c r="V610" s="39"/>
      <c r="W610" s="39"/>
      <c r="X610" s="59" t="s">
        <v>108</v>
      </c>
      <c r="Y610" s="93">
        <f>IF(AD610=0, 0, IF(OR(H610="", H610&lt;&gt;0), 1, 0))</f>
        <v>1</v>
      </c>
      <c r="Z610" s="3">
        <v>0</v>
      </c>
      <c r="AA610" s="3" t="s">
        <v>3963</v>
      </c>
      <c r="AD610" s="6">
        <f>ROUND((AG610*(1+AJ610)),2)</f>
        <v>183.72</v>
      </c>
      <c r="AE610" s="69">
        <v>209.36695773</v>
      </c>
      <c r="AF610" s="17">
        <f>(AE610*1)</f>
        <v>209.36695773</v>
      </c>
      <c r="AG610" s="6">
        <f>ROUND((AE610*AI610),2)</f>
        <v>136.09</v>
      </c>
      <c r="AH610" s="30" t="s">
        <v>110</v>
      </c>
      <c r="AI610" s="3">
        <v>0.65</v>
      </c>
      <c r="AJ610" s="18">
        <v>0.35</v>
      </c>
      <c r="AK610" s="6">
        <f>ROUND((AD610-(AD610*BG610)),2)</f>
        <v>181.88</v>
      </c>
      <c r="AL610" s="6">
        <f>ROUND((AD610-(AD610*BH610)),2)</f>
        <v>180.05</v>
      </c>
      <c r="AM610" s="6">
        <f>ROUND((AD610-(AD610*BI610)),2)</f>
        <v>178.21</v>
      </c>
      <c r="AN610" s="6">
        <f>ROUND((AD610-(AD610*BJ610)),2)</f>
        <v>178.21</v>
      </c>
      <c r="AO610" s="6">
        <f>ROUND((AD610-(AD610*BK610)),2)</f>
        <v>183.72</v>
      </c>
      <c r="BG610" s="12">
        <v>0.01</v>
      </c>
      <c r="BH610" s="12">
        <v>0.02</v>
      </c>
      <c r="BI610" s="12">
        <v>0.03</v>
      </c>
      <c r="BJ610" s="12">
        <v>0.03</v>
      </c>
      <c r="CC610" s="3" t="str">
        <f>IF(B610&lt;&gt;"",CONCATENATE(SUBSTITUTE(B610," ","-"),".jpg"),"")</f>
        <v>Allied-Moulded-AMU1084TW.jpg</v>
      </c>
      <c r="CD610" s="16" t="s">
        <v>111</v>
      </c>
      <c r="CE610" s="3"/>
      <c r="CF610" s="3"/>
      <c r="CG610" s="3" t="s">
        <v>112</v>
      </c>
      <c r="CI610" s="3" t="s">
        <v>97</v>
      </c>
      <c r="CJ610" s="3" t="s">
        <v>467</v>
      </c>
      <c r="CK610" s="3" t="s">
        <v>114</v>
      </c>
      <c r="CL610" s="3" t="s">
        <v>115</v>
      </c>
      <c r="CM610" s="3" t="s">
        <v>116</v>
      </c>
      <c r="CN610" s="16" t="s">
        <v>132</v>
      </c>
      <c r="CO610" s="3" t="s">
        <v>118</v>
      </c>
      <c r="CP610" s="3" t="s">
        <v>139</v>
      </c>
      <c r="CQ610" s="3" t="s">
        <v>120</v>
      </c>
      <c r="CR610" s="16" t="s">
        <v>121</v>
      </c>
      <c r="CS610" s="16" t="s">
        <v>122</v>
      </c>
      <c r="CT610" s="16" t="s">
        <v>167</v>
      </c>
      <c r="CU610" s="16" t="s">
        <v>385</v>
      </c>
      <c r="CV610" s="16" t="s">
        <v>657</v>
      </c>
    </row>
    <row r="611" spans="1:100" ht="15" customHeight="1">
      <c r="A611" t="s">
        <v>3964</v>
      </c>
      <c r="B611" s="3" t="s">
        <v>3965</v>
      </c>
      <c r="C611" s="16" t="s">
        <v>97</v>
      </c>
      <c r="D611" s="40" t="s">
        <v>3966</v>
      </c>
      <c r="E611" s="16" t="s">
        <v>97</v>
      </c>
      <c r="F611" s="131" t="s">
        <v>3967</v>
      </c>
      <c r="I611" s="100" t="s">
        <v>342</v>
      </c>
      <c r="J611" s="16" t="s">
        <v>101</v>
      </c>
      <c r="K611" s="16"/>
      <c r="L611" s="3" t="s">
        <v>102</v>
      </c>
      <c r="M611" s="3" t="s">
        <v>103</v>
      </c>
      <c r="N611" s="3" t="s">
        <v>104</v>
      </c>
      <c r="O611" s="16" t="s">
        <v>105</v>
      </c>
      <c r="P611" s="3" t="s">
        <v>3968</v>
      </c>
      <c r="Q611" s="3" t="s">
        <v>3968</v>
      </c>
      <c r="R611" s="3" t="s">
        <v>3968</v>
      </c>
      <c r="S611" t="s">
        <v>3964</v>
      </c>
      <c r="T611" s="130" t="s">
        <v>465</v>
      </c>
      <c r="U611" s="35">
        <v>4</v>
      </c>
      <c r="V611" s="40"/>
      <c r="W611" s="40"/>
      <c r="X611" s="59" t="s">
        <v>108</v>
      </c>
      <c r="Y611" s="93">
        <f>IF(AD611=0, 0, IF(OR(H611="", H611&lt;&gt;0), 1, 0))</f>
        <v>1</v>
      </c>
      <c r="Z611" s="3">
        <v>0</v>
      </c>
      <c r="AA611" s="3" t="s">
        <v>3969</v>
      </c>
      <c r="AD611" s="6">
        <f>ROUND((AG611*(1+AJ611)),2)</f>
        <v>188.77</v>
      </c>
      <c r="AE611" s="69">
        <v>215.12111865</v>
      </c>
      <c r="AF611" s="17">
        <f>(AE611*1)</f>
        <v>215.12111865</v>
      </c>
      <c r="AG611" s="6">
        <f>ROUND((AE611*AI611),2)</f>
        <v>139.83000000000001</v>
      </c>
      <c r="AH611" s="30" t="s">
        <v>110</v>
      </c>
      <c r="AI611" s="3">
        <v>0.65</v>
      </c>
      <c r="AJ611" s="18">
        <v>0.35</v>
      </c>
      <c r="AK611" s="6">
        <f>ROUND((AD611-(AD611*BG611)),2)</f>
        <v>186.88</v>
      </c>
      <c r="AL611" s="6">
        <f>ROUND((AD611-(AD611*BH611)),2)</f>
        <v>184.99</v>
      </c>
      <c r="AM611" s="6">
        <f>ROUND((AD611-(AD611*BI611)),2)</f>
        <v>183.11</v>
      </c>
      <c r="AN611" s="6">
        <f>ROUND((AD611-(AD611*BJ611)),2)</f>
        <v>183.11</v>
      </c>
      <c r="AO611" s="6">
        <f>ROUND((AD611-(AD611*BK611)),2)</f>
        <v>188.77</v>
      </c>
      <c r="BG611" s="12">
        <v>0.01</v>
      </c>
      <c r="BH611" s="12">
        <v>0.02</v>
      </c>
      <c r="BI611" s="12">
        <v>0.03</v>
      </c>
      <c r="BJ611" s="12">
        <v>0.03</v>
      </c>
      <c r="CC611" s="3" t="str">
        <f>IF(B611&lt;&gt;"",CONCATENATE(SUBSTITUTE(B611," ","-"),".jpg"),"")</f>
        <v>Allied-Moulded-AMU1084TWF.jpg</v>
      </c>
      <c r="CD611" s="16" t="s">
        <v>111</v>
      </c>
      <c r="CE611" s="3"/>
      <c r="CF611" s="3"/>
      <c r="CG611" s="3" t="s">
        <v>112</v>
      </c>
      <c r="CI611" s="3" t="s">
        <v>97</v>
      </c>
      <c r="CJ611" s="3" t="s">
        <v>467</v>
      </c>
      <c r="CK611" s="3" t="s">
        <v>114</v>
      </c>
      <c r="CL611" s="3" t="s">
        <v>115</v>
      </c>
      <c r="CM611" s="3" t="s">
        <v>116</v>
      </c>
      <c r="CN611" s="16" t="s">
        <v>132</v>
      </c>
      <c r="CO611" s="3" t="s">
        <v>118</v>
      </c>
      <c r="CP611" s="3" t="s">
        <v>139</v>
      </c>
      <c r="CQ611" s="3" t="s">
        <v>120</v>
      </c>
      <c r="CR611" s="16" t="s">
        <v>121</v>
      </c>
      <c r="CS611" s="16" t="s">
        <v>122</v>
      </c>
      <c r="CT611" s="16" t="s">
        <v>167</v>
      </c>
      <c r="CU611" s="16" t="s">
        <v>385</v>
      </c>
      <c r="CV611" s="16" t="s">
        <v>657</v>
      </c>
    </row>
    <row r="612" spans="1:100" ht="15" customHeight="1">
      <c r="A612" t="s">
        <v>3970</v>
      </c>
      <c r="B612" s="3" t="s">
        <v>3971</v>
      </c>
      <c r="C612" s="16" t="s">
        <v>97</v>
      </c>
      <c r="D612" s="38" t="s">
        <v>3972</v>
      </c>
      <c r="E612" s="16" t="s">
        <v>97</v>
      </c>
      <c r="F612" s="131" t="s">
        <v>3973</v>
      </c>
      <c r="I612" s="100" t="s">
        <v>342</v>
      </c>
      <c r="J612" s="16" t="s">
        <v>101</v>
      </c>
      <c r="K612" s="16"/>
      <c r="L612" s="3" t="s">
        <v>102</v>
      </c>
      <c r="M612" s="3" t="s">
        <v>103</v>
      </c>
      <c r="N612" s="3" t="s">
        <v>104</v>
      </c>
      <c r="O612" s="16" t="s">
        <v>105</v>
      </c>
      <c r="P612" s="3" t="s">
        <v>3974</v>
      </c>
      <c r="Q612" s="3" t="s">
        <v>3974</v>
      </c>
      <c r="R612" s="3" t="s">
        <v>3974</v>
      </c>
      <c r="S612" t="s">
        <v>3970</v>
      </c>
      <c r="T612" s="130" t="s">
        <v>465</v>
      </c>
      <c r="U612" s="33">
        <v>4</v>
      </c>
      <c r="V612" s="40"/>
      <c r="W612" s="40"/>
      <c r="X612" s="59" t="s">
        <v>108</v>
      </c>
      <c r="Y612" s="93">
        <f>IF(AD612=0, 0, IF(OR(H612="", H612&lt;&gt;0), 1, 0))</f>
        <v>1</v>
      </c>
      <c r="Z612" s="3">
        <v>0</v>
      </c>
      <c r="AA612" s="3" t="s">
        <v>3975</v>
      </c>
      <c r="AD612" s="6">
        <f>ROUND((AG612*(1+AJ612)),2)</f>
        <v>100.25</v>
      </c>
      <c r="AE612" s="68">
        <v>114.24265085</v>
      </c>
      <c r="AF612" s="17">
        <f>(AE612*1)</f>
        <v>114.24265085</v>
      </c>
      <c r="AG612" s="6">
        <f>ROUND((AE612*AI612),2)</f>
        <v>74.260000000000005</v>
      </c>
      <c r="AH612" s="30" t="s">
        <v>110</v>
      </c>
      <c r="AI612" s="3">
        <v>0.65</v>
      </c>
      <c r="AJ612" s="18">
        <v>0.35</v>
      </c>
      <c r="AK612" s="6">
        <f>ROUND((AD612-(AD612*BG612)),2)</f>
        <v>99.25</v>
      </c>
      <c r="AL612" s="6">
        <f>ROUND((AD612-(AD612*BH612)),2)</f>
        <v>98.25</v>
      </c>
      <c r="AM612" s="6">
        <f>ROUND((AD612-(AD612*BI612)),2)</f>
        <v>97.24</v>
      </c>
      <c r="AN612" s="6">
        <f>ROUND((AD612-(AD612*BJ612)),2)</f>
        <v>97.24</v>
      </c>
      <c r="AO612" s="6">
        <f>ROUND((AD612-(AD612*BK612)),2)</f>
        <v>100.25</v>
      </c>
      <c r="BG612" s="12">
        <v>0.01</v>
      </c>
      <c r="BH612" s="12">
        <v>0.02</v>
      </c>
      <c r="BI612" s="12">
        <v>0.03</v>
      </c>
      <c r="BJ612" s="12">
        <v>0.03</v>
      </c>
      <c r="CC612" s="3" t="str">
        <f>IF(B612&lt;&gt;"",CONCATENATE(SUBSTITUTE(B612," ","-"),".jpg"),"")</f>
        <v>Allied-Moulded-AMU1084CC.jpg</v>
      </c>
      <c r="CD612" s="16" t="s">
        <v>111</v>
      </c>
      <c r="CE612" s="3"/>
      <c r="CF612" s="3"/>
      <c r="CG612" s="3" t="s">
        <v>112</v>
      </c>
      <c r="CI612" s="3" t="s">
        <v>97</v>
      </c>
      <c r="CJ612" s="3" t="s">
        <v>467</v>
      </c>
      <c r="CK612" s="3" t="s">
        <v>114</v>
      </c>
      <c r="CL612" s="3" t="s">
        <v>115</v>
      </c>
      <c r="CM612" s="16"/>
      <c r="CN612" s="16" t="s">
        <v>349</v>
      </c>
      <c r="CO612" s="3" t="s">
        <v>118</v>
      </c>
      <c r="CP612" s="3" t="s">
        <v>139</v>
      </c>
      <c r="CQ612" s="3" t="s">
        <v>120</v>
      </c>
      <c r="CR612" s="16" t="s">
        <v>121</v>
      </c>
      <c r="CS612" s="3" t="s">
        <v>384</v>
      </c>
      <c r="CT612" s="16" t="s">
        <v>167</v>
      </c>
      <c r="CU612" s="16" t="s">
        <v>385</v>
      </c>
      <c r="CV612" s="16" t="s">
        <v>657</v>
      </c>
    </row>
    <row r="613" spans="1:100" ht="15" customHeight="1">
      <c r="A613" t="s">
        <v>3976</v>
      </c>
      <c r="B613" s="3" t="s">
        <v>3977</v>
      </c>
      <c r="C613" s="16" t="s">
        <v>97</v>
      </c>
      <c r="D613" s="39" t="s">
        <v>3978</v>
      </c>
      <c r="E613" s="16" t="s">
        <v>97</v>
      </c>
      <c r="F613" s="131" t="s">
        <v>3979</v>
      </c>
      <c r="I613" s="100" t="s">
        <v>342</v>
      </c>
      <c r="J613" s="16" t="s">
        <v>101</v>
      </c>
      <c r="K613" s="16"/>
      <c r="L613" s="3" t="s">
        <v>102</v>
      </c>
      <c r="M613" s="3" t="s">
        <v>103</v>
      </c>
      <c r="N613" s="3" t="s">
        <v>104</v>
      </c>
      <c r="O613" s="16" t="s">
        <v>105</v>
      </c>
      <c r="P613" s="3" t="s">
        <v>3980</v>
      </c>
      <c r="Q613" s="3" t="s">
        <v>3980</v>
      </c>
      <c r="R613" s="3" t="s">
        <v>3980</v>
      </c>
      <c r="S613" t="s">
        <v>3976</v>
      </c>
      <c r="T613" s="130" t="s">
        <v>465</v>
      </c>
      <c r="U613" s="34">
        <v>4</v>
      </c>
      <c r="V613" s="39"/>
      <c r="W613" s="39"/>
      <c r="X613" s="59" t="s">
        <v>108</v>
      </c>
      <c r="Y613" s="93">
        <f>IF(AD613=0, 0, IF(OR(H613="", H613&lt;&gt;0), 1, 0))</f>
        <v>1</v>
      </c>
      <c r="Z613" s="3">
        <v>0</v>
      </c>
      <c r="AA613" s="3" t="s">
        <v>3981</v>
      </c>
      <c r="AD613" s="6">
        <f>ROUND((AG613*(1+AJ613)),2)</f>
        <v>102.49</v>
      </c>
      <c r="AE613" s="69">
        <v>116.80529600000001</v>
      </c>
      <c r="AF613" s="17">
        <f>(AE613*1)</f>
        <v>116.80529600000001</v>
      </c>
      <c r="AG613" s="6">
        <f>ROUND((AE613*AI613),2)</f>
        <v>75.92</v>
      </c>
      <c r="AH613" s="30" t="s">
        <v>110</v>
      </c>
      <c r="AI613" s="3">
        <v>0.65</v>
      </c>
      <c r="AJ613" s="18">
        <v>0.35</v>
      </c>
      <c r="AK613" s="6">
        <f>ROUND((AD613-(AD613*BG613)),2)</f>
        <v>101.47</v>
      </c>
      <c r="AL613" s="6">
        <f>ROUND((AD613-(AD613*BH613)),2)</f>
        <v>100.44</v>
      </c>
      <c r="AM613" s="6">
        <f>ROUND((AD613-(AD613*BI613)),2)</f>
        <v>99.42</v>
      </c>
      <c r="AN613" s="6">
        <f>ROUND((AD613-(AD613*BJ613)),2)</f>
        <v>99.42</v>
      </c>
      <c r="AO613" s="6">
        <f>ROUND((AD613-(AD613*BK613)),2)</f>
        <v>102.49</v>
      </c>
      <c r="BG613" s="12">
        <v>0.01</v>
      </c>
      <c r="BH613" s="12">
        <v>0.02</v>
      </c>
      <c r="BI613" s="12">
        <v>0.03</v>
      </c>
      <c r="BJ613" s="12">
        <v>0.03</v>
      </c>
      <c r="CC613" s="3" t="str">
        <f>IF(B613&lt;&gt;"",CONCATENATE(SUBSTITUTE(B613," ","-"),".jpg"),"")</f>
        <v>Allied-Moulded-AMU1084CCF.jpg</v>
      </c>
      <c r="CD613" s="16" t="s">
        <v>111</v>
      </c>
      <c r="CE613" s="3"/>
      <c r="CF613" s="3"/>
      <c r="CG613" s="3" t="s">
        <v>112</v>
      </c>
      <c r="CI613" s="3" t="s">
        <v>97</v>
      </c>
      <c r="CJ613" s="3" t="s">
        <v>467</v>
      </c>
      <c r="CK613" s="3" t="s">
        <v>114</v>
      </c>
      <c r="CL613" s="3" t="s">
        <v>115</v>
      </c>
      <c r="CM613" s="16"/>
      <c r="CN613" s="16" t="s">
        <v>349</v>
      </c>
      <c r="CO613" s="3" t="s">
        <v>118</v>
      </c>
      <c r="CP613" s="3" t="s">
        <v>139</v>
      </c>
      <c r="CQ613" s="3" t="s">
        <v>120</v>
      </c>
      <c r="CR613" s="16" t="s">
        <v>121</v>
      </c>
      <c r="CS613" s="3" t="s">
        <v>384</v>
      </c>
      <c r="CT613" s="16" t="s">
        <v>167</v>
      </c>
      <c r="CU613" s="16" t="s">
        <v>385</v>
      </c>
      <c r="CV613" s="16" t="s">
        <v>657</v>
      </c>
    </row>
    <row r="614" spans="1:100" ht="15" customHeight="1">
      <c r="A614" t="s">
        <v>3982</v>
      </c>
      <c r="B614" s="3" t="s">
        <v>3983</v>
      </c>
      <c r="C614" s="16" t="s">
        <v>97</v>
      </c>
      <c r="D614" s="39" t="s">
        <v>3984</v>
      </c>
      <c r="E614" s="16" t="s">
        <v>97</v>
      </c>
      <c r="F614" s="131" t="s">
        <v>3985</v>
      </c>
      <c r="I614" s="100" t="s">
        <v>342</v>
      </c>
      <c r="J614" s="16" t="s">
        <v>101</v>
      </c>
      <c r="K614" s="16"/>
      <c r="L614" s="3" t="s">
        <v>102</v>
      </c>
      <c r="M614" s="3" t="s">
        <v>103</v>
      </c>
      <c r="N614" s="3" t="s">
        <v>104</v>
      </c>
      <c r="O614" s="16" t="s">
        <v>105</v>
      </c>
      <c r="P614" s="3" t="s">
        <v>3986</v>
      </c>
      <c r="Q614" s="3" t="s">
        <v>3986</v>
      </c>
      <c r="R614" s="3" t="s">
        <v>3986</v>
      </c>
      <c r="S614" t="s">
        <v>3982</v>
      </c>
      <c r="T614" s="130" t="s">
        <v>465</v>
      </c>
      <c r="U614" s="34">
        <v>4</v>
      </c>
      <c r="V614" s="39"/>
      <c r="W614" s="39"/>
      <c r="X614" s="59" t="s">
        <v>108</v>
      </c>
      <c r="Y614" s="93">
        <f>IF(AD614=0, 0, IF(OR(H614="", H614&lt;&gt;0), 1, 0))</f>
        <v>1</v>
      </c>
      <c r="Z614" s="3">
        <v>0</v>
      </c>
      <c r="AA614" s="3" t="s">
        <v>3987</v>
      </c>
      <c r="AD614" s="6">
        <f>ROUND((AG614*(1+AJ614)),2)</f>
        <v>111.04</v>
      </c>
      <c r="AE614" s="69">
        <v>126.54334139000001</v>
      </c>
      <c r="AF614" s="17">
        <f>(AE614*1)</f>
        <v>126.54334139000001</v>
      </c>
      <c r="AG614" s="6">
        <f>ROUND((AE614*AI614),2)</f>
        <v>82.25</v>
      </c>
      <c r="AH614" s="30" t="s">
        <v>110</v>
      </c>
      <c r="AI614" s="3">
        <v>0.65</v>
      </c>
      <c r="AJ614" s="18">
        <v>0.35</v>
      </c>
      <c r="AK614" s="6">
        <f>ROUND((AD614-(AD614*BG614)),2)</f>
        <v>109.93</v>
      </c>
      <c r="AL614" s="6">
        <f>ROUND((AD614-(AD614*BH614)),2)</f>
        <v>108.82</v>
      </c>
      <c r="AM614" s="6">
        <f>ROUND((AD614-(AD614*BI614)),2)</f>
        <v>107.71</v>
      </c>
      <c r="AN614" s="6">
        <f>ROUND((AD614-(AD614*BJ614)),2)</f>
        <v>107.71</v>
      </c>
      <c r="AO614" s="6">
        <f>ROUND((AD614-(AD614*BK614)),2)</f>
        <v>111.04</v>
      </c>
      <c r="BG614" s="12">
        <v>0.01</v>
      </c>
      <c r="BH614" s="12">
        <v>0.02</v>
      </c>
      <c r="BI614" s="12">
        <v>0.03</v>
      </c>
      <c r="BJ614" s="12">
        <v>0.03</v>
      </c>
      <c r="CC614" s="3" t="str">
        <f>IF(B614&lt;&gt;"",CONCATENATE(SUBSTITUTE(B614," ","-"),".jpg"),"")</f>
        <v>Allied-Moulded-AMU1084CCH.jpg</v>
      </c>
      <c r="CD614" s="16" t="s">
        <v>111</v>
      </c>
      <c r="CE614" s="3"/>
      <c r="CF614" s="3"/>
      <c r="CG614" s="3" t="s">
        <v>112</v>
      </c>
      <c r="CI614" s="3" t="s">
        <v>97</v>
      </c>
      <c r="CJ614" s="3" t="s">
        <v>467</v>
      </c>
      <c r="CK614" s="3" t="s">
        <v>114</v>
      </c>
      <c r="CL614" s="3" t="s">
        <v>115</v>
      </c>
      <c r="CM614" s="3" t="s">
        <v>116</v>
      </c>
      <c r="CN614" s="16" t="s">
        <v>349</v>
      </c>
      <c r="CO614" s="3" t="s">
        <v>118</v>
      </c>
      <c r="CP614" s="3" t="s">
        <v>139</v>
      </c>
      <c r="CQ614" s="3" t="s">
        <v>120</v>
      </c>
      <c r="CR614" s="16" t="s">
        <v>121</v>
      </c>
      <c r="CS614" s="3" t="s">
        <v>384</v>
      </c>
      <c r="CT614" s="16" t="s">
        <v>167</v>
      </c>
      <c r="CU614" s="16" t="s">
        <v>385</v>
      </c>
      <c r="CV614" s="16" t="s">
        <v>657</v>
      </c>
    </row>
    <row r="615" spans="1:100" ht="15" customHeight="1">
      <c r="A615" t="s">
        <v>3988</v>
      </c>
      <c r="B615" s="3" t="s">
        <v>3989</v>
      </c>
      <c r="C615" s="16" t="s">
        <v>97</v>
      </c>
      <c r="D615" s="40" t="s">
        <v>3990</v>
      </c>
      <c r="E615" s="16" t="s">
        <v>97</v>
      </c>
      <c r="F615" s="131" t="s">
        <v>3991</v>
      </c>
      <c r="I615" s="100" t="s">
        <v>342</v>
      </c>
      <c r="J615" s="16" t="s">
        <v>101</v>
      </c>
      <c r="K615" s="16"/>
      <c r="L615" s="3" t="s">
        <v>102</v>
      </c>
      <c r="M615" s="3" t="s">
        <v>103</v>
      </c>
      <c r="N615" s="3" t="s">
        <v>104</v>
      </c>
      <c r="O615" s="16" t="s">
        <v>105</v>
      </c>
      <c r="P615" s="3" t="s">
        <v>3992</v>
      </c>
      <c r="Q615" s="3" t="s">
        <v>3992</v>
      </c>
      <c r="R615" s="3" t="s">
        <v>3992</v>
      </c>
      <c r="S615" t="s">
        <v>3988</v>
      </c>
      <c r="T615" s="130" t="s">
        <v>465</v>
      </c>
      <c r="U615" s="35">
        <v>4</v>
      </c>
      <c r="V615" s="40"/>
      <c r="W615" s="40"/>
      <c r="X615" s="59" t="s">
        <v>108</v>
      </c>
      <c r="Y615" s="93">
        <f>IF(AD615=0, 0, IF(OR(H615="", H615&lt;&gt;0), 1, 0))</f>
        <v>1</v>
      </c>
      <c r="Z615" s="3">
        <v>0</v>
      </c>
      <c r="AA615" s="3" t="s">
        <v>3993</v>
      </c>
      <c r="AD615" s="6">
        <f>ROUND((AG615*(1+AJ615)),2)</f>
        <v>113.6</v>
      </c>
      <c r="AE615" s="69">
        <v>129.46475511</v>
      </c>
      <c r="AF615" s="17">
        <f>(AE615*1)</f>
        <v>129.46475511</v>
      </c>
      <c r="AG615" s="6">
        <f>ROUND((AE615*AI615),2)</f>
        <v>84.15</v>
      </c>
      <c r="AH615" s="30" t="s">
        <v>110</v>
      </c>
      <c r="AI615" s="3">
        <v>0.65</v>
      </c>
      <c r="AJ615" s="18">
        <v>0.35</v>
      </c>
      <c r="AK615" s="6">
        <f>ROUND((AD615-(AD615*BG615)),2)</f>
        <v>112.46</v>
      </c>
      <c r="AL615" s="6">
        <f>ROUND((AD615-(AD615*BH615)),2)</f>
        <v>111.33</v>
      </c>
      <c r="AM615" s="6">
        <f>ROUND((AD615-(AD615*BI615)),2)</f>
        <v>110.19</v>
      </c>
      <c r="AN615" s="6">
        <f>ROUND((AD615-(AD615*BJ615)),2)</f>
        <v>110.19</v>
      </c>
      <c r="AO615" s="6">
        <f>ROUND((AD615-(AD615*BK615)),2)</f>
        <v>113.6</v>
      </c>
      <c r="BG615" s="12">
        <v>0.01</v>
      </c>
      <c r="BH615" s="12">
        <v>0.02</v>
      </c>
      <c r="BI615" s="12">
        <v>0.03</v>
      </c>
      <c r="BJ615" s="12">
        <v>0.03</v>
      </c>
      <c r="CC615" s="3" t="str">
        <f>IF(B615&lt;&gt;"",CONCATENATE(SUBSTITUTE(B615," ","-"),".jpg"),"")</f>
        <v>Allied-Moulded-AMU1084CCHF.jpg</v>
      </c>
      <c r="CD615" s="16" t="s">
        <v>111</v>
      </c>
      <c r="CE615" s="3"/>
      <c r="CF615" s="3"/>
      <c r="CG615" s="3" t="s">
        <v>112</v>
      </c>
      <c r="CI615" s="3" t="s">
        <v>97</v>
      </c>
      <c r="CJ615" s="3" t="s">
        <v>467</v>
      </c>
      <c r="CK615" s="3" t="s">
        <v>114</v>
      </c>
      <c r="CL615" s="3" t="s">
        <v>115</v>
      </c>
      <c r="CM615" s="3" t="s">
        <v>116</v>
      </c>
      <c r="CN615" s="16" t="s">
        <v>349</v>
      </c>
      <c r="CO615" s="3" t="s">
        <v>118</v>
      </c>
      <c r="CP615" s="3" t="s">
        <v>139</v>
      </c>
      <c r="CQ615" s="3" t="s">
        <v>120</v>
      </c>
      <c r="CR615" s="16" t="s">
        <v>121</v>
      </c>
      <c r="CS615" s="3" t="s">
        <v>384</v>
      </c>
      <c r="CT615" s="16" t="s">
        <v>167</v>
      </c>
      <c r="CU615" s="16" t="s">
        <v>385</v>
      </c>
      <c r="CV615" s="16" t="s">
        <v>657</v>
      </c>
    </row>
    <row r="616" spans="1:100" ht="15" customHeight="1">
      <c r="A616" t="s">
        <v>3994</v>
      </c>
      <c r="B616" s="3" t="s">
        <v>3995</v>
      </c>
      <c r="C616" s="16" t="s">
        <v>97</v>
      </c>
      <c r="D616" s="40" t="s">
        <v>3996</v>
      </c>
      <c r="E616" s="16" t="s">
        <v>97</v>
      </c>
      <c r="F616" s="131" t="s">
        <v>3997</v>
      </c>
      <c r="I616" s="100" t="s">
        <v>342</v>
      </c>
      <c r="J616" s="16" t="s">
        <v>101</v>
      </c>
      <c r="K616" s="16"/>
      <c r="L616" s="3" t="s">
        <v>102</v>
      </c>
      <c r="M616" s="3" t="s">
        <v>103</v>
      </c>
      <c r="N616" s="3" t="s">
        <v>104</v>
      </c>
      <c r="O616" s="16" t="s">
        <v>105</v>
      </c>
      <c r="P616" s="3" t="s">
        <v>3998</v>
      </c>
      <c r="Q616" s="3" t="s">
        <v>3998</v>
      </c>
      <c r="R616" s="3" t="s">
        <v>3998</v>
      </c>
      <c r="S616" t="s">
        <v>3994</v>
      </c>
      <c r="T616" s="130" t="s">
        <v>465</v>
      </c>
      <c r="U616" s="35">
        <v>4</v>
      </c>
      <c r="V616" s="40"/>
      <c r="W616" s="40"/>
      <c r="X616" s="59" t="s">
        <v>108</v>
      </c>
      <c r="Y616" s="93">
        <f>IF(AD616=0, 0, IF(OR(H616="", H616&lt;&gt;0), 1, 0))</f>
        <v>1</v>
      </c>
      <c r="Z616" s="3">
        <v>0</v>
      </c>
      <c r="AA616" s="3" t="s">
        <v>3999</v>
      </c>
      <c r="AD616" s="6">
        <f>ROUND((AG616*(1+AJ616)),2)</f>
        <v>134.72</v>
      </c>
      <c r="AE616" s="69">
        <v>153.51943588</v>
      </c>
      <c r="AF616" s="17">
        <f>(AE616*1)</f>
        <v>153.51943588</v>
      </c>
      <c r="AG616" s="6">
        <f>ROUND((AE616*AI616),2)</f>
        <v>99.79</v>
      </c>
      <c r="AH616" s="30" t="s">
        <v>110</v>
      </c>
      <c r="AI616" s="3">
        <v>0.65</v>
      </c>
      <c r="AJ616" s="18">
        <v>0.35</v>
      </c>
      <c r="AK616" s="6">
        <f>ROUND((AD616-(AD616*BG616)),2)</f>
        <v>133.37</v>
      </c>
      <c r="AL616" s="6">
        <f>ROUND((AD616-(AD616*BH616)),2)</f>
        <v>132.03</v>
      </c>
      <c r="AM616" s="6">
        <f>ROUND((AD616-(AD616*BI616)),2)</f>
        <v>130.68</v>
      </c>
      <c r="AN616" s="6">
        <f>ROUND((AD616-(AD616*BJ616)),2)</f>
        <v>130.68</v>
      </c>
      <c r="AO616" s="6">
        <f>ROUND((AD616-(AD616*BK616)),2)</f>
        <v>134.72</v>
      </c>
      <c r="BG616" s="12">
        <v>0.01</v>
      </c>
      <c r="BH616" s="12">
        <v>0.02</v>
      </c>
      <c r="BI616" s="12">
        <v>0.03</v>
      </c>
      <c r="BJ616" s="12">
        <v>0.03</v>
      </c>
      <c r="CC616" s="3" t="str">
        <f>IF(B616&lt;&gt;"",CONCATENATE(SUBSTITUTE(B616," ","-"),".jpg"),"")</f>
        <v>Allied-Moulded-AMU1084CCL.jpg</v>
      </c>
      <c r="CD616" s="16" t="s">
        <v>111</v>
      </c>
      <c r="CE616" s="3"/>
      <c r="CF616" s="3"/>
      <c r="CG616" s="3" t="s">
        <v>112</v>
      </c>
      <c r="CI616" s="3" t="s">
        <v>97</v>
      </c>
      <c r="CJ616" s="3" t="s">
        <v>467</v>
      </c>
      <c r="CK616" s="3" t="s">
        <v>114</v>
      </c>
      <c r="CL616" s="3" t="s">
        <v>115</v>
      </c>
      <c r="CM616" s="3" t="s">
        <v>116</v>
      </c>
      <c r="CN616" t="s">
        <v>117</v>
      </c>
      <c r="CO616" s="3" t="s">
        <v>118</v>
      </c>
      <c r="CP616" s="3" t="s">
        <v>139</v>
      </c>
      <c r="CQ616" s="3" t="s">
        <v>120</v>
      </c>
      <c r="CR616" s="16" t="s">
        <v>121</v>
      </c>
      <c r="CS616" s="16" t="s">
        <v>122</v>
      </c>
      <c r="CT616" s="16" t="s">
        <v>167</v>
      </c>
      <c r="CU616" s="16" t="s">
        <v>385</v>
      </c>
      <c r="CV616" s="16" t="s">
        <v>657</v>
      </c>
    </row>
    <row r="617" spans="1:100" ht="15" customHeight="1">
      <c r="A617" t="s">
        <v>4000</v>
      </c>
      <c r="B617" s="3" t="s">
        <v>4001</v>
      </c>
      <c r="C617" s="16" t="s">
        <v>97</v>
      </c>
      <c r="D617" s="39" t="s">
        <v>4002</v>
      </c>
      <c r="E617" s="16" t="s">
        <v>97</v>
      </c>
      <c r="F617" s="131" t="s">
        <v>4003</v>
      </c>
      <c r="I617" s="100" t="s">
        <v>342</v>
      </c>
      <c r="J617" s="16" t="s">
        <v>101</v>
      </c>
      <c r="K617" s="16"/>
      <c r="L617" s="3" t="s">
        <v>102</v>
      </c>
      <c r="M617" s="3" t="s">
        <v>103</v>
      </c>
      <c r="N617" s="3" t="s">
        <v>104</v>
      </c>
      <c r="O617" s="16" t="s">
        <v>105</v>
      </c>
      <c r="P617" s="3" t="s">
        <v>4004</v>
      </c>
      <c r="Q617" s="3" t="s">
        <v>4004</v>
      </c>
      <c r="R617" s="3" t="s">
        <v>4004</v>
      </c>
      <c r="S617" t="s">
        <v>4000</v>
      </c>
      <c r="T617" s="130" t="s">
        <v>465</v>
      </c>
      <c r="U617" s="34">
        <v>4</v>
      </c>
      <c r="V617" s="39"/>
      <c r="W617" s="39"/>
      <c r="X617" s="59" t="s">
        <v>108</v>
      </c>
      <c r="Y617" s="93">
        <f>IF(AD617=0, 0, IF(OR(H617="", H617&lt;&gt;0), 1, 0))</f>
        <v>1</v>
      </c>
      <c r="Z617" s="3">
        <v>0</v>
      </c>
      <c r="AA617" s="3" t="s">
        <v>4005</v>
      </c>
      <c r="AD617" s="6">
        <f>ROUND((AG617*(1+AJ617)),2)</f>
        <v>137.74</v>
      </c>
      <c r="AE617" s="69">
        <v>156.97046323999999</v>
      </c>
      <c r="AF617" s="17">
        <f>(AE617*1)</f>
        <v>156.97046323999999</v>
      </c>
      <c r="AG617" s="6">
        <f>ROUND((AE617*AI617),2)</f>
        <v>102.03</v>
      </c>
      <c r="AH617" s="30" t="s">
        <v>110</v>
      </c>
      <c r="AI617" s="3">
        <v>0.65</v>
      </c>
      <c r="AJ617" s="18">
        <v>0.35</v>
      </c>
      <c r="AK617" s="6">
        <f>ROUND((AD617-(AD617*BG617)),2)</f>
        <v>136.36000000000001</v>
      </c>
      <c r="AL617" s="6">
        <f>ROUND((AD617-(AD617*BH617)),2)</f>
        <v>134.99</v>
      </c>
      <c r="AM617" s="6">
        <f>ROUND((AD617-(AD617*BI617)),2)</f>
        <v>133.61000000000001</v>
      </c>
      <c r="AN617" s="6">
        <f>ROUND((AD617-(AD617*BJ617)),2)</f>
        <v>133.61000000000001</v>
      </c>
      <c r="AO617" s="6">
        <f>ROUND((AD617-(AD617*BK617)),2)</f>
        <v>137.74</v>
      </c>
      <c r="BG617" s="12">
        <v>0.01</v>
      </c>
      <c r="BH617" s="12">
        <v>0.02</v>
      </c>
      <c r="BI617" s="12">
        <v>0.03</v>
      </c>
      <c r="BJ617" s="12">
        <v>0.03</v>
      </c>
      <c r="CC617" s="3" t="str">
        <f>IF(B617&lt;&gt;"",CONCATENATE(SUBSTITUTE(B617," ","-"),".jpg"),"")</f>
        <v>Allied-Moulded-AMU1084CCLF.jpg</v>
      </c>
      <c r="CD617" s="16" t="s">
        <v>111</v>
      </c>
      <c r="CE617" s="3"/>
      <c r="CF617" s="3"/>
      <c r="CG617" s="3" t="s">
        <v>112</v>
      </c>
      <c r="CI617" s="3" t="s">
        <v>97</v>
      </c>
      <c r="CJ617" s="3" t="s">
        <v>467</v>
      </c>
      <c r="CK617" s="3" t="s">
        <v>114</v>
      </c>
      <c r="CL617" s="3" t="s">
        <v>115</v>
      </c>
      <c r="CM617" s="3" t="s">
        <v>116</v>
      </c>
      <c r="CN617" t="s">
        <v>117</v>
      </c>
      <c r="CO617" s="3" t="s">
        <v>118</v>
      </c>
      <c r="CP617" s="3" t="s">
        <v>139</v>
      </c>
      <c r="CQ617" s="3" t="s">
        <v>120</v>
      </c>
      <c r="CR617" s="16" t="s">
        <v>121</v>
      </c>
      <c r="CS617" s="16" t="s">
        <v>122</v>
      </c>
      <c r="CT617" s="16" t="s">
        <v>167</v>
      </c>
      <c r="CU617" s="16" t="s">
        <v>385</v>
      </c>
      <c r="CV617" s="16" t="s">
        <v>657</v>
      </c>
    </row>
    <row r="618" spans="1:100" ht="15" customHeight="1">
      <c r="A618" t="s">
        <v>4006</v>
      </c>
      <c r="B618" s="3" t="s">
        <v>4007</v>
      </c>
      <c r="C618" s="16" t="s">
        <v>97</v>
      </c>
      <c r="D618" s="39" t="s">
        <v>4008</v>
      </c>
      <c r="E618" s="16" t="s">
        <v>97</v>
      </c>
      <c r="F618" s="131" t="s">
        <v>4009</v>
      </c>
      <c r="I618" s="100" t="s">
        <v>342</v>
      </c>
      <c r="J618" s="16" t="s">
        <v>101</v>
      </c>
      <c r="K618" s="16"/>
      <c r="L618" s="3" t="s">
        <v>102</v>
      </c>
      <c r="M618" s="3" t="s">
        <v>103</v>
      </c>
      <c r="N618" s="3" t="s">
        <v>104</v>
      </c>
      <c r="O618" s="16" t="s">
        <v>105</v>
      </c>
      <c r="P618" s="3" t="s">
        <v>4010</v>
      </c>
      <c r="Q618" s="3" t="s">
        <v>4010</v>
      </c>
      <c r="R618" s="3" t="s">
        <v>4010</v>
      </c>
      <c r="S618" t="s">
        <v>4006</v>
      </c>
      <c r="T618" s="130" t="s">
        <v>465</v>
      </c>
      <c r="U618" s="34">
        <v>4</v>
      </c>
      <c r="V618" s="39"/>
      <c r="W618" s="39"/>
      <c r="X618" s="59" t="s">
        <v>108</v>
      </c>
      <c r="Y618" s="93">
        <f>IF(AD618=0, 0, IF(OR(H618="", H618&lt;&gt;0), 1, 0))</f>
        <v>1</v>
      </c>
      <c r="Z618" s="3">
        <v>0</v>
      </c>
      <c r="AA618" s="3" t="s">
        <v>4011</v>
      </c>
      <c r="AD618" s="6">
        <f>ROUND((AG618*(1+AJ618)),2)</f>
        <v>127.97</v>
      </c>
      <c r="AE618" s="69">
        <v>145.83150351999998</v>
      </c>
      <c r="AF618" s="17">
        <f>(AE618*1)</f>
        <v>145.83150351999998</v>
      </c>
      <c r="AG618" s="6">
        <f>ROUND((AE618*AI618),2)</f>
        <v>94.79</v>
      </c>
      <c r="AH618" s="30" t="s">
        <v>110</v>
      </c>
      <c r="AI618" s="3">
        <v>0.65</v>
      </c>
      <c r="AJ618" s="18">
        <v>0.35</v>
      </c>
      <c r="AK618" s="6">
        <f>ROUND((AD618-(AD618*BG618)),2)</f>
        <v>126.69</v>
      </c>
      <c r="AL618" s="6">
        <f>ROUND((AD618-(AD618*BH618)),2)</f>
        <v>125.41</v>
      </c>
      <c r="AM618" s="6">
        <f>ROUND((AD618-(AD618*BI618)),2)</f>
        <v>124.13</v>
      </c>
      <c r="AN618" s="6">
        <f>ROUND((AD618-(AD618*BJ618)),2)</f>
        <v>124.13</v>
      </c>
      <c r="AO618" s="6">
        <f>ROUND((AD618-(AD618*BK618)),2)</f>
        <v>127.97</v>
      </c>
      <c r="BG618" s="12">
        <v>0.01</v>
      </c>
      <c r="BH618" s="12">
        <v>0.02</v>
      </c>
      <c r="BI618" s="12">
        <v>0.03</v>
      </c>
      <c r="BJ618" s="12">
        <v>0.03</v>
      </c>
      <c r="CC618" s="3" t="str">
        <f>IF(B618&lt;&gt;"",CONCATENATE(SUBSTITUTE(B618," ","-"),".jpg"),"")</f>
        <v>Allied-Moulded-AMU1084CCNL.jpg</v>
      </c>
      <c r="CD618" s="16" t="s">
        <v>111</v>
      </c>
      <c r="CE618" s="3"/>
      <c r="CF618" s="3"/>
      <c r="CG618" s="3" t="s">
        <v>112</v>
      </c>
      <c r="CI618" s="3" t="s">
        <v>97</v>
      </c>
      <c r="CJ618" s="3" t="s">
        <v>467</v>
      </c>
      <c r="CK618" s="3" t="s">
        <v>114</v>
      </c>
      <c r="CL618" s="3" t="s">
        <v>115</v>
      </c>
      <c r="CM618" s="3" t="s">
        <v>116</v>
      </c>
      <c r="CN618" t="s">
        <v>117</v>
      </c>
      <c r="CO618" s="3" t="s">
        <v>118</v>
      </c>
      <c r="CP618" s="3" t="s">
        <v>139</v>
      </c>
      <c r="CQ618" s="3" t="s">
        <v>120</v>
      </c>
      <c r="CR618" s="16" t="s">
        <v>121</v>
      </c>
      <c r="CS618" s="16" t="s">
        <v>122</v>
      </c>
      <c r="CT618" s="16" t="s">
        <v>167</v>
      </c>
      <c r="CU618" s="16" t="s">
        <v>385</v>
      </c>
      <c r="CV618" s="16" t="s">
        <v>657</v>
      </c>
    </row>
    <row r="619" spans="1:100" ht="15" customHeight="1">
      <c r="A619" t="s">
        <v>4012</v>
      </c>
      <c r="B619" s="3" t="s">
        <v>4013</v>
      </c>
      <c r="C619" s="16" t="s">
        <v>97</v>
      </c>
      <c r="D619" s="40" t="s">
        <v>4014</v>
      </c>
      <c r="E619" s="16" t="s">
        <v>97</v>
      </c>
      <c r="F619" s="131" t="s">
        <v>4015</v>
      </c>
      <c r="I619" s="100" t="s">
        <v>342</v>
      </c>
      <c r="J619" s="16" t="s">
        <v>101</v>
      </c>
      <c r="K619" s="16"/>
      <c r="L619" s="3" t="s">
        <v>102</v>
      </c>
      <c r="M619" s="3" t="s">
        <v>103</v>
      </c>
      <c r="N619" s="3" t="s">
        <v>104</v>
      </c>
      <c r="O619" s="16" t="s">
        <v>105</v>
      </c>
      <c r="P619" s="3" t="s">
        <v>4016</v>
      </c>
      <c r="Q619" s="3" t="s">
        <v>4016</v>
      </c>
      <c r="R619" s="3" t="s">
        <v>4016</v>
      </c>
      <c r="S619" t="s">
        <v>4012</v>
      </c>
      <c r="T619" s="130" t="s">
        <v>465</v>
      </c>
      <c r="U619" s="35">
        <v>4</v>
      </c>
      <c r="V619" s="40"/>
      <c r="W619" s="40"/>
      <c r="X619" s="59" t="s">
        <v>108</v>
      </c>
      <c r="Y619" s="93">
        <f>IF(AD619=0, 0, IF(OR(H619="", H619&lt;&gt;0), 1, 0))</f>
        <v>1</v>
      </c>
      <c r="Z619" s="3">
        <v>0</v>
      </c>
      <c r="AA619" s="3" t="s">
        <v>4017</v>
      </c>
      <c r="AD619" s="6">
        <f>ROUND((AG619*(1+AJ619)),2)</f>
        <v>130.86000000000001</v>
      </c>
      <c r="AE619" s="69">
        <v>149.12877247999998</v>
      </c>
      <c r="AF619" s="17">
        <f>(AE619*1)</f>
        <v>149.12877247999998</v>
      </c>
      <c r="AG619" s="6">
        <f>ROUND((AE619*AI619),2)</f>
        <v>96.93</v>
      </c>
      <c r="AH619" s="30" t="s">
        <v>110</v>
      </c>
      <c r="AI619" s="3">
        <v>0.65</v>
      </c>
      <c r="AJ619" s="18">
        <v>0.35</v>
      </c>
      <c r="AK619" s="6">
        <f>ROUND((AD619-(AD619*BG619)),2)</f>
        <v>129.55000000000001</v>
      </c>
      <c r="AL619" s="6">
        <f>ROUND((AD619-(AD619*BH619)),2)</f>
        <v>128.24</v>
      </c>
      <c r="AM619" s="6">
        <f>ROUND((AD619-(AD619*BI619)),2)</f>
        <v>126.93</v>
      </c>
      <c r="AN619" s="6">
        <f>ROUND((AD619-(AD619*BJ619)),2)</f>
        <v>126.93</v>
      </c>
      <c r="AO619" s="6">
        <f>ROUND((AD619-(AD619*BK619)),2)</f>
        <v>130.86000000000001</v>
      </c>
      <c r="BG619" s="12">
        <v>0.01</v>
      </c>
      <c r="BH619" s="12">
        <v>0.02</v>
      </c>
      <c r="BI619" s="12">
        <v>0.03</v>
      </c>
      <c r="BJ619" s="12">
        <v>0.03</v>
      </c>
      <c r="CC619" s="3" t="str">
        <f>IF(B619&lt;&gt;"",CONCATENATE(SUBSTITUTE(B619," ","-"),".jpg"),"")</f>
        <v>Allied-Moulded-AMU1084CCNLF.jpg</v>
      </c>
      <c r="CD619" s="16" t="s">
        <v>111</v>
      </c>
      <c r="CE619" s="3"/>
      <c r="CF619" s="3"/>
      <c r="CG619" s="3" t="s">
        <v>112</v>
      </c>
      <c r="CI619" s="3" t="s">
        <v>97</v>
      </c>
      <c r="CJ619" s="3" t="s">
        <v>467</v>
      </c>
      <c r="CK619" s="3" t="s">
        <v>114</v>
      </c>
      <c r="CL619" s="3" t="s">
        <v>115</v>
      </c>
      <c r="CM619" s="3" t="s">
        <v>116</v>
      </c>
      <c r="CN619" t="s">
        <v>117</v>
      </c>
      <c r="CO619" s="3" t="s">
        <v>118</v>
      </c>
      <c r="CP619" s="3" t="s">
        <v>139</v>
      </c>
      <c r="CQ619" s="3" t="s">
        <v>120</v>
      </c>
      <c r="CR619" s="16" t="s">
        <v>121</v>
      </c>
      <c r="CS619" s="16" t="s">
        <v>122</v>
      </c>
      <c r="CT619" s="16" t="s">
        <v>167</v>
      </c>
      <c r="CU619" s="16" t="s">
        <v>385</v>
      </c>
      <c r="CV619" s="16" t="s">
        <v>657</v>
      </c>
    </row>
    <row r="620" spans="1:100" ht="15" customHeight="1">
      <c r="A620" t="s">
        <v>4018</v>
      </c>
      <c r="B620" s="3" t="s">
        <v>4019</v>
      </c>
      <c r="C620" s="16" t="s">
        <v>97</v>
      </c>
      <c r="D620" s="40" t="s">
        <v>4020</v>
      </c>
      <c r="E620" s="16" t="s">
        <v>97</v>
      </c>
      <c r="F620" s="131" t="s">
        <v>4021</v>
      </c>
      <c r="I620" s="100" t="s">
        <v>342</v>
      </c>
      <c r="J620" s="16" t="s">
        <v>101</v>
      </c>
      <c r="K620" s="16"/>
      <c r="L620" s="3" t="s">
        <v>102</v>
      </c>
      <c r="M620" s="3" t="s">
        <v>103</v>
      </c>
      <c r="N620" s="3" t="s">
        <v>104</v>
      </c>
      <c r="O620" s="16" t="s">
        <v>105</v>
      </c>
      <c r="P620" s="3" t="s">
        <v>4022</v>
      </c>
      <c r="Q620" s="3" t="s">
        <v>4022</v>
      </c>
      <c r="R620" s="3" t="s">
        <v>4022</v>
      </c>
      <c r="S620" t="s">
        <v>4018</v>
      </c>
      <c r="T620" s="130" t="s">
        <v>465</v>
      </c>
      <c r="U620" s="51">
        <v>4</v>
      </c>
      <c r="V620" s="58"/>
      <c r="W620" s="58"/>
      <c r="X620" s="59" t="s">
        <v>108</v>
      </c>
      <c r="Y620" s="93">
        <f>IF(AD620=0, 0, IF(OR(H620="", H620&lt;&gt;0), 1, 0))</f>
        <v>1</v>
      </c>
      <c r="Z620" s="3">
        <v>0</v>
      </c>
      <c r="AA620" s="3" t="s">
        <v>4023</v>
      </c>
      <c r="AD620" s="6">
        <f>ROUND((AG620*(1+AJ620)),2)</f>
        <v>134.72</v>
      </c>
      <c r="AE620" s="69">
        <v>153.51943588</v>
      </c>
      <c r="AF620" s="17">
        <f>(AE620*1)</f>
        <v>153.51943588</v>
      </c>
      <c r="AG620" s="6">
        <f>ROUND((AE620*AI620),2)</f>
        <v>99.79</v>
      </c>
      <c r="AH620" s="30" t="s">
        <v>110</v>
      </c>
      <c r="AI620" s="3">
        <v>0.65</v>
      </c>
      <c r="AJ620" s="18">
        <v>0.35</v>
      </c>
      <c r="AK620" s="6">
        <f>ROUND((AD620-(AD620*BG620)),2)</f>
        <v>133.37</v>
      </c>
      <c r="AL620" s="6">
        <f>ROUND((AD620-(AD620*BH620)),2)</f>
        <v>132.03</v>
      </c>
      <c r="AM620" s="6">
        <f>ROUND((AD620-(AD620*BI620)),2)</f>
        <v>130.68</v>
      </c>
      <c r="AN620" s="6">
        <f>ROUND((AD620-(AD620*BJ620)),2)</f>
        <v>130.68</v>
      </c>
      <c r="AO620" s="6">
        <f>ROUND((AD620-(AD620*BK620)),2)</f>
        <v>134.72</v>
      </c>
      <c r="BG620" s="12">
        <v>0.01</v>
      </c>
      <c r="BH620" s="12">
        <v>0.02</v>
      </c>
      <c r="BI620" s="12">
        <v>0.03</v>
      </c>
      <c r="BJ620" s="12">
        <v>0.03</v>
      </c>
      <c r="CC620" s="3" t="str">
        <f>IF(B620&lt;&gt;"",CONCATENATE(SUBSTITUTE(B620," ","-"),".jpg"),"")</f>
        <v>Allied-Moulded-AMU1084CCT.jpg</v>
      </c>
      <c r="CD620" s="16" t="s">
        <v>111</v>
      </c>
      <c r="CE620" s="3"/>
      <c r="CF620" s="3"/>
      <c r="CG620" s="3" t="s">
        <v>112</v>
      </c>
      <c r="CI620" s="3" t="s">
        <v>97</v>
      </c>
      <c r="CJ620" s="3" t="s">
        <v>467</v>
      </c>
      <c r="CK620" s="3" t="s">
        <v>114</v>
      </c>
      <c r="CL620" s="3" t="s">
        <v>115</v>
      </c>
      <c r="CM620" s="3" t="s">
        <v>116</v>
      </c>
      <c r="CN620" s="16" t="s">
        <v>132</v>
      </c>
      <c r="CO620" s="3" t="s">
        <v>118</v>
      </c>
      <c r="CP620" s="3" t="s">
        <v>139</v>
      </c>
      <c r="CQ620" s="3" t="s">
        <v>120</v>
      </c>
      <c r="CR620" s="16" t="s">
        <v>121</v>
      </c>
      <c r="CS620" s="16" t="s">
        <v>122</v>
      </c>
      <c r="CT620" s="16" t="s">
        <v>167</v>
      </c>
      <c r="CU620" s="16" t="s">
        <v>385</v>
      </c>
      <c r="CV620" s="16" t="s">
        <v>657</v>
      </c>
    </row>
    <row r="621" spans="1:100" ht="15" customHeight="1">
      <c r="A621" t="s">
        <v>4024</v>
      </c>
      <c r="B621" s="3" t="s">
        <v>4025</v>
      </c>
      <c r="C621" s="16" t="s">
        <v>97</v>
      </c>
      <c r="D621" s="39" t="s">
        <v>4026</v>
      </c>
      <c r="E621" s="16" t="s">
        <v>97</v>
      </c>
      <c r="F621" s="131" t="s">
        <v>4027</v>
      </c>
      <c r="I621" s="100" t="s">
        <v>342</v>
      </c>
      <c r="J621" s="16" t="s">
        <v>101</v>
      </c>
      <c r="K621" s="16"/>
      <c r="L621" s="3" t="s">
        <v>102</v>
      </c>
      <c r="M621" s="3" t="s">
        <v>103</v>
      </c>
      <c r="N621" s="3" t="s">
        <v>104</v>
      </c>
      <c r="O621" s="16" t="s">
        <v>105</v>
      </c>
      <c r="P621" s="3" t="s">
        <v>4028</v>
      </c>
      <c r="Q621" s="3" t="s">
        <v>4028</v>
      </c>
      <c r="R621" s="3" t="s">
        <v>4028</v>
      </c>
      <c r="S621" t="s">
        <v>4024</v>
      </c>
      <c r="T621" s="130" t="s">
        <v>465</v>
      </c>
      <c r="U621" s="50">
        <v>4</v>
      </c>
      <c r="V621" s="54"/>
      <c r="W621" s="54"/>
      <c r="X621" s="59" t="s">
        <v>108</v>
      </c>
      <c r="Y621" s="93">
        <f>IF(AD621=0, 0, IF(OR(H621="", H621&lt;&gt;0), 1, 0))</f>
        <v>1</v>
      </c>
      <c r="Z621" s="3">
        <v>0</v>
      </c>
      <c r="AA621" s="3" t="s">
        <v>4029</v>
      </c>
      <c r="AD621" s="6">
        <f>ROUND((AG621*(1+AJ621)),2)</f>
        <v>137.74</v>
      </c>
      <c r="AE621" s="69">
        <v>156.97046323999999</v>
      </c>
      <c r="AF621" s="17">
        <f>(AE621*1)</f>
        <v>156.97046323999999</v>
      </c>
      <c r="AG621" s="6">
        <f>ROUND((AE621*AI621),2)</f>
        <v>102.03</v>
      </c>
      <c r="AH621" s="30" t="s">
        <v>110</v>
      </c>
      <c r="AI621" s="3">
        <v>0.65</v>
      </c>
      <c r="AJ621" s="18">
        <v>0.35</v>
      </c>
      <c r="AK621" s="6">
        <f>ROUND((AD621-(AD621*BG621)),2)</f>
        <v>136.36000000000001</v>
      </c>
      <c r="AL621" s="6">
        <f>ROUND((AD621-(AD621*BH621)),2)</f>
        <v>134.99</v>
      </c>
      <c r="AM621" s="6">
        <f>ROUND((AD621-(AD621*BI621)),2)</f>
        <v>133.61000000000001</v>
      </c>
      <c r="AN621" s="6">
        <f>ROUND((AD621-(AD621*BJ621)),2)</f>
        <v>133.61000000000001</v>
      </c>
      <c r="AO621" s="6">
        <f>ROUND((AD621-(AD621*BK621)),2)</f>
        <v>137.74</v>
      </c>
      <c r="BG621" s="12">
        <v>0.01</v>
      </c>
      <c r="BH621" s="12">
        <v>0.02</v>
      </c>
      <c r="BI621" s="12">
        <v>0.03</v>
      </c>
      <c r="BJ621" s="12">
        <v>0.03</v>
      </c>
      <c r="CC621" s="3" t="str">
        <f>IF(B621&lt;&gt;"",CONCATENATE(SUBSTITUTE(B621," ","-"),".jpg"),"")</f>
        <v>Allied-Moulded-AMU1084CCTF.jpg</v>
      </c>
      <c r="CD621" s="16" t="s">
        <v>111</v>
      </c>
      <c r="CE621" s="3"/>
      <c r="CF621" s="3"/>
      <c r="CG621" s="3" t="s">
        <v>112</v>
      </c>
      <c r="CI621" s="3" t="s">
        <v>97</v>
      </c>
      <c r="CJ621" s="3" t="s">
        <v>467</v>
      </c>
      <c r="CK621" s="3" t="s">
        <v>114</v>
      </c>
      <c r="CL621" s="3" t="s">
        <v>115</v>
      </c>
      <c r="CM621" s="3" t="s">
        <v>116</v>
      </c>
      <c r="CN621" s="16" t="s">
        <v>132</v>
      </c>
      <c r="CO621" s="3" t="s">
        <v>118</v>
      </c>
      <c r="CP621" s="3" t="s">
        <v>139</v>
      </c>
      <c r="CQ621" s="3" t="s">
        <v>120</v>
      </c>
      <c r="CR621" s="16" t="s">
        <v>121</v>
      </c>
      <c r="CS621" s="16" t="s">
        <v>122</v>
      </c>
      <c r="CT621" s="16" t="s">
        <v>167</v>
      </c>
      <c r="CU621" s="16" t="s">
        <v>385</v>
      </c>
      <c r="CV621" s="16" t="s">
        <v>657</v>
      </c>
    </row>
    <row r="622" spans="1:100" ht="15" customHeight="1">
      <c r="A622" t="s">
        <v>4030</v>
      </c>
      <c r="B622" s="3" t="s">
        <v>4031</v>
      </c>
      <c r="C622" s="16" t="s">
        <v>97</v>
      </c>
      <c r="D622" s="39" t="s">
        <v>4032</v>
      </c>
      <c r="E622" s="16" t="s">
        <v>97</v>
      </c>
      <c r="F622" s="131" t="s">
        <v>4033</v>
      </c>
      <c r="I622" s="100" t="s">
        <v>342</v>
      </c>
      <c r="J622" s="16" t="s">
        <v>101</v>
      </c>
      <c r="K622" s="16"/>
      <c r="L622" s="3" t="s">
        <v>102</v>
      </c>
      <c r="M622" s="3" t="s">
        <v>103</v>
      </c>
      <c r="N622" s="3" t="s">
        <v>104</v>
      </c>
      <c r="O622" s="16" t="s">
        <v>478</v>
      </c>
      <c r="P622" s="3" t="s">
        <v>4034</v>
      </c>
      <c r="Q622" s="3" t="s">
        <v>4034</v>
      </c>
      <c r="R622" s="3" t="s">
        <v>4034</v>
      </c>
      <c r="S622" t="s">
        <v>4030</v>
      </c>
      <c r="T622" s="130" t="s">
        <v>465</v>
      </c>
      <c r="U622" s="50">
        <v>4</v>
      </c>
      <c r="V622" s="54"/>
      <c r="W622" s="54"/>
      <c r="X622" s="59" t="s">
        <v>108</v>
      </c>
      <c r="Y622" s="93">
        <f>IF(AD622=0, 0, IF(OR(H622="", H622&lt;&gt;0), 1, 0))</f>
        <v>1</v>
      </c>
      <c r="Z622" s="3">
        <v>0</v>
      </c>
      <c r="AA622" s="3" t="s">
        <v>4035</v>
      </c>
      <c r="AD622" s="6">
        <f>ROUND((AG622*(1+AJ622)),2)</f>
        <v>63.3</v>
      </c>
      <c r="AE622" s="69">
        <v>72.139646249999998</v>
      </c>
      <c r="AF622" s="17">
        <f>(AE622*1)</f>
        <v>72.139646249999998</v>
      </c>
      <c r="AG622" s="6">
        <f>ROUND((AE622*AI622),2)</f>
        <v>46.89</v>
      </c>
      <c r="AH622" s="30" t="s">
        <v>110</v>
      </c>
      <c r="AI622" s="3">
        <v>0.65</v>
      </c>
      <c r="AJ622" s="18">
        <v>0.35</v>
      </c>
      <c r="AK622" s="6">
        <f>ROUND((AD622-(AD622*BG622)),2)</f>
        <v>62.67</v>
      </c>
      <c r="AL622" s="6">
        <f>ROUND((AD622-(AD622*BH622)),2)</f>
        <v>62.03</v>
      </c>
      <c r="AM622" s="6">
        <f>ROUND((AD622-(AD622*BI622)),2)</f>
        <v>61.4</v>
      </c>
      <c r="AN622" s="6">
        <f>ROUND((AD622-(AD622*BJ622)),2)</f>
        <v>61.4</v>
      </c>
      <c r="AO622" s="6">
        <f>ROUND((AD622-(AD622*BK622)),2)</f>
        <v>63.3</v>
      </c>
      <c r="BG622" s="12">
        <v>0.01</v>
      </c>
      <c r="BH622" s="12">
        <v>0.02</v>
      </c>
      <c r="BI622" s="12">
        <v>0.03</v>
      </c>
      <c r="BJ622" s="12">
        <v>0.03</v>
      </c>
      <c r="CC622" s="3" t="str">
        <f>IF(B622&lt;&gt;"",CONCATENATE(SUBSTITUTE(B622," ","-"),".jpg"),"")</f>
        <v>Allied-Moulded-AMP1086CC.jpg</v>
      </c>
      <c r="CD622" s="16" t="s">
        <v>111</v>
      </c>
      <c r="CE622" s="3"/>
      <c r="CF622" s="3"/>
      <c r="CG622" s="3" t="s">
        <v>112</v>
      </c>
      <c r="CI622" s="3" t="s">
        <v>97</v>
      </c>
      <c r="CJ622" s="3" t="s">
        <v>481</v>
      </c>
      <c r="CK622" s="3" t="s">
        <v>114</v>
      </c>
      <c r="CL622" s="3" t="s">
        <v>115</v>
      </c>
      <c r="CM622" s="16"/>
      <c r="CN622" s="16" t="s">
        <v>349</v>
      </c>
      <c r="CO622" s="3" t="s">
        <v>482</v>
      </c>
      <c r="CP622" s="3" t="s">
        <v>139</v>
      </c>
      <c r="CQ622" s="3" t="s">
        <v>120</v>
      </c>
      <c r="CR622" s="16" t="s">
        <v>121</v>
      </c>
      <c r="CS622" s="3" t="s">
        <v>384</v>
      </c>
      <c r="CT622" s="16" t="s">
        <v>167</v>
      </c>
      <c r="CU622" s="16" t="s">
        <v>385</v>
      </c>
      <c r="CV622" s="16" t="s">
        <v>351</v>
      </c>
    </row>
    <row r="623" spans="1:100" ht="15" customHeight="1">
      <c r="A623" t="s">
        <v>4036</v>
      </c>
      <c r="B623" s="3" t="s">
        <v>4037</v>
      </c>
      <c r="C623" s="16" t="s">
        <v>97</v>
      </c>
      <c r="D623" s="40" t="s">
        <v>4038</v>
      </c>
      <c r="E623" s="16" t="s">
        <v>97</v>
      </c>
      <c r="F623" s="131" t="s">
        <v>4039</v>
      </c>
      <c r="I623" s="100" t="s">
        <v>342</v>
      </c>
      <c r="J623" s="16" t="s">
        <v>101</v>
      </c>
      <c r="K623" s="16"/>
      <c r="L623" s="3" t="s">
        <v>102</v>
      </c>
      <c r="M623" s="3" t="s">
        <v>103</v>
      </c>
      <c r="N623" s="3" t="s">
        <v>104</v>
      </c>
      <c r="O623" s="16" t="s">
        <v>478</v>
      </c>
      <c r="P623" s="3" t="s">
        <v>4040</v>
      </c>
      <c r="Q623" s="3" t="s">
        <v>4040</v>
      </c>
      <c r="R623" s="3" t="s">
        <v>4040</v>
      </c>
      <c r="S623" t="s">
        <v>4036</v>
      </c>
      <c r="T623" s="130" t="s">
        <v>465</v>
      </c>
      <c r="U623" s="51">
        <v>4</v>
      </c>
      <c r="V623" s="58"/>
      <c r="W623" s="58"/>
      <c r="X623" s="59" t="s">
        <v>108</v>
      </c>
      <c r="Y623" s="93">
        <f>IF(AD623=0, 0, IF(OR(H623="", H623&lt;&gt;0), 1, 0))</f>
        <v>1</v>
      </c>
      <c r="Z623" s="3">
        <v>0</v>
      </c>
      <c r="AA623" s="3" t="s">
        <v>4041</v>
      </c>
      <c r="AD623" s="6">
        <f>ROUND((AG623*(1+AJ623)),2)</f>
        <v>66.459999999999994</v>
      </c>
      <c r="AE623" s="69">
        <v>75.744248999999996</v>
      </c>
      <c r="AF623" s="17">
        <f>(AE623*1)</f>
        <v>75.744248999999996</v>
      </c>
      <c r="AG623" s="6">
        <f>ROUND((AE623*AI623),2)</f>
        <v>49.23</v>
      </c>
      <c r="AH623" s="30" t="s">
        <v>110</v>
      </c>
      <c r="AI623" s="3">
        <v>0.65</v>
      </c>
      <c r="AJ623" s="18">
        <v>0.35</v>
      </c>
      <c r="AK623" s="6">
        <f>ROUND((AD623-(AD623*BG623)),2)</f>
        <v>65.8</v>
      </c>
      <c r="AL623" s="6">
        <f>ROUND((AD623-(AD623*BH623)),2)</f>
        <v>65.13</v>
      </c>
      <c r="AM623" s="6">
        <f>ROUND((AD623-(AD623*BI623)),2)</f>
        <v>64.47</v>
      </c>
      <c r="AN623" s="6">
        <f>ROUND((AD623-(AD623*BJ623)),2)</f>
        <v>64.47</v>
      </c>
      <c r="AO623" s="6">
        <f>ROUND((AD623-(AD623*BK623)),2)</f>
        <v>66.459999999999994</v>
      </c>
      <c r="BG623" s="12">
        <v>0.01</v>
      </c>
      <c r="BH623" s="12">
        <v>0.02</v>
      </c>
      <c r="BI623" s="12">
        <v>0.03</v>
      </c>
      <c r="BJ623" s="12">
        <v>0.03</v>
      </c>
      <c r="CC623" s="3" t="str">
        <f>IF(B623&lt;&gt;"",CONCATENATE(SUBSTITUTE(B623," ","-"),".jpg"),"")</f>
        <v>Allied-Moulded-AMP1086CCF.jpg</v>
      </c>
      <c r="CD623" s="16" t="s">
        <v>111</v>
      </c>
      <c r="CE623" s="3"/>
      <c r="CF623" s="3"/>
      <c r="CG623" s="3" t="s">
        <v>112</v>
      </c>
      <c r="CI623" s="3" t="s">
        <v>97</v>
      </c>
      <c r="CJ623" s="3" t="s">
        <v>481</v>
      </c>
      <c r="CK623" s="3" t="s">
        <v>114</v>
      </c>
      <c r="CL623" s="3" t="s">
        <v>115</v>
      </c>
      <c r="CM623" s="16"/>
      <c r="CN623" s="16" t="s">
        <v>349</v>
      </c>
      <c r="CO623" s="3" t="s">
        <v>482</v>
      </c>
      <c r="CP623" s="3" t="s">
        <v>139</v>
      </c>
      <c r="CQ623" s="3" t="s">
        <v>120</v>
      </c>
      <c r="CR623" s="16" t="s">
        <v>121</v>
      </c>
      <c r="CS623" s="3" t="s">
        <v>384</v>
      </c>
      <c r="CT623" s="16" t="s">
        <v>167</v>
      </c>
      <c r="CU623" s="16" t="s">
        <v>385</v>
      </c>
      <c r="CV623" s="16" t="s">
        <v>351</v>
      </c>
    </row>
    <row r="624" spans="1:100" ht="15" customHeight="1">
      <c r="A624" t="s">
        <v>4042</v>
      </c>
      <c r="B624" s="3" t="s">
        <v>4043</v>
      </c>
      <c r="C624" s="16" t="s">
        <v>97</v>
      </c>
      <c r="D624" s="40" t="s">
        <v>4044</v>
      </c>
      <c r="E624" s="16" t="s">
        <v>97</v>
      </c>
      <c r="F624" s="131" t="s">
        <v>4045</v>
      </c>
      <c r="I624" s="100" t="s">
        <v>342</v>
      </c>
      <c r="J624" s="16" t="s">
        <v>101</v>
      </c>
      <c r="K624" s="16"/>
      <c r="L624" s="3" t="s">
        <v>102</v>
      </c>
      <c r="M624" s="3" t="s">
        <v>103</v>
      </c>
      <c r="N624" s="3" t="s">
        <v>104</v>
      </c>
      <c r="O624" s="16" t="s">
        <v>478</v>
      </c>
      <c r="P624" s="3" t="s">
        <v>4046</v>
      </c>
      <c r="Q624" s="3" t="s">
        <v>4046</v>
      </c>
      <c r="R624" s="3" t="s">
        <v>4046</v>
      </c>
      <c r="S624" t="s">
        <v>4042</v>
      </c>
      <c r="T624" s="130" t="s">
        <v>465</v>
      </c>
      <c r="U624" s="51">
        <v>4</v>
      </c>
      <c r="V624" s="58"/>
      <c r="W624" s="58"/>
      <c r="X624" s="59" t="s">
        <v>108</v>
      </c>
      <c r="Y624" s="93">
        <f>IF(AD624=0, 0, IF(OR(H624="", H624&lt;&gt;0), 1, 0))</f>
        <v>1</v>
      </c>
      <c r="Z624" s="3">
        <v>0</v>
      </c>
      <c r="AA624" s="3" t="s">
        <v>4047</v>
      </c>
      <c r="AD624" s="6">
        <f>ROUND((AG624*(1+AJ624)),2)</f>
        <v>70.17</v>
      </c>
      <c r="AE624" s="69">
        <v>79.968140700000006</v>
      </c>
      <c r="AF624" s="17">
        <f>(AE624*1)</f>
        <v>79.968140700000006</v>
      </c>
      <c r="AG624" s="6">
        <f>ROUND((AE624*AI624),2)</f>
        <v>51.98</v>
      </c>
      <c r="AH624" s="30" t="s">
        <v>110</v>
      </c>
      <c r="AI624" s="3">
        <v>0.65</v>
      </c>
      <c r="AJ624" s="18">
        <v>0.35</v>
      </c>
      <c r="AK624" s="6">
        <f>ROUND((AD624-(AD624*BG624)),2)</f>
        <v>69.47</v>
      </c>
      <c r="AL624" s="6">
        <f>ROUND((AD624-(AD624*BH624)),2)</f>
        <v>68.77</v>
      </c>
      <c r="AM624" s="6">
        <f>ROUND((AD624-(AD624*BI624)),2)</f>
        <v>68.06</v>
      </c>
      <c r="AN624" s="6">
        <f>ROUND((AD624-(AD624*BJ624)),2)</f>
        <v>68.06</v>
      </c>
      <c r="AO624" s="6">
        <f>ROUND((AD624-(AD624*BK624)),2)</f>
        <v>70.17</v>
      </c>
      <c r="BG624" s="12">
        <v>0.01</v>
      </c>
      <c r="BH624" s="12">
        <v>0.02</v>
      </c>
      <c r="BI624" s="12">
        <v>0.03</v>
      </c>
      <c r="BJ624" s="12">
        <v>0.03</v>
      </c>
      <c r="CC624" s="3" t="str">
        <f>IF(B624&lt;&gt;"",CONCATENATE(SUBSTITUTE(B624," ","-"),".jpg"),"")</f>
        <v>Allied-Moulded-AMP1086CCH.jpg</v>
      </c>
      <c r="CD624" s="16" t="s">
        <v>111</v>
      </c>
      <c r="CE624" s="3"/>
      <c r="CF624" s="3"/>
      <c r="CG624" s="3" t="s">
        <v>112</v>
      </c>
      <c r="CI624" s="3" t="s">
        <v>97</v>
      </c>
      <c r="CJ624" s="3" t="s">
        <v>481</v>
      </c>
      <c r="CK624" s="3" t="s">
        <v>114</v>
      </c>
      <c r="CL624" s="3" t="s">
        <v>115</v>
      </c>
      <c r="CM624" s="3" t="s">
        <v>116</v>
      </c>
      <c r="CN624" s="16" t="s">
        <v>349</v>
      </c>
      <c r="CO624" s="3" t="s">
        <v>482</v>
      </c>
      <c r="CP624" s="3" t="s">
        <v>139</v>
      </c>
      <c r="CQ624" s="3" t="s">
        <v>120</v>
      </c>
      <c r="CR624" s="16" t="s">
        <v>121</v>
      </c>
      <c r="CS624" s="3" t="s">
        <v>384</v>
      </c>
      <c r="CT624" s="16" t="s">
        <v>167</v>
      </c>
      <c r="CU624" s="16" t="s">
        <v>385</v>
      </c>
      <c r="CV624" s="16" t="s">
        <v>351</v>
      </c>
    </row>
    <row r="625" spans="1:100" ht="15" customHeight="1">
      <c r="A625" t="s">
        <v>4048</v>
      </c>
      <c r="B625" s="3" t="s">
        <v>4049</v>
      </c>
      <c r="C625" s="16" t="s">
        <v>97</v>
      </c>
      <c r="D625" s="39" t="s">
        <v>4050</v>
      </c>
      <c r="E625" s="16" t="s">
        <v>97</v>
      </c>
      <c r="F625" s="131" t="s">
        <v>4051</v>
      </c>
      <c r="I625" s="100" t="s">
        <v>342</v>
      </c>
      <c r="J625" s="16" t="s">
        <v>101</v>
      </c>
      <c r="K625" s="16"/>
      <c r="L625" s="3" t="s">
        <v>102</v>
      </c>
      <c r="M625" s="3" t="s">
        <v>103</v>
      </c>
      <c r="N625" s="3" t="s">
        <v>104</v>
      </c>
      <c r="O625" s="16" t="s">
        <v>478</v>
      </c>
      <c r="P625" s="3" t="s">
        <v>4052</v>
      </c>
      <c r="Q625" s="3" t="s">
        <v>4052</v>
      </c>
      <c r="R625" s="3" t="s">
        <v>4052</v>
      </c>
      <c r="S625" t="s">
        <v>4048</v>
      </c>
      <c r="T625" s="130" t="s">
        <v>465</v>
      </c>
      <c r="U625" s="50">
        <v>4</v>
      </c>
      <c r="V625" s="54"/>
      <c r="W625" s="54"/>
      <c r="X625" s="59" t="s">
        <v>108</v>
      </c>
      <c r="Y625" s="93">
        <f>IF(AD625=0, 0, IF(OR(H625="", H625&lt;&gt;0), 1, 0))</f>
        <v>1</v>
      </c>
      <c r="Z625" s="3">
        <v>0</v>
      </c>
      <c r="AA625" s="3" t="s">
        <v>4053</v>
      </c>
      <c r="AD625" s="6">
        <f>ROUND((AG625*(1+AJ625)),2)</f>
        <v>73.680000000000007</v>
      </c>
      <c r="AE625" s="69">
        <v>83.969723250000001</v>
      </c>
      <c r="AF625" s="17">
        <f>(AE625*1)</f>
        <v>83.969723250000001</v>
      </c>
      <c r="AG625" s="6">
        <f>ROUND((AE625*AI625),2)</f>
        <v>54.58</v>
      </c>
      <c r="AH625" s="30" t="s">
        <v>110</v>
      </c>
      <c r="AI625" s="3">
        <v>0.65</v>
      </c>
      <c r="AJ625" s="18">
        <v>0.35</v>
      </c>
      <c r="AK625" s="6">
        <f>ROUND((AD625-(AD625*BG625)),2)</f>
        <v>72.94</v>
      </c>
      <c r="AL625" s="6">
        <f>ROUND((AD625-(AD625*BH625)),2)</f>
        <v>72.209999999999994</v>
      </c>
      <c r="AM625" s="6">
        <f>ROUND((AD625-(AD625*BI625)),2)</f>
        <v>71.47</v>
      </c>
      <c r="AN625" s="6">
        <f>ROUND((AD625-(AD625*BJ625)),2)</f>
        <v>71.47</v>
      </c>
      <c r="AO625" s="6">
        <f>ROUND((AD625-(AD625*BK625)),2)</f>
        <v>73.680000000000007</v>
      </c>
      <c r="BG625" s="12">
        <v>0.01</v>
      </c>
      <c r="BH625" s="12">
        <v>0.02</v>
      </c>
      <c r="BI625" s="12">
        <v>0.03</v>
      </c>
      <c r="BJ625" s="12">
        <v>0.03</v>
      </c>
      <c r="CC625" s="3" t="str">
        <f>IF(B625&lt;&gt;"",CONCATENATE(SUBSTITUTE(B625," ","-"),".jpg"),"")</f>
        <v>Allied-Moulded-AMP1086CCHF.jpg</v>
      </c>
      <c r="CD625" s="16" t="s">
        <v>111</v>
      </c>
      <c r="CE625" s="3"/>
      <c r="CF625" s="3"/>
      <c r="CG625" s="3" t="s">
        <v>112</v>
      </c>
      <c r="CI625" s="3" t="s">
        <v>97</v>
      </c>
      <c r="CJ625" s="3" t="s">
        <v>481</v>
      </c>
      <c r="CK625" s="3" t="s">
        <v>114</v>
      </c>
      <c r="CL625" s="3" t="s">
        <v>115</v>
      </c>
      <c r="CM625" s="3" t="s">
        <v>116</v>
      </c>
      <c r="CN625" s="16" t="s">
        <v>349</v>
      </c>
      <c r="CO625" s="3" t="s">
        <v>482</v>
      </c>
      <c r="CP625" s="3" t="s">
        <v>139</v>
      </c>
      <c r="CQ625" s="3" t="s">
        <v>120</v>
      </c>
      <c r="CR625" s="16" t="s">
        <v>121</v>
      </c>
      <c r="CS625" s="3" t="s">
        <v>384</v>
      </c>
      <c r="CT625" s="16" t="s">
        <v>167</v>
      </c>
      <c r="CU625" s="16" t="s">
        <v>385</v>
      </c>
      <c r="CV625" s="16" t="s">
        <v>351</v>
      </c>
    </row>
    <row r="626" spans="1:100" ht="15" customHeight="1">
      <c r="A626" t="s">
        <v>4054</v>
      </c>
      <c r="B626" s="3" t="s">
        <v>4055</v>
      </c>
      <c r="C626" s="16" t="s">
        <v>97</v>
      </c>
      <c r="D626" s="39" t="s">
        <v>4056</v>
      </c>
      <c r="E626" s="16" t="s">
        <v>97</v>
      </c>
      <c r="F626" s="131" t="s">
        <v>4057</v>
      </c>
      <c r="I626" s="100" t="s">
        <v>342</v>
      </c>
      <c r="J626" s="16" t="s">
        <v>101</v>
      </c>
      <c r="K626" s="16"/>
      <c r="L626" s="3" t="s">
        <v>102</v>
      </c>
      <c r="M626" s="3" t="s">
        <v>103</v>
      </c>
      <c r="N626" s="3" t="s">
        <v>104</v>
      </c>
      <c r="O626" s="16" t="s">
        <v>478</v>
      </c>
      <c r="P626" s="3" t="s">
        <v>4058</v>
      </c>
      <c r="Q626" s="3" t="s">
        <v>4058</v>
      </c>
      <c r="R626" s="3" t="s">
        <v>4058</v>
      </c>
      <c r="S626" t="s">
        <v>4054</v>
      </c>
      <c r="T626" s="130" t="s">
        <v>465</v>
      </c>
      <c r="U626" s="50">
        <v>4</v>
      </c>
      <c r="V626" s="54"/>
      <c r="W626" s="54"/>
      <c r="X626" s="59" t="s">
        <v>108</v>
      </c>
      <c r="Y626" s="93">
        <f>IF(AD626=0, 0, IF(OR(H626="", H626&lt;&gt;0), 1, 0))</f>
        <v>1</v>
      </c>
      <c r="Z626" s="3">
        <v>0</v>
      </c>
      <c r="AA626" s="3" t="s">
        <v>4059</v>
      </c>
      <c r="AD626" s="6">
        <f>ROUND((AG626*(1+AJ626)),2)</f>
        <v>85.06</v>
      </c>
      <c r="AE626" s="69">
        <v>96.943108499999994</v>
      </c>
      <c r="AF626" s="17">
        <f>(AE626*1)</f>
        <v>96.943108499999994</v>
      </c>
      <c r="AG626" s="6">
        <f>ROUND((AE626*AI626),2)</f>
        <v>63.01</v>
      </c>
      <c r="AH626" s="30" t="s">
        <v>110</v>
      </c>
      <c r="AI626" s="3">
        <v>0.65</v>
      </c>
      <c r="AJ626" s="18">
        <v>0.35</v>
      </c>
      <c r="AK626" s="6">
        <f>ROUND((AD626-(AD626*BG626)),2)</f>
        <v>84.21</v>
      </c>
      <c r="AL626" s="6">
        <f>ROUND((AD626-(AD626*BH626)),2)</f>
        <v>83.36</v>
      </c>
      <c r="AM626" s="6">
        <f>ROUND((AD626-(AD626*BI626)),2)</f>
        <v>82.51</v>
      </c>
      <c r="AN626" s="6">
        <f>ROUND((AD626-(AD626*BJ626)),2)</f>
        <v>82.51</v>
      </c>
      <c r="AO626" s="6">
        <f>ROUND((AD626-(AD626*BK626)),2)</f>
        <v>85.06</v>
      </c>
      <c r="BG626" s="12">
        <v>0.01</v>
      </c>
      <c r="BH626" s="12">
        <v>0.02</v>
      </c>
      <c r="BI626" s="12">
        <v>0.03</v>
      </c>
      <c r="BJ626" s="12">
        <v>0.03</v>
      </c>
      <c r="CC626" s="3" t="str">
        <f>IF(B626&lt;&gt;"",CONCATENATE(SUBSTITUTE(B626," ","-"),".jpg"),"")</f>
        <v>Allied-Moulded-AMP1086CCL.jpg</v>
      </c>
      <c r="CD626" s="16" t="s">
        <v>111</v>
      </c>
      <c r="CE626" s="3"/>
      <c r="CF626" s="3"/>
      <c r="CG626" s="3" t="s">
        <v>112</v>
      </c>
      <c r="CI626" s="3" t="s">
        <v>97</v>
      </c>
      <c r="CJ626" s="3" t="s">
        <v>481</v>
      </c>
      <c r="CK626" s="3" t="s">
        <v>114</v>
      </c>
      <c r="CL626" s="3" t="s">
        <v>115</v>
      </c>
      <c r="CM626" s="3" t="s">
        <v>116</v>
      </c>
      <c r="CN626" t="s">
        <v>117</v>
      </c>
      <c r="CO626" s="3" t="s">
        <v>482</v>
      </c>
      <c r="CP626" s="3" t="s">
        <v>139</v>
      </c>
      <c r="CQ626" s="3" t="s">
        <v>120</v>
      </c>
      <c r="CR626" s="16" t="s">
        <v>121</v>
      </c>
      <c r="CS626" s="16" t="s">
        <v>122</v>
      </c>
      <c r="CT626" s="16" t="s">
        <v>167</v>
      </c>
      <c r="CU626" s="16" t="s">
        <v>385</v>
      </c>
      <c r="CV626" s="16" t="s">
        <v>351</v>
      </c>
    </row>
    <row r="627" spans="1:100" ht="15" customHeight="1">
      <c r="A627" t="s">
        <v>4060</v>
      </c>
      <c r="B627" s="3" t="s">
        <v>4061</v>
      </c>
      <c r="C627" s="16" t="s">
        <v>97</v>
      </c>
      <c r="D627" s="40" t="s">
        <v>4062</v>
      </c>
      <c r="E627" s="16" t="s">
        <v>97</v>
      </c>
      <c r="F627" s="131" t="s">
        <v>4063</v>
      </c>
      <c r="I627" s="100" t="s">
        <v>342</v>
      </c>
      <c r="J627" s="16" t="s">
        <v>101</v>
      </c>
      <c r="K627" s="16"/>
      <c r="L627" s="3" t="s">
        <v>102</v>
      </c>
      <c r="M627" s="3" t="s">
        <v>103</v>
      </c>
      <c r="N627" s="3" t="s">
        <v>104</v>
      </c>
      <c r="O627" s="16" t="s">
        <v>478</v>
      </c>
      <c r="P627" s="3" t="s">
        <v>4064</v>
      </c>
      <c r="Q627" s="3" t="s">
        <v>4064</v>
      </c>
      <c r="R627" s="3" t="s">
        <v>4064</v>
      </c>
      <c r="S627" t="s">
        <v>4060</v>
      </c>
      <c r="T627" s="130" t="s">
        <v>465</v>
      </c>
      <c r="U627" s="51">
        <v>4</v>
      </c>
      <c r="V627" s="58"/>
      <c r="W627" s="58"/>
      <c r="X627" s="59" t="s">
        <v>108</v>
      </c>
      <c r="Y627" s="93">
        <f>IF(AD627=0, 0, IF(OR(H627="", H627&lt;&gt;0), 1, 0))</f>
        <v>1</v>
      </c>
      <c r="Z627" s="3">
        <v>0</v>
      </c>
      <c r="AA627" s="3" t="s">
        <v>4065</v>
      </c>
      <c r="AD627" s="6">
        <f>ROUND((AG627*(1+AJ627)),2)</f>
        <v>89.33</v>
      </c>
      <c r="AE627" s="69">
        <v>101.80217459999999</v>
      </c>
      <c r="AF627" s="17">
        <f>(AE627*1)</f>
        <v>101.80217459999999</v>
      </c>
      <c r="AG627" s="6">
        <f>ROUND((AE627*AI627),2)</f>
        <v>66.17</v>
      </c>
      <c r="AH627" s="30" t="s">
        <v>110</v>
      </c>
      <c r="AI627" s="3">
        <v>0.65</v>
      </c>
      <c r="AJ627" s="18">
        <v>0.35</v>
      </c>
      <c r="AK627" s="6">
        <f>ROUND((AD627-(AD627*BG627)),2)</f>
        <v>88.44</v>
      </c>
      <c r="AL627" s="6">
        <f>ROUND((AD627-(AD627*BH627)),2)</f>
        <v>87.54</v>
      </c>
      <c r="AM627" s="6">
        <f>ROUND((AD627-(AD627*BI627)),2)</f>
        <v>86.65</v>
      </c>
      <c r="AN627" s="6">
        <f>ROUND((AD627-(AD627*BJ627)),2)</f>
        <v>86.65</v>
      </c>
      <c r="AO627" s="6">
        <f>ROUND((AD627-(AD627*BK627)),2)</f>
        <v>89.33</v>
      </c>
      <c r="BG627" s="12">
        <v>0.01</v>
      </c>
      <c r="BH627" s="12">
        <v>0.02</v>
      </c>
      <c r="BI627" s="12">
        <v>0.03</v>
      </c>
      <c r="BJ627" s="12">
        <v>0.03</v>
      </c>
      <c r="CC627" s="3" t="str">
        <f>IF(B627&lt;&gt;"",CONCATENATE(SUBSTITUTE(B627," ","-"),".jpg"),"")</f>
        <v>Allied-Moulded-AMP1086CCLF.jpg</v>
      </c>
      <c r="CD627" s="16" t="s">
        <v>111</v>
      </c>
      <c r="CE627" s="3"/>
      <c r="CF627" s="3"/>
      <c r="CG627" s="3" t="s">
        <v>112</v>
      </c>
      <c r="CI627" s="3" t="s">
        <v>97</v>
      </c>
      <c r="CJ627" s="3" t="s">
        <v>481</v>
      </c>
      <c r="CK627" s="3" t="s">
        <v>114</v>
      </c>
      <c r="CL627" s="3" t="s">
        <v>115</v>
      </c>
      <c r="CM627" s="3" t="s">
        <v>116</v>
      </c>
      <c r="CN627" t="s">
        <v>117</v>
      </c>
      <c r="CO627" s="3" t="s">
        <v>482</v>
      </c>
      <c r="CP627" s="3" t="s">
        <v>139</v>
      </c>
      <c r="CQ627" s="3" t="s">
        <v>120</v>
      </c>
      <c r="CR627" s="16" t="s">
        <v>121</v>
      </c>
      <c r="CS627" s="16" t="s">
        <v>122</v>
      </c>
      <c r="CT627" s="16" t="s">
        <v>167</v>
      </c>
      <c r="CU627" s="16" t="s">
        <v>385</v>
      </c>
      <c r="CV627" s="16" t="s">
        <v>351</v>
      </c>
    </row>
    <row r="628" spans="1:100" ht="15" customHeight="1">
      <c r="A628" t="s">
        <v>4066</v>
      </c>
      <c r="B628" s="3" t="s">
        <v>4067</v>
      </c>
      <c r="C628" s="16" t="s">
        <v>97</v>
      </c>
      <c r="D628" s="40" t="s">
        <v>4068</v>
      </c>
      <c r="E628" s="16" t="s">
        <v>97</v>
      </c>
      <c r="F628" s="131" t="s">
        <v>4069</v>
      </c>
      <c r="I628" s="100" t="s">
        <v>342</v>
      </c>
      <c r="J628" s="16" t="s">
        <v>101</v>
      </c>
      <c r="K628" s="16"/>
      <c r="L628" s="3" t="s">
        <v>102</v>
      </c>
      <c r="M628" s="3" t="s">
        <v>103</v>
      </c>
      <c r="N628" s="3" t="s">
        <v>104</v>
      </c>
      <c r="O628" s="16" t="s">
        <v>478</v>
      </c>
      <c r="P628" s="3" t="s">
        <v>4070</v>
      </c>
      <c r="Q628" s="3" t="s">
        <v>4070</v>
      </c>
      <c r="R628" s="3" t="s">
        <v>4070</v>
      </c>
      <c r="S628" t="s">
        <v>4066</v>
      </c>
      <c r="T628" s="130" t="s">
        <v>465</v>
      </c>
      <c r="U628" s="51">
        <v>4</v>
      </c>
      <c r="V628" s="58"/>
      <c r="W628" s="58"/>
      <c r="X628" s="59" t="s">
        <v>108</v>
      </c>
      <c r="Y628" s="93">
        <f>IF(AD628=0, 0, IF(OR(H628="", H628&lt;&gt;0), 1, 0))</f>
        <v>1</v>
      </c>
      <c r="Z628" s="3">
        <v>0</v>
      </c>
      <c r="AA628" s="3" t="s">
        <v>4071</v>
      </c>
      <c r="AD628" s="6">
        <f>ROUND((AG628*(1+AJ628)),2)</f>
        <v>80.81</v>
      </c>
      <c r="AE628" s="69">
        <v>92.099923650000008</v>
      </c>
      <c r="AF628" s="17">
        <f>(AE628*1)</f>
        <v>92.099923650000008</v>
      </c>
      <c r="AG628" s="6">
        <f>ROUND((AE628*AI628),2)</f>
        <v>59.86</v>
      </c>
      <c r="AH628" s="30" t="s">
        <v>110</v>
      </c>
      <c r="AI628" s="3">
        <v>0.65</v>
      </c>
      <c r="AJ628" s="18">
        <v>0.35</v>
      </c>
      <c r="AK628" s="6">
        <f>ROUND((AD628-(AD628*BG628)),2)</f>
        <v>80</v>
      </c>
      <c r="AL628" s="6">
        <f>ROUND((AD628-(AD628*BH628)),2)</f>
        <v>79.19</v>
      </c>
      <c r="AM628" s="6">
        <f>ROUND((AD628-(AD628*BI628)),2)</f>
        <v>78.39</v>
      </c>
      <c r="AN628" s="6">
        <f>ROUND((AD628-(AD628*BJ628)),2)</f>
        <v>78.39</v>
      </c>
      <c r="AO628" s="6">
        <f>ROUND((AD628-(AD628*BK628)),2)</f>
        <v>80.81</v>
      </c>
      <c r="BG628" s="12">
        <v>0.01</v>
      </c>
      <c r="BH628" s="12">
        <v>0.02</v>
      </c>
      <c r="BI628" s="12">
        <v>0.03</v>
      </c>
      <c r="BJ628" s="12">
        <v>0.03</v>
      </c>
      <c r="CC628" s="3" t="str">
        <f>IF(B628&lt;&gt;"",CONCATENATE(SUBSTITUTE(B628," ","-"),".jpg"),"")</f>
        <v>Allied-Moulded-AMP1086CCNL.jpg</v>
      </c>
      <c r="CD628" s="16" t="s">
        <v>111</v>
      </c>
      <c r="CE628" s="3"/>
      <c r="CF628" s="3"/>
      <c r="CG628" s="3" t="s">
        <v>112</v>
      </c>
      <c r="CI628" s="3" t="s">
        <v>97</v>
      </c>
      <c r="CJ628" s="3" t="s">
        <v>481</v>
      </c>
      <c r="CK628" s="3" t="s">
        <v>114</v>
      </c>
      <c r="CL628" s="3" t="s">
        <v>115</v>
      </c>
      <c r="CM628" s="3" t="s">
        <v>116</v>
      </c>
      <c r="CN628" t="s">
        <v>117</v>
      </c>
      <c r="CO628" s="3" t="s">
        <v>482</v>
      </c>
      <c r="CP628" s="3" t="s">
        <v>139</v>
      </c>
      <c r="CQ628" s="3" t="s">
        <v>120</v>
      </c>
      <c r="CR628" s="16" t="s">
        <v>121</v>
      </c>
      <c r="CS628" s="16" t="s">
        <v>122</v>
      </c>
      <c r="CT628" s="16" t="s">
        <v>167</v>
      </c>
      <c r="CU628" s="16" t="s">
        <v>385</v>
      </c>
      <c r="CV628" s="16" t="s">
        <v>657</v>
      </c>
    </row>
    <row r="629" spans="1:100" ht="15" customHeight="1">
      <c r="A629" t="s">
        <v>4072</v>
      </c>
      <c r="B629" s="3" t="s">
        <v>4073</v>
      </c>
      <c r="C629" s="16" t="s">
        <v>97</v>
      </c>
      <c r="D629" s="39" t="s">
        <v>4074</v>
      </c>
      <c r="E629" s="16" t="s">
        <v>97</v>
      </c>
      <c r="F629" s="131" t="s">
        <v>4075</v>
      </c>
      <c r="I629" s="100" t="s">
        <v>342</v>
      </c>
      <c r="J629" s="16" t="s">
        <v>101</v>
      </c>
      <c r="K629" s="16"/>
      <c r="L629" s="3" t="s">
        <v>102</v>
      </c>
      <c r="M629" s="3" t="s">
        <v>103</v>
      </c>
      <c r="N629" s="3" t="s">
        <v>104</v>
      </c>
      <c r="O629" s="16" t="s">
        <v>478</v>
      </c>
      <c r="P629" s="3" t="s">
        <v>4076</v>
      </c>
      <c r="Q629" s="3" t="s">
        <v>4076</v>
      </c>
      <c r="R629" s="3" t="s">
        <v>4076</v>
      </c>
      <c r="S629" t="s">
        <v>4072</v>
      </c>
      <c r="T629" s="130" t="s">
        <v>465</v>
      </c>
      <c r="U629" s="50">
        <v>4</v>
      </c>
      <c r="V629" s="54"/>
      <c r="W629" s="54"/>
      <c r="X629" s="59" t="s">
        <v>108</v>
      </c>
      <c r="Y629" s="93">
        <f>IF(AD629=0, 0, IF(OR(H629="", H629&lt;&gt;0), 1, 0))</f>
        <v>1</v>
      </c>
      <c r="Z629" s="3">
        <v>0</v>
      </c>
      <c r="AA629" s="3" t="s">
        <v>4077</v>
      </c>
      <c r="AD629" s="6">
        <f>ROUND((AG629*(1+AJ629)),2)</f>
        <v>84.85</v>
      </c>
      <c r="AE629" s="69">
        <v>96.689038949999997</v>
      </c>
      <c r="AF629" s="17">
        <f>(AE629*1)</f>
        <v>96.689038949999997</v>
      </c>
      <c r="AG629" s="6">
        <f>ROUND((AE629*AI629),2)</f>
        <v>62.85</v>
      </c>
      <c r="AH629" s="30" t="s">
        <v>110</v>
      </c>
      <c r="AI629" s="3">
        <v>0.65</v>
      </c>
      <c r="AJ629" s="18">
        <v>0.35</v>
      </c>
      <c r="AK629" s="6">
        <f>ROUND((AD629-(AD629*BG629)),2)</f>
        <v>84</v>
      </c>
      <c r="AL629" s="6">
        <f>ROUND((AD629-(AD629*BH629)),2)</f>
        <v>83.15</v>
      </c>
      <c r="AM629" s="6">
        <f>ROUND((AD629-(AD629*BI629)),2)</f>
        <v>82.3</v>
      </c>
      <c r="AN629" s="6">
        <f>ROUND((AD629-(AD629*BJ629)),2)</f>
        <v>82.3</v>
      </c>
      <c r="AO629" s="6">
        <f>ROUND((AD629-(AD629*BK629)),2)</f>
        <v>84.85</v>
      </c>
      <c r="BG629" s="12">
        <v>0.01</v>
      </c>
      <c r="BH629" s="12">
        <v>0.02</v>
      </c>
      <c r="BI629" s="12">
        <v>0.03</v>
      </c>
      <c r="BJ629" s="12">
        <v>0.03</v>
      </c>
      <c r="CC629" s="3" t="str">
        <f>IF(B629&lt;&gt;"",CONCATENATE(SUBSTITUTE(B629," ","-"),".jpg"),"")</f>
        <v>Allied-Moulded-AMP1086CCNLF.jpg</v>
      </c>
      <c r="CD629" s="16" t="s">
        <v>111</v>
      </c>
      <c r="CE629" s="3"/>
      <c r="CF629" s="3"/>
      <c r="CG629" s="3" t="s">
        <v>112</v>
      </c>
      <c r="CI629" s="3" t="s">
        <v>97</v>
      </c>
      <c r="CJ629" s="3" t="s">
        <v>481</v>
      </c>
      <c r="CK629" s="3" t="s">
        <v>114</v>
      </c>
      <c r="CL629" s="3" t="s">
        <v>115</v>
      </c>
      <c r="CM629" s="3" t="s">
        <v>116</v>
      </c>
      <c r="CN629" t="s">
        <v>117</v>
      </c>
      <c r="CO629" s="3" t="s">
        <v>482</v>
      </c>
      <c r="CP629" s="3" t="s">
        <v>139</v>
      </c>
      <c r="CQ629" s="3" t="s">
        <v>120</v>
      </c>
      <c r="CR629" s="16" t="s">
        <v>121</v>
      </c>
      <c r="CS629" s="16" t="s">
        <v>122</v>
      </c>
      <c r="CT629" s="16" t="s">
        <v>167</v>
      </c>
      <c r="CU629" s="16" t="s">
        <v>385</v>
      </c>
      <c r="CV629" s="16" t="s">
        <v>351</v>
      </c>
    </row>
    <row r="630" spans="1:100" ht="15" customHeight="1">
      <c r="A630" t="s">
        <v>4078</v>
      </c>
      <c r="B630" s="3" t="s">
        <v>4079</v>
      </c>
      <c r="C630" s="16" t="s">
        <v>97</v>
      </c>
      <c r="D630" s="39" t="s">
        <v>4080</v>
      </c>
      <c r="E630" s="16" t="s">
        <v>97</v>
      </c>
      <c r="F630" s="131" t="s">
        <v>4081</v>
      </c>
      <c r="I630" s="100" t="s">
        <v>342</v>
      </c>
      <c r="J630" s="16" t="s">
        <v>101</v>
      </c>
      <c r="K630" s="16"/>
      <c r="L630" s="3" t="s">
        <v>102</v>
      </c>
      <c r="M630" s="3" t="s">
        <v>103</v>
      </c>
      <c r="N630" s="3" t="s">
        <v>104</v>
      </c>
      <c r="O630" s="16" t="s">
        <v>478</v>
      </c>
      <c r="P630" s="2" t="s">
        <v>4082</v>
      </c>
      <c r="Q630" s="2" t="s">
        <v>4082</v>
      </c>
      <c r="R630" s="2" t="s">
        <v>4082</v>
      </c>
      <c r="S630" t="s">
        <v>4078</v>
      </c>
      <c r="T630" s="130" t="s">
        <v>465</v>
      </c>
      <c r="U630" s="50">
        <v>4</v>
      </c>
      <c r="V630" s="54"/>
      <c r="W630" s="54"/>
      <c r="X630" s="59" t="s">
        <v>108</v>
      </c>
      <c r="Y630" s="93">
        <f>IF(AD630=0, 0, IF(OR(H630="", H630&lt;&gt;0), 1, 0))</f>
        <v>1</v>
      </c>
      <c r="Z630" s="3">
        <v>0</v>
      </c>
      <c r="AA630" s="3" t="s">
        <v>4083</v>
      </c>
      <c r="AD630" s="6">
        <f>ROUND((AG630*(1+AJ630)),2)</f>
        <v>57.55</v>
      </c>
      <c r="AE630" s="69">
        <v>65.581497450000001</v>
      </c>
      <c r="AF630" s="17">
        <f>(AE630*1)</f>
        <v>65.581497450000001</v>
      </c>
      <c r="AG630" s="6">
        <f>ROUND((AE630*AI630),2)</f>
        <v>42.63</v>
      </c>
      <c r="AH630" s="30" t="s">
        <v>110</v>
      </c>
      <c r="AI630" s="3">
        <v>0.65</v>
      </c>
      <c r="AJ630" s="18">
        <v>0.35</v>
      </c>
      <c r="AK630" s="6">
        <f>ROUND((AD630-(AD630*BG630)),2)</f>
        <v>56.97</v>
      </c>
      <c r="AL630" s="6">
        <f>ROUND((AD630-(AD630*BH630)),2)</f>
        <v>56.4</v>
      </c>
      <c r="AM630" s="6">
        <f>ROUND((AD630-(AD630*BI630)),2)</f>
        <v>55.82</v>
      </c>
      <c r="AN630" s="6">
        <f>ROUND((AD630-(AD630*BJ630)),2)</f>
        <v>55.82</v>
      </c>
      <c r="AO630" s="6">
        <f>ROUND((AD630-(AD630*BK630)),2)</f>
        <v>57.55</v>
      </c>
      <c r="BG630" s="12">
        <v>0.01</v>
      </c>
      <c r="BH630" s="12">
        <v>0.02</v>
      </c>
      <c r="BI630" s="12">
        <v>0.03</v>
      </c>
      <c r="BJ630" s="12">
        <v>0.03</v>
      </c>
      <c r="CC630" s="3" t="str">
        <f>IF(B630&lt;&gt;"",CONCATENATE(SUBSTITUTE(B630," ","-"),".jpg"),"")</f>
        <v>Allied-Moulded-AMP1086.jpg</v>
      </c>
      <c r="CD630" s="16" t="s">
        <v>111</v>
      </c>
      <c r="CE630" s="3"/>
      <c r="CF630" s="3"/>
      <c r="CG630" s="3" t="s">
        <v>112</v>
      </c>
      <c r="CI630" s="3" t="s">
        <v>97</v>
      </c>
      <c r="CJ630" s="3" t="s">
        <v>481</v>
      </c>
      <c r="CK630" s="3" t="s">
        <v>114</v>
      </c>
      <c r="CL630" s="3" t="s">
        <v>115</v>
      </c>
      <c r="CM630" s="16"/>
      <c r="CN630" s="16" t="s">
        <v>349</v>
      </c>
      <c r="CO630" s="3" t="s">
        <v>482</v>
      </c>
      <c r="CP630" s="3" t="s">
        <v>139</v>
      </c>
      <c r="CQ630" s="3" t="s">
        <v>120</v>
      </c>
      <c r="CR630" s="3" t="s">
        <v>140</v>
      </c>
      <c r="CS630" s="3" t="s">
        <v>384</v>
      </c>
      <c r="CT630" s="16" t="s">
        <v>167</v>
      </c>
      <c r="CU630" s="16" t="s">
        <v>385</v>
      </c>
      <c r="CV630" s="16" t="s">
        <v>351</v>
      </c>
    </row>
    <row r="631" spans="1:100" ht="15" customHeight="1">
      <c r="A631" t="s">
        <v>4084</v>
      </c>
      <c r="B631" s="3" t="s">
        <v>4085</v>
      </c>
      <c r="C631" s="16" t="s">
        <v>97</v>
      </c>
      <c r="D631" s="40" t="s">
        <v>4086</v>
      </c>
      <c r="E631" s="16" t="s">
        <v>97</v>
      </c>
      <c r="F631" s="131" t="s">
        <v>4087</v>
      </c>
      <c r="I631" s="100" t="s">
        <v>342</v>
      </c>
      <c r="J631" s="16" t="s">
        <v>101</v>
      </c>
      <c r="K631" s="16"/>
      <c r="L631" s="3" t="s">
        <v>102</v>
      </c>
      <c r="M631" s="3" t="s">
        <v>103</v>
      </c>
      <c r="N631" s="3" t="s">
        <v>104</v>
      </c>
      <c r="O631" s="16" t="s">
        <v>478</v>
      </c>
      <c r="P631" s="2" t="s">
        <v>4088</v>
      </c>
      <c r="Q631" s="2" t="s">
        <v>4088</v>
      </c>
      <c r="R631" s="2" t="s">
        <v>4088</v>
      </c>
      <c r="S631" t="s">
        <v>4084</v>
      </c>
      <c r="T631" s="130" t="s">
        <v>465</v>
      </c>
      <c r="U631" s="51">
        <v>4</v>
      </c>
      <c r="V631" s="58"/>
      <c r="W631" s="58"/>
      <c r="X631" s="59" t="s">
        <v>108</v>
      </c>
      <c r="Y631" s="93">
        <f>IF(AD631=0, 0, IF(OR(H631="", H631&lt;&gt;0), 1, 0))</f>
        <v>1</v>
      </c>
      <c r="Z631" s="3">
        <v>0</v>
      </c>
      <c r="AA631" s="3" t="s">
        <v>4089</v>
      </c>
      <c r="AD631" s="6">
        <f>ROUND((AG631*(1+AJ631)),2)</f>
        <v>60.43</v>
      </c>
      <c r="AE631" s="69">
        <v>68.868513000000007</v>
      </c>
      <c r="AF631" s="17">
        <f>(AE631*1)</f>
        <v>68.868513000000007</v>
      </c>
      <c r="AG631" s="6">
        <f>ROUND((AE631*AI631),2)</f>
        <v>44.76</v>
      </c>
      <c r="AH631" s="30" t="s">
        <v>110</v>
      </c>
      <c r="AI631" s="3">
        <v>0.65</v>
      </c>
      <c r="AJ631" s="18">
        <v>0.35</v>
      </c>
      <c r="AK631" s="6">
        <f>ROUND((AD631-(AD631*BG631)),2)</f>
        <v>59.83</v>
      </c>
      <c r="AL631" s="6">
        <f>ROUND((AD631-(AD631*BH631)),2)</f>
        <v>59.22</v>
      </c>
      <c r="AM631" s="6">
        <f>ROUND((AD631-(AD631*BI631)),2)</f>
        <v>58.62</v>
      </c>
      <c r="AN631" s="6">
        <f>ROUND((AD631-(AD631*BJ631)),2)</f>
        <v>58.62</v>
      </c>
      <c r="AO631" s="6">
        <f>ROUND((AD631-(AD631*BK631)),2)</f>
        <v>60.43</v>
      </c>
      <c r="BG631" s="12">
        <v>0.01</v>
      </c>
      <c r="BH631" s="12">
        <v>0.02</v>
      </c>
      <c r="BI631" s="12">
        <v>0.03</v>
      </c>
      <c r="BJ631" s="12">
        <v>0.03</v>
      </c>
      <c r="CC631" s="3" t="str">
        <f>IF(B631&lt;&gt;"",CONCATENATE(SUBSTITUTE(B631," ","-"),".jpg"),"")</f>
        <v>Allied-Moulded-AMP1086F.jpg</v>
      </c>
      <c r="CD631" s="16" t="s">
        <v>111</v>
      </c>
      <c r="CE631" s="3"/>
      <c r="CF631" s="3"/>
      <c r="CG631" s="3" t="s">
        <v>112</v>
      </c>
      <c r="CI631" s="3" t="s">
        <v>97</v>
      </c>
      <c r="CJ631" s="3" t="s">
        <v>481</v>
      </c>
      <c r="CK631" s="3" t="s">
        <v>114</v>
      </c>
      <c r="CL631" s="3" t="s">
        <v>115</v>
      </c>
      <c r="CM631" s="16"/>
      <c r="CN631" s="16" t="s">
        <v>349</v>
      </c>
      <c r="CO631" s="3" t="s">
        <v>482</v>
      </c>
      <c r="CP631" s="3" t="s">
        <v>139</v>
      </c>
      <c r="CQ631" s="3" t="s">
        <v>120</v>
      </c>
      <c r="CR631" s="3" t="s">
        <v>140</v>
      </c>
      <c r="CS631" s="3" t="s">
        <v>384</v>
      </c>
      <c r="CT631" s="16" t="s">
        <v>167</v>
      </c>
      <c r="CU631" s="16" t="s">
        <v>385</v>
      </c>
      <c r="CV631" s="16" t="s">
        <v>351</v>
      </c>
    </row>
    <row r="632" spans="1:100" ht="15" customHeight="1">
      <c r="A632" t="s">
        <v>4090</v>
      </c>
      <c r="B632" s="3" t="s">
        <v>4091</v>
      </c>
      <c r="C632" s="16" t="s">
        <v>97</v>
      </c>
      <c r="D632" s="40" t="s">
        <v>4092</v>
      </c>
      <c r="E632" s="16" t="s">
        <v>97</v>
      </c>
      <c r="F632" s="131" t="s">
        <v>4093</v>
      </c>
      <c r="I632" s="100" t="s">
        <v>342</v>
      </c>
      <c r="J632" s="16" t="s">
        <v>101</v>
      </c>
      <c r="K632" s="16"/>
      <c r="L632" s="3" t="s">
        <v>102</v>
      </c>
      <c r="M632" s="3" t="s">
        <v>103</v>
      </c>
      <c r="N632" s="3" t="s">
        <v>104</v>
      </c>
      <c r="O632" s="16" t="s">
        <v>478</v>
      </c>
      <c r="P632" s="2" t="s">
        <v>4094</v>
      </c>
      <c r="Q632" s="2" t="s">
        <v>4094</v>
      </c>
      <c r="R632" s="2" t="s">
        <v>4094</v>
      </c>
      <c r="S632" t="s">
        <v>4090</v>
      </c>
      <c r="T632" s="130" t="s">
        <v>465</v>
      </c>
      <c r="U632" s="51">
        <v>4</v>
      </c>
      <c r="V632" s="58"/>
      <c r="W632" s="58"/>
      <c r="X632" s="59" t="s">
        <v>108</v>
      </c>
      <c r="Y632" s="93">
        <f>IF(AD632=0, 0, IF(OR(H632="", H632&lt;&gt;0), 1, 0))</f>
        <v>1</v>
      </c>
      <c r="Z632" s="3">
        <v>0</v>
      </c>
      <c r="AA632" s="3" t="s">
        <v>4095</v>
      </c>
      <c r="AD632" s="6">
        <f>ROUND((AG632*(1+AJ632)),2)</f>
        <v>63.79</v>
      </c>
      <c r="AE632" s="69">
        <v>72.690181199999998</v>
      </c>
      <c r="AF632" s="17">
        <f>(AE632*1)</f>
        <v>72.690181199999998</v>
      </c>
      <c r="AG632" s="6">
        <f>ROUND((AE632*AI632),2)</f>
        <v>47.25</v>
      </c>
      <c r="AH632" s="30" t="s">
        <v>110</v>
      </c>
      <c r="AI632" s="3">
        <v>0.65</v>
      </c>
      <c r="AJ632" s="18">
        <v>0.35</v>
      </c>
      <c r="AK632" s="6">
        <f>ROUND((AD632-(AD632*BG632)),2)</f>
        <v>63.15</v>
      </c>
      <c r="AL632" s="6">
        <f>ROUND((AD632-(AD632*BH632)),2)</f>
        <v>62.51</v>
      </c>
      <c r="AM632" s="6">
        <f>ROUND((AD632-(AD632*BI632)),2)</f>
        <v>61.88</v>
      </c>
      <c r="AN632" s="6">
        <f>ROUND((AD632-(AD632*BJ632)),2)</f>
        <v>61.88</v>
      </c>
      <c r="AO632" s="6">
        <f>ROUND((AD632-(AD632*BK632)),2)</f>
        <v>63.79</v>
      </c>
      <c r="BG632" s="12">
        <v>0.01</v>
      </c>
      <c r="BH632" s="12">
        <v>0.02</v>
      </c>
      <c r="BI632" s="12">
        <v>0.03</v>
      </c>
      <c r="BJ632" s="12">
        <v>0.03</v>
      </c>
      <c r="CC632" s="3" t="str">
        <f>IF(B632&lt;&gt;"",CONCATENATE(SUBSTITUTE(B632," ","-"),".jpg"),"")</f>
        <v>Allied-Moulded-AMP1086H.jpg</v>
      </c>
      <c r="CD632" s="16" t="s">
        <v>111</v>
      </c>
      <c r="CE632" s="3"/>
      <c r="CF632" s="3"/>
      <c r="CG632" s="3" t="s">
        <v>112</v>
      </c>
      <c r="CI632" s="3" t="s">
        <v>97</v>
      </c>
      <c r="CJ632" s="3" t="s">
        <v>481</v>
      </c>
      <c r="CK632" s="3" t="s">
        <v>114</v>
      </c>
      <c r="CL632" s="3" t="s">
        <v>115</v>
      </c>
      <c r="CM632" s="3" t="s">
        <v>116</v>
      </c>
      <c r="CN632" s="16" t="s">
        <v>349</v>
      </c>
      <c r="CO632" s="3" t="s">
        <v>482</v>
      </c>
      <c r="CP632" s="3" t="s">
        <v>139</v>
      </c>
      <c r="CQ632" s="3" t="s">
        <v>120</v>
      </c>
      <c r="CR632" s="3" t="s">
        <v>140</v>
      </c>
      <c r="CS632" s="3" t="s">
        <v>384</v>
      </c>
      <c r="CT632" s="16" t="s">
        <v>167</v>
      </c>
      <c r="CU632" s="16" t="s">
        <v>385</v>
      </c>
      <c r="CV632" s="16" t="s">
        <v>351</v>
      </c>
    </row>
    <row r="633" spans="1:100" ht="15" customHeight="1">
      <c r="A633" t="s">
        <v>4096</v>
      </c>
      <c r="B633" s="3" t="s">
        <v>4097</v>
      </c>
      <c r="C633" s="16" t="s">
        <v>97</v>
      </c>
      <c r="D633" s="39" t="s">
        <v>4098</v>
      </c>
      <c r="E633" s="16" t="s">
        <v>97</v>
      </c>
      <c r="F633" s="131" t="s">
        <v>4099</v>
      </c>
      <c r="I633" s="100" t="s">
        <v>342</v>
      </c>
      <c r="J633" s="16" t="s">
        <v>101</v>
      </c>
      <c r="K633" s="16"/>
      <c r="L633" s="3" t="s">
        <v>102</v>
      </c>
      <c r="M633" s="3" t="s">
        <v>103</v>
      </c>
      <c r="N633" s="3" t="s">
        <v>104</v>
      </c>
      <c r="O633" s="16" t="s">
        <v>478</v>
      </c>
      <c r="P633" s="2" t="s">
        <v>4100</v>
      </c>
      <c r="Q633" s="2" t="s">
        <v>4100</v>
      </c>
      <c r="R633" s="2" t="s">
        <v>4100</v>
      </c>
      <c r="S633" t="s">
        <v>4096</v>
      </c>
      <c r="T633" s="130" t="s">
        <v>465</v>
      </c>
      <c r="U633" s="50">
        <v>4</v>
      </c>
      <c r="V633" s="54"/>
      <c r="W633" s="54"/>
      <c r="X633" s="59" t="s">
        <v>108</v>
      </c>
      <c r="Y633" s="93">
        <f>IF(AD633=0, 0, IF(OR(H633="", H633&lt;&gt;0), 1, 0))</f>
        <v>1</v>
      </c>
      <c r="Z633" s="3">
        <v>0</v>
      </c>
      <c r="AA633" s="3" t="s">
        <v>4101</v>
      </c>
      <c r="AD633" s="6">
        <f>ROUND((AG633*(1+AJ633)),2)</f>
        <v>66.989999999999995</v>
      </c>
      <c r="AE633" s="69">
        <v>76.331781750000005</v>
      </c>
      <c r="AF633" s="17">
        <f>(AE633*1)</f>
        <v>76.331781750000005</v>
      </c>
      <c r="AG633" s="6">
        <f>ROUND((AE633*AI633),2)</f>
        <v>49.62</v>
      </c>
      <c r="AH633" s="30" t="s">
        <v>110</v>
      </c>
      <c r="AI633" s="3">
        <v>0.65</v>
      </c>
      <c r="AJ633" s="18">
        <v>0.35</v>
      </c>
      <c r="AK633" s="6">
        <f>ROUND((AD633-(AD633*BG633)),2)</f>
        <v>66.319999999999993</v>
      </c>
      <c r="AL633" s="6">
        <f>ROUND((AD633-(AD633*BH633)),2)</f>
        <v>65.650000000000006</v>
      </c>
      <c r="AM633" s="6">
        <f>ROUND((AD633-(AD633*BI633)),2)</f>
        <v>64.98</v>
      </c>
      <c r="AN633" s="6">
        <f>ROUND((AD633-(AD633*BJ633)),2)</f>
        <v>64.98</v>
      </c>
      <c r="AO633" s="6">
        <f>ROUND((AD633-(AD633*BK633)),2)</f>
        <v>66.989999999999995</v>
      </c>
      <c r="BG633" s="12">
        <v>0.01</v>
      </c>
      <c r="BH633" s="12">
        <v>0.02</v>
      </c>
      <c r="BI633" s="12">
        <v>0.03</v>
      </c>
      <c r="BJ633" s="12">
        <v>0.03</v>
      </c>
      <c r="CC633" s="3" t="str">
        <f>IF(B633&lt;&gt;"",CONCATENATE(SUBSTITUTE(B633," ","-"),".jpg"),"")</f>
        <v>Allied-Moulded-AMP1086HF.jpg</v>
      </c>
      <c r="CD633" s="16" t="s">
        <v>111</v>
      </c>
      <c r="CE633" s="3"/>
      <c r="CF633" s="3"/>
      <c r="CG633" s="3" t="s">
        <v>112</v>
      </c>
      <c r="CI633" s="3" t="s">
        <v>97</v>
      </c>
      <c r="CJ633" s="3" t="s">
        <v>481</v>
      </c>
      <c r="CK633" s="3" t="s">
        <v>114</v>
      </c>
      <c r="CL633" s="3" t="s">
        <v>115</v>
      </c>
      <c r="CM633" s="3" t="s">
        <v>116</v>
      </c>
      <c r="CN633" s="16" t="s">
        <v>349</v>
      </c>
      <c r="CO633" s="3" t="s">
        <v>482</v>
      </c>
      <c r="CP633" s="3" t="s">
        <v>139</v>
      </c>
      <c r="CQ633" s="3" t="s">
        <v>120</v>
      </c>
      <c r="CR633" s="3" t="s">
        <v>140</v>
      </c>
      <c r="CS633" s="3" t="s">
        <v>384</v>
      </c>
      <c r="CT633" s="16" t="s">
        <v>167</v>
      </c>
      <c r="CU633" s="16" t="s">
        <v>385</v>
      </c>
      <c r="CV633" s="16" t="s">
        <v>351</v>
      </c>
    </row>
    <row r="634" spans="1:100" ht="15" customHeight="1">
      <c r="A634" t="s">
        <v>4102</v>
      </c>
      <c r="B634" s="3" t="s">
        <v>4103</v>
      </c>
      <c r="C634" s="16" t="s">
        <v>97</v>
      </c>
      <c r="D634" s="39" t="s">
        <v>4104</v>
      </c>
      <c r="E634" s="16" t="s">
        <v>97</v>
      </c>
      <c r="F634" s="131" t="s">
        <v>4105</v>
      </c>
      <c r="I634" s="100" t="s">
        <v>342</v>
      </c>
      <c r="J634" s="16" t="s">
        <v>101</v>
      </c>
      <c r="K634" s="16"/>
      <c r="L634" s="3" t="s">
        <v>102</v>
      </c>
      <c r="M634" s="3" t="s">
        <v>103</v>
      </c>
      <c r="N634" s="3" t="s">
        <v>104</v>
      </c>
      <c r="O634" s="16" t="s">
        <v>478</v>
      </c>
      <c r="P634" s="2" t="s">
        <v>4106</v>
      </c>
      <c r="Q634" s="2" t="s">
        <v>4106</v>
      </c>
      <c r="R634" s="2" t="s">
        <v>4106</v>
      </c>
      <c r="S634" t="s">
        <v>4102</v>
      </c>
      <c r="T634" s="130" t="s">
        <v>465</v>
      </c>
      <c r="U634" s="50">
        <v>4</v>
      </c>
      <c r="V634" s="54"/>
      <c r="W634" s="54"/>
      <c r="X634" s="59" t="s">
        <v>108</v>
      </c>
      <c r="Y634" s="93">
        <f>IF(AD634=0, 0, IF(OR(H634="", H634&lt;&gt;0), 1, 0))</f>
        <v>1</v>
      </c>
      <c r="Z634" s="3">
        <v>0</v>
      </c>
      <c r="AA634" s="3" t="s">
        <v>4107</v>
      </c>
      <c r="AD634" s="6">
        <f>ROUND((AG634*(1+AJ634)),2)</f>
        <v>77.33</v>
      </c>
      <c r="AE634" s="69">
        <v>88.130100449999986</v>
      </c>
      <c r="AF634" s="17">
        <f>(AE634*1)</f>
        <v>88.130100449999986</v>
      </c>
      <c r="AG634" s="6">
        <f>ROUND((AE634*AI634),2)</f>
        <v>57.28</v>
      </c>
      <c r="AH634" s="30" t="s">
        <v>110</v>
      </c>
      <c r="AI634" s="3">
        <v>0.65</v>
      </c>
      <c r="AJ634" s="18">
        <v>0.35</v>
      </c>
      <c r="AK634" s="6">
        <f>ROUND((AD634-(AD634*BG634)),2)</f>
        <v>76.56</v>
      </c>
      <c r="AL634" s="6">
        <f>ROUND((AD634-(AD634*BH634)),2)</f>
        <v>75.78</v>
      </c>
      <c r="AM634" s="6">
        <f>ROUND((AD634-(AD634*BI634)),2)</f>
        <v>75.010000000000005</v>
      </c>
      <c r="AN634" s="6">
        <f>ROUND((AD634-(AD634*BJ634)),2)</f>
        <v>75.010000000000005</v>
      </c>
      <c r="AO634" s="6">
        <f>ROUND((AD634-(AD634*BK634)),2)</f>
        <v>77.33</v>
      </c>
      <c r="BG634" s="12">
        <v>0.01</v>
      </c>
      <c r="BH634" s="12">
        <v>0.02</v>
      </c>
      <c r="BI634" s="12">
        <v>0.03</v>
      </c>
      <c r="BJ634" s="12">
        <v>0.03</v>
      </c>
      <c r="CC634" s="3" t="str">
        <f>IF(B634&lt;&gt;"",CONCATENATE(SUBSTITUTE(B634," ","-"),".jpg"),"")</f>
        <v>Allied-Moulded-AMP1086L.jpg</v>
      </c>
      <c r="CD634" s="16" t="s">
        <v>111</v>
      </c>
      <c r="CE634" s="3"/>
      <c r="CF634" s="3"/>
      <c r="CG634" s="3" t="s">
        <v>112</v>
      </c>
      <c r="CI634" s="3" t="s">
        <v>97</v>
      </c>
      <c r="CJ634" s="3" t="s">
        <v>481</v>
      </c>
      <c r="CK634" s="3" t="s">
        <v>114</v>
      </c>
      <c r="CL634" s="3" t="s">
        <v>115</v>
      </c>
      <c r="CM634" s="3" t="s">
        <v>116</v>
      </c>
      <c r="CN634" t="s">
        <v>117</v>
      </c>
      <c r="CO634" s="3" t="s">
        <v>482</v>
      </c>
      <c r="CP634" s="3" t="s">
        <v>139</v>
      </c>
      <c r="CQ634" s="3" t="s">
        <v>120</v>
      </c>
      <c r="CR634" s="3" t="s">
        <v>140</v>
      </c>
      <c r="CS634" s="16" t="s">
        <v>122</v>
      </c>
      <c r="CT634" s="16" t="s">
        <v>167</v>
      </c>
      <c r="CU634" s="16" t="s">
        <v>385</v>
      </c>
      <c r="CV634" s="16" t="s">
        <v>351</v>
      </c>
    </row>
    <row r="635" spans="1:100" ht="15" customHeight="1">
      <c r="A635" t="s">
        <v>4108</v>
      </c>
      <c r="B635" s="3" t="s">
        <v>4109</v>
      </c>
      <c r="C635" s="16" t="s">
        <v>97</v>
      </c>
      <c r="D635" s="38" t="s">
        <v>4110</v>
      </c>
      <c r="E635" s="16" t="s">
        <v>97</v>
      </c>
      <c r="F635" s="131" t="s">
        <v>4111</v>
      </c>
      <c r="I635" s="100" t="s">
        <v>342</v>
      </c>
      <c r="J635" s="16" t="s">
        <v>101</v>
      </c>
      <c r="K635" s="16"/>
      <c r="L635" s="3" t="s">
        <v>102</v>
      </c>
      <c r="M635" s="3" t="s">
        <v>103</v>
      </c>
      <c r="N635" s="3" t="s">
        <v>104</v>
      </c>
      <c r="O635" s="16" t="s">
        <v>478</v>
      </c>
      <c r="P635" s="2" t="s">
        <v>4112</v>
      </c>
      <c r="Q635" s="2" t="s">
        <v>4112</v>
      </c>
      <c r="R635" s="2" t="s">
        <v>4112</v>
      </c>
      <c r="S635" t="s">
        <v>4108</v>
      </c>
      <c r="T635" s="130" t="s">
        <v>465</v>
      </c>
      <c r="U635" s="49">
        <v>4</v>
      </c>
      <c r="V635" s="58"/>
      <c r="W635" s="58"/>
      <c r="X635" s="59" t="s">
        <v>108</v>
      </c>
      <c r="Y635" s="93">
        <f>IF(AD635=0, 0, IF(OR(H635="", H635&lt;&gt;0), 1, 0))</f>
        <v>1</v>
      </c>
      <c r="Z635" s="3">
        <v>0</v>
      </c>
      <c r="AA635" s="3" t="s">
        <v>4113</v>
      </c>
      <c r="AD635" s="6">
        <f>ROUND((AG635*(1+AJ635)),2)</f>
        <v>81.2</v>
      </c>
      <c r="AE635" s="68">
        <v>92.544545100000008</v>
      </c>
      <c r="AF635" s="17">
        <f>(AE635*1)</f>
        <v>92.544545100000008</v>
      </c>
      <c r="AG635" s="6">
        <f>ROUND((AE635*AI635),2)</f>
        <v>60.15</v>
      </c>
      <c r="AH635" s="30" t="s">
        <v>110</v>
      </c>
      <c r="AI635" s="3">
        <v>0.65</v>
      </c>
      <c r="AJ635" s="18">
        <v>0.35</v>
      </c>
      <c r="AK635" s="6">
        <f>ROUND((AD635-(AD635*BG635)),2)</f>
        <v>80.39</v>
      </c>
      <c r="AL635" s="6">
        <f>ROUND((AD635-(AD635*BH635)),2)</f>
        <v>79.58</v>
      </c>
      <c r="AM635" s="6">
        <f>ROUND((AD635-(AD635*BI635)),2)</f>
        <v>78.760000000000005</v>
      </c>
      <c r="AN635" s="6">
        <f>ROUND((AD635-(AD635*BJ635)),2)</f>
        <v>78.760000000000005</v>
      </c>
      <c r="AO635" s="6">
        <f>ROUND((AD635-(AD635*BK635)),2)</f>
        <v>81.2</v>
      </c>
      <c r="BG635" s="12">
        <v>0.01</v>
      </c>
      <c r="BH635" s="12">
        <v>0.02</v>
      </c>
      <c r="BI635" s="12">
        <v>0.03</v>
      </c>
      <c r="BJ635" s="12">
        <v>0.03</v>
      </c>
      <c r="CC635" s="3" t="str">
        <f>IF(B635&lt;&gt;"",CONCATENATE(SUBSTITUTE(B635," ","-"),".jpg"),"")</f>
        <v>Allied-Moulded-AMP1086LF.jpg</v>
      </c>
      <c r="CD635" s="16" t="s">
        <v>111</v>
      </c>
      <c r="CE635" s="3"/>
      <c r="CF635" s="3"/>
      <c r="CG635" s="3" t="s">
        <v>112</v>
      </c>
      <c r="CI635" s="3" t="s">
        <v>97</v>
      </c>
      <c r="CJ635" s="3" t="s">
        <v>481</v>
      </c>
      <c r="CK635" s="3" t="s">
        <v>114</v>
      </c>
      <c r="CL635" s="3" t="s">
        <v>115</v>
      </c>
      <c r="CM635" s="3" t="s">
        <v>116</v>
      </c>
      <c r="CN635" t="s">
        <v>117</v>
      </c>
      <c r="CO635" s="3" t="s">
        <v>482</v>
      </c>
      <c r="CP635" s="3" t="s">
        <v>139</v>
      </c>
      <c r="CQ635" s="3" t="s">
        <v>120</v>
      </c>
      <c r="CR635" s="3" t="s">
        <v>140</v>
      </c>
      <c r="CS635" s="16" t="s">
        <v>122</v>
      </c>
      <c r="CT635" s="16" t="s">
        <v>167</v>
      </c>
      <c r="CU635" s="16" t="s">
        <v>385</v>
      </c>
      <c r="CV635" s="16" t="s">
        <v>351</v>
      </c>
    </row>
    <row r="636" spans="1:100" ht="15" customHeight="1">
      <c r="A636" t="s">
        <v>4114</v>
      </c>
      <c r="B636" s="3" t="s">
        <v>4115</v>
      </c>
      <c r="C636" s="16" t="s">
        <v>97</v>
      </c>
      <c r="D636" s="40" t="s">
        <v>4116</v>
      </c>
      <c r="E636" s="16" t="s">
        <v>97</v>
      </c>
      <c r="F636" s="131" t="s">
        <v>4117</v>
      </c>
      <c r="I636" s="100" t="s">
        <v>342</v>
      </c>
      <c r="J636" s="16" t="s">
        <v>101</v>
      </c>
      <c r="K636" s="16"/>
      <c r="L636" s="3" t="s">
        <v>102</v>
      </c>
      <c r="M636" s="3" t="s">
        <v>103</v>
      </c>
      <c r="N636" s="3" t="s">
        <v>104</v>
      </c>
      <c r="O636" s="16" t="s">
        <v>478</v>
      </c>
      <c r="P636" s="2" t="s">
        <v>4118</v>
      </c>
      <c r="Q636" s="2" t="s">
        <v>4118</v>
      </c>
      <c r="R636" s="2" t="s">
        <v>4118</v>
      </c>
      <c r="S636" t="s">
        <v>4114</v>
      </c>
      <c r="T636" s="130" t="s">
        <v>465</v>
      </c>
      <c r="U636" s="51">
        <v>4</v>
      </c>
      <c r="V636" s="58"/>
      <c r="W636" s="58"/>
      <c r="X636" s="59" t="s">
        <v>108</v>
      </c>
      <c r="Y636" s="93">
        <f>IF(AD636=0, 0, IF(OR(H636="", H636&lt;&gt;0), 1, 0))</f>
        <v>1</v>
      </c>
      <c r="Z636" s="3">
        <v>0</v>
      </c>
      <c r="AA636" s="3" t="s">
        <v>4119</v>
      </c>
      <c r="AD636" s="6">
        <f>ROUND((AG636*(1+AJ636)),2)</f>
        <v>73.48</v>
      </c>
      <c r="AE636" s="69">
        <v>83.731533900000002</v>
      </c>
      <c r="AF636" s="17">
        <f>(AE636*1)</f>
        <v>83.731533900000002</v>
      </c>
      <c r="AG636" s="6">
        <f>ROUND((AE636*AI636),2)</f>
        <v>54.43</v>
      </c>
      <c r="AH636" s="30" t="s">
        <v>110</v>
      </c>
      <c r="AI636" s="3">
        <v>0.65</v>
      </c>
      <c r="AJ636" s="18">
        <v>0.35</v>
      </c>
      <c r="AK636" s="6">
        <f>ROUND((AD636-(AD636*BG636)),2)</f>
        <v>72.75</v>
      </c>
      <c r="AL636" s="6">
        <f>ROUND((AD636-(AD636*BH636)),2)</f>
        <v>72.010000000000005</v>
      </c>
      <c r="AM636" s="6">
        <f>ROUND((AD636-(AD636*BI636)),2)</f>
        <v>71.28</v>
      </c>
      <c r="AN636" s="6">
        <f>ROUND((AD636-(AD636*BJ636)),2)</f>
        <v>71.28</v>
      </c>
      <c r="AO636" s="6">
        <f>ROUND((AD636-(AD636*BK636)),2)</f>
        <v>73.48</v>
      </c>
      <c r="BG636" s="12">
        <v>0.01</v>
      </c>
      <c r="BH636" s="12">
        <v>0.02</v>
      </c>
      <c r="BI636" s="12">
        <v>0.03</v>
      </c>
      <c r="BJ636" s="12">
        <v>0.03</v>
      </c>
      <c r="CC636" s="3" t="str">
        <f>IF(B636&lt;&gt;"",CONCATENATE(SUBSTITUTE(B636," ","-"),".jpg"),"")</f>
        <v>Allied-Moulded-AMP1086NL.jpg</v>
      </c>
      <c r="CD636" s="16" t="s">
        <v>111</v>
      </c>
      <c r="CE636" s="3"/>
      <c r="CF636" s="3"/>
      <c r="CG636" s="3" t="s">
        <v>112</v>
      </c>
      <c r="CI636" s="3" t="s">
        <v>97</v>
      </c>
      <c r="CJ636" s="3" t="s">
        <v>481</v>
      </c>
      <c r="CK636" s="3" t="s">
        <v>114</v>
      </c>
      <c r="CL636" s="3" t="s">
        <v>115</v>
      </c>
      <c r="CM636" s="3" t="s">
        <v>116</v>
      </c>
      <c r="CN636" t="s">
        <v>117</v>
      </c>
      <c r="CO636" s="3" t="s">
        <v>482</v>
      </c>
      <c r="CP636" s="3" t="s">
        <v>139</v>
      </c>
      <c r="CQ636" s="3" t="s">
        <v>120</v>
      </c>
      <c r="CR636" s="3" t="s">
        <v>140</v>
      </c>
      <c r="CS636" s="16" t="s">
        <v>122</v>
      </c>
      <c r="CT636" s="16" t="s">
        <v>167</v>
      </c>
      <c r="CU636" s="16" t="s">
        <v>385</v>
      </c>
      <c r="CV636" s="16" t="s">
        <v>351</v>
      </c>
    </row>
    <row r="637" spans="1:100" ht="15" customHeight="1">
      <c r="A637" t="s">
        <v>4120</v>
      </c>
      <c r="B637" s="3" t="s">
        <v>4121</v>
      </c>
      <c r="C637" s="16" t="s">
        <v>97</v>
      </c>
      <c r="D637" s="39" t="s">
        <v>4122</v>
      </c>
      <c r="E637" s="16" t="s">
        <v>97</v>
      </c>
      <c r="F637" s="131" t="s">
        <v>4123</v>
      </c>
      <c r="I637" s="100" t="s">
        <v>342</v>
      </c>
      <c r="J637" s="16" t="s">
        <v>101</v>
      </c>
      <c r="K637" s="16"/>
      <c r="L637" s="3" t="s">
        <v>102</v>
      </c>
      <c r="M637" s="3" t="s">
        <v>103</v>
      </c>
      <c r="N637" s="3" t="s">
        <v>104</v>
      </c>
      <c r="O637" s="16" t="s">
        <v>478</v>
      </c>
      <c r="P637" s="2" t="s">
        <v>4124</v>
      </c>
      <c r="Q637" s="2" t="s">
        <v>4124</v>
      </c>
      <c r="R637" s="2" t="s">
        <v>4124</v>
      </c>
      <c r="S637" t="s">
        <v>4120</v>
      </c>
      <c r="T637" s="130" t="s">
        <v>465</v>
      </c>
      <c r="U637" s="50">
        <v>4</v>
      </c>
      <c r="V637" s="54"/>
      <c r="W637" s="54"/>
      <c r="X637" s="59" t="s">
        <v>108</v>
      </c>
      <c r="Y637" s="93">
        <f>IF(AD637=0, 0, IF(OR(H637="", H637&lt;&gt;0), 1, 0))</f>
        <v>1</v>
      </c>
      <c r="Z637" s="3">
        <v>0</v>
      </c>
      <c r="AA637" s="3" t="s">
        <v>4125</v>
      </c>
      <c r="AD637" s="6">
        <f>ROUND((AG637*(1+AJ637)),2)</f>
        <v>77.150000000000006</v>
      </c>
      <c r="AE637" s="69">
        <v>87.923669400000009</v>
      </c>
      <c r="AF637" s="17">
        <f>(AE637*1)</f>
        <v>87.923669400000009</v>
      </c>
      <c r="AG637" s="6">
        <f>ROUND((AE637*AI637),2)</f>
        <v>57.15</v>
      </c>
      <c r="AH637" s="30" t="s">
        <v>110</v>
      </c>
      <c r="AI637" s="3">
        <v>0.65</v>
      </c>
      <c r="AJ637" s="18">
        <v>0.35</v>
      </c>
      <c r="AK637" s="6">
        <f>ROUND((AD637-(AD637*BG637)),2)</f>
        <v>76.38</v>
      </c>
      <c r="AL637" s="6">
        <f>ROUND((AD637-(AD637*BH637)),2)</f>
        <v>75.61</v>
      </c>
      <c r="AM637" s="6">
        <f>ROUND((AD637-(AD637*BI637)),2)</f>
        <v>74.84</v>
      </c>
      <c r="AN637" s="6">
        <f>ROUND((AD637-(AD637*BJ637)),2)</f>
        <v>74.84</v>
      </c>
      <c r="AO637" s="6">
        <f>ROUND((AD637-(AD637*BK637)),2)</f>
        <v>77.150000000000006</v>
      </c>
      <c r="BG637" s="12">
        <v>0.01</v>
      </c>
      <c r="BH637" s="12">
        <v>0.02</v>
      </c>
      <c r="BI637" s="12">
        <v>0.03</v>
      </c>
      <c r="BJ637" s="12">
        <v>0.03</v>
      </c>
      <c r="CC637" s="3" t="str">
        <f>IF(B637&lt;&gt;"",CONCATENATE(SUBSTITUTE(B637," ","-"),".jpg"),"")</f>
        <v>Allied-Moulded-AMP1086NLF.jpg</v>
      </c>
      <c r="CD637" s="16" t="s">
        <v>111</v>
      </c>
      <c r="CE637" s="3"/>
      <c r="CF637" s="3"/>
      <c r="CG637" s="3" t="s">
        <v>112</v>
      </c>
      <c r="CI637" s="3" t="s">
        <v>97</v>
      </c>
      <c r="CJ637" s="3" t="s">
        <v>481</v>
      </c>
      <c r="CK637" s="3" t="s">
        <v>114</v>
      </c>
      <c r="CL637" s="3" t="s">
        <v>115</v>
      </c>
      <c r="CM637" s="3" t="s">
        <v>116</v>
      </c>
      <c r="CN637" t="s">
        <v>117</v>
      </c>
      <c r="CO637" s="3" t="s">
        <v>482</v>
      </c>
      <c r="CP637" s="3" t="s">
        <v>139</v>
      </c>
      <c r="CQ637" s="3" t="s">
        <v>120</v>
      </c>
      <c r="CR637" s="3" t="s">
        <v>140</v>
      </c>
      <c r="CS637" s="16" t="s">
        <v>122</v>
      </c>
      <c r="CT637" s="16" t="s">
        <v>167</v>
      </c>
      <c r="CU637" s="16" t="s">
        <v>385</v>
      </c>
      <c r="CV637" s="16" t="s">
        <v>351</v>
      </c>
    </row>
    <row r="638" spans="1:100" ht="15" customHeight="1">
      <c r="A638" t="s">
        <v>4126</v>
      </c>
      <c r="B638" s="3" t="s">
        <v>4127</v>
      </c>
      <c r="C638" s="16" t="s">
        <v>97</v>
      </c>
      <c r="D638" s="39" t="s">
        <v>4128</v>
      </c>
      <c r="E638" s="16" t="s">
        <v>97</v>
      </c>
      <c r="F638" s="131" t="s">
        <v>4129</v>
      </c>
      <c r="I638" s="100" t="s">
        <v>342</v>
      </c>
      <c r="J638" s="16" t="s">
        <v>101</v>
      </c>
      <c r="K638" s="16"/>
      <c r="L638" s="3" t="s">
        <v>102</v>
      </c>
      <c r="M638" s="3" t="s">
        <v>103</v>
      </c>
      <c r="N638" s="3" t="s">
        <v>104</v>
      </c>
      <c r="O638" s="16" t="s">
        <v>478</v>
      </c>
      <c r="P638" s="3" t="s">
        <v>4130</v>
      </c>
      <c r="Q638" s="3" t="s">
        <v>4130</v>
      </c>
      <c r="R638" s="3" t="s">
        <v>4130</v>
      </c>
      <c r="S638" t="s">
        <v>4126</v>
      </c>
      <c r="T638" s="130" t="s">
        <v>465</v>
      </c>
      <c r="U638" s="50">
        <v>3</v>
      </c>
      <c r="V638" s="54"/>
      <c r="W638" s="54"/>
      <c r="X638" s="59" t="s">
        <v>108</v>
      </c>
      <c r="Y638" s="93">
        <f>IF(AD638=0, 0, IF(OR(H638="", H638&lt;&gt;0), 1, 0))</f>
        <v>1</v>
      </c>
      <c r="Z638" s="3">
        <v>0</v>
      </c>
      <c r="AA638" s="3" t="s">
        <v>4131</v>
      </c>
      <c r="AD638" s="6">
        <f>ROUND((AG638*(1+AJ638)),2)</f>
        <v>56.97</v>
      </c>
      <c r="AE638" s="69">
        <v>64.930446000000003</v>
      </c>
      <c r="AF638" s="17">
        <f>(AE638*1)</f>
        <v>64.930446000000003</v>
      </c>
      <c r="AG638" s="6">
        <f>ROUND((AE638*AI638),2)</f>
        <v>42.2</v>
      </c>
      <c r="AH638" s="30" t="s">
        <v>110</v>
      </c>
      <c r="AI638" s="3">
        <v>0.65</v>
      </c>
      <c r="AJ638" s="18">
        <v>0.35</v>
      </c>
      <c r="AK638" s="6">
        <f>ROUND((AD638-(AD638*BG638)),2)</f>
        <v>56.4</v>
      </c>
      <c r="AL638" s="6">
        <f>ROUND((AD638-(AD638*BH638)),2)</f>
        <v>55.83</v>
      </c>
      <c r="AM638" s="6">
        <f>ROUND((AD638-(AD638*BI638)),2)</f>
        <v>55.26</v>
      </c>
      <c r="AN638" s="6">
        <f>ROUND((AD638-(AD638*BJ638)),2)</f>
        <v>55.26</v>
      </c>
      <c r="AO638" s="6">
        <f>ROUND((AD638-(AD638*BK638)),2)</f>
        <v>56.97</v>
      </c>
      <c r="BG638" s="12">
        <v>0.01</v>
      </c>
      <c r="BH638" s="12">
        <v>0.02</v>
      </c>
      <c r="BI638" s="12">
        <v>0.03</v>
      </c>
      <c r="BJ638" s="12">
        <v>0.03</v>
      </c>
      <c r="CC638" s="3" t="str">
        <f>IF(B638&lt;&gt;"",CONCATENATE(SUBSTITUTE(B638," ","-"),".jpg"),"")</f>
        <v>Allied-Moulded-AMP1082CC.jpg</v>
      </c>
      <c r="CD638" s="16" t="s">
        <v>111</v>
      </c>
      <c r="CE638" s="3"/>
      <c r="CF638" s="3"/>
      <c r="CG638" s="3" t="s">
        <v>112</v>
      </c>
      <c r="CI638" s="3" t="s">
        <v>97</v>
      </c>
      <c r="CJ638" s="3" t="s">
        <v>481</v>
      </c>
      <c r="CK638" s="3" t="s">
        <v>114</v>
      </c>
      <c r="CL638" s="3" t="s">
        <v>115</v>
      </c>
      <c r="CM638" s="16"/>
      <c r="CN638" s="16" t="s">
        <v>349</v>
      </c>
      <c r="CO638" s="3" t="s">
        <v>482</v>
      </c>
      <c r="CP638" s="3" t="s">
        <v>139</v>
      </c>
      <c r="CQ638" s="3" t="s">
        <v>120</v>
      </c>
      <c r="CR638" s="16" t="s">
        <v>121</v>
      </c>
      <c r="CS638" s="3" t="s">
        <v>384</v>
      </c>
      <c r="CT638" s="16" t="s">
        <v>167</v>
      </c>
      <c r="CU638" s="16" t="s">
        <v>385</v>
      </c>
      <c r="CV638" s="16" t="s">
        <v>4132</v>
      </c>
    </row>
    <row r="639" spans="1:100" ht="15" customHeight="1">
      <c r="A639" t="s">
        <v>4133</v>
      </c>
      <c r="B639" s="3" t="s">
        <v>4134</v>
      </c>
      <c r="C639" s="16" t="s">
        <v>97</v>
      </c>
      <c r="D639" s="40" t="s">
        <v>4135</v>
      </c>
      <c r="E639" s="16" t="s">
        <v>97</v>
      </c>
      <c r="F639" s="131" t="s">
        <v>4136</v>
      </c>
      <c r="I639" s="100" t="s">
        <v>342</v>
      </c>
      <c r="J639" s="16" t="s">
        <v>101</v>
      </c>
      <c r="K639" s="16"/>
      <c r="L639" s="3" t="s">
        <v>102</v>
      </c>
      <c r="M639" s="3" t="s">
        <v>103</v>
      </c>
      <c r="N639" s="3" t="s">
        <v>104</v>
      </c>
      <c r="O639" s="16" t="s">
        <v>478</v>
      </c>
      <c r="P639" s="3" t="s">
        <v>4137</v>
      </c>
      <c r="Q639" s="3" t="s">
        <v>4137</v>
      </c>
      <c r="R639" s="3" t="s">
        <v>4137</v>
      </c>
      <c r="S639" t="s">
        <v>4133</v>
      </c>
      <c r="T639" s="130" t="s">
        <v>465</v>
      </c>
      <c r="U639" s="51">
        <v>3</v>
      </c>
      <c r="V639" s="58"/>
      <c r="W639" s="58"/>
      <c r="X639" s="59" t="s">
        <v>108</v>
      </c>
      <c r="Y639" s="93">
        <f>IF(AD639=0, 0, IF(OR(H639="", H639&lt;&gt;0), 1, 0))</f>
        <v>1</v>
      </c>
      <c r="Z639" s="3">
        <v>0</v>
      </c>
      <c r="AA639" s="3" t="s">
        <v>4138</v>
      </c>
      <c r="AD639" s="6">
        <f>ROUND((AG639*(1+AJ639)),2)</f>
        <v>59.82</v>
      </c>
      <c r="AE639" s="69">
        <v>68.1698241</v>
      </c>
      <c r="AF639" s="17">
        <f>(AE639*1)</f>
        <v>68.1698241</v>
      </c>
      <c r="AG639" s="6">
        <f>ROUND((AE639*AI639),2)</f>
        <v>44.31</v>
      </c>
      <c r="AH639" s="30" t="s">
        <v>110</v>
      </c>
      <c r="AI639" s="3">
        <v>0.65</v>
      </c>
      <c r="AJ639" s="18">
        <v>0.35</v>
      </c>
      <c r="AK639" s="6">
        <f>ROUND((AD639-(AD639*BG639)),2)</f>
        <v>59.22</v>
      </c>
      <c r="AL639" s="6">
        <f>ROUND((AD639-(AD639*BH639)),2)</f>
        <v>58.62</v>
      </c>
      <c r="AM639" s="6">
        <f>ROUND((AD639-(AD639*BI639)),2)</f>
        <v>58.03</v>
      </c>
      <c r="AN639" s="6">
        <f>ROUND((AD639-(AD639*BJ639)),2)</f>
        <v>58.03</v>
      </c>
      <c r="AO639" s="6">
        <f>ROUND((AD639-(AD639*BK639)),2)</f>
        <v>59.82</v>
      </c>
      <c r="BG639" s="12">
        <v>0.01</v>
      </c>
      <c r="BH639" s="12">
        <v>0.02</v>
      </c>
      <c r="BI639" s="12">
        <v>0.03</v>
      </c>
      <c r="BJ639" s="12">
        <v>0.03</v>
      </c>
      <c r="CC639" s="3" t="str">
        <f>IF(B639&lt;&gt;"",CONCATENATE(SUBSTITUTE(B639," ","-"),".jpg"),"")</f>
        <v>Allied-Moulded-AMP1082CCF.jpg</v>
      </c>
      <c r="CD639" s="16" t="s">
        <v>111</v>
      </c>
      <c r="CE639" s="3"/>
      <c r="CF639" s="3"/>
      <c r="CG639" s="3" t="s">
        <v>112</v>
      </c>
      <c r="CI639" s="3" t="s">
        <v>97</v>
      </c>
      <c r="CJ639" s="3" t="s">
        <v>481</v>
      </c>
      <c r="CK639" s="3" t="s">
        <v>114</v>
      </c>
      <c r="CL639" s="3" t="s">
        <v>115</v>
      </c>
      <c r="CM639" s="16"/>
      <c r="CN639" s="16" t="s">
        <v>349</v>
      </c>
      <c r="CO639" s="3" t="s">
        <v>482</v>
      </c>
      <c r="CP639" s="3" t="s">
        <v>139</v>
      </c>
      <c r="CQ639" s="3" t="s">
        <v>120</v>
      </c>
      <c r="CR639" s="16" t="s">
        <v>121</v>
      </c>
      <c r="CS639" s="3" t="s">
        <v>384</v>
      </c>
      <c r="CT639" s="16" t="s">
        <v>167</v>
      </c>
      <c r="CU639" s="16" t="s">
        <v>385</v>
      </c>
      <c r="CV639" s="16" t="s">
        <v>4132</v>
      </c>
    </row>
    <row r="640" spans="1:100" ht="15" customHeight="1">
      <c r="A640" t="s">
        <v>4139</v>
      </c>
      <c r="B640" s="3" t="s">
        <v>4140</v>
      </c>
      <c r="C640" s="16" t="s">
        <v>97</v>
      </c>
      <c r="D640" s="39" t="s">
        <v>4141</v>
      </c>
      <c r="E640" s="16" t="s">
        <v>97</v>
      </c>
      <c r="F640" s="131" t="s">
        <v>4142</v>
      </c>
      <c r="I640" s="100" t="s">
        <v>342</v>
      </c>
      <c r="J640" s="16" t="s">
        <v>101</v>
      </c>
      <c r="K640" s="16"/>
      <c r="L640" s="3" t="s">
        <v>102</v>
      </c>
      <c r="M640" s="3" t="s">
        <v>103</v>
      </c>
      <c r="N640" s="3" t="s">
        <v>104</v>
      </c>
      <c r="O640" s="16" t="s">
        <v>478</v>
      </c>
      <c r="P640" s="3" t="s">
        <v>4143</v>
      </c>
      <c r="Q640" s="3" t="s">
        <v>4143</v>
      </c>
      <c r="R640" s="3" t="s">
        <v>4143</v>
      </c>
      <c r="S640" t="s">
        <v>4139</v>
      </c>
      <c r="T640" s="130" t="s">
        <v>465</v>
      </c>
      <c r="U640" s="50">
        <v>3</v>
      </c>
      <c r="V640" s="54"/>
      <c r="W640" s="54"/>
      <c r="X640" s="59" t="s">
        <v>108</v>
      </c>
      <c r="Y640" s="93">
        <f>IF(AD640=0, 0, IF(OR(H640="", H640&lt;&gt;0), 1, 0))</f>
        <v>1</v>
      </c>
      <c r="Z640" s="3">
        <v>0</v>
      </c>
      <c r="AA640" s="3" t="s">
        <v>4144</v>
      </c>
      <c r="AD640" s="6">
        <f>ROUND((AG640*(1+AJ640)),2)</f>
        <v>59.67</v>
      </c>
      <c r="AE640" s="69">
        <v>67.99515135</v>
      </c>
      <c r="AF640" s="17">
        <f>(AE640*1)</f>
        <v>67.99515135</v>
      </c>
      <c r="AG640" s="6">
        <f>ROUND((AE640*AI640),2)</f>
        <v>44.2</v>
      </c>
      <c r="AH640" s="30" t="s">
        <v>110</v>
      </c>
      <c r="AI640" s="3">
        <v>0.65</v>
      </c>
      <c r="AJ640" s="18">
        <v>0.35</v>
      </c>
      <c r="AK640" s="6">
        <f>ROUND((AD640-(AD640*BG640)),2)</f>
        <v>59.07</v>
      </c>
      <c r="AL640" s="6">
        <f>ROUND((AD640-(AD640*BH640)),2)</f>
        <v>58.48</v>
      </c>
      <c r="AM640" s="6">
        <f>ROUND((AD640-(AD640*BI640)),2)</f>
        <v>57.88</v>
      </c>
      <c r="AN640" s="6">
        <f>ROUND((AD640-(AD640*BJ640)),2)</f>
        <v>57.88</v>
      </c>
      <c r="AO640" s="6">
        <f>ROUND((AD640-(AD640*BK640)),2)</f>
        <v>59.67</v>
      </c>
      <c r="BG640" s="12">
        <v>0.01</v>
      </c>
      <c r="BH640" s="12">
        <v>0.02</v>
      </c>
      <c r="BI640" s="12">
        <v>0.03</v>
      </c>
      <c r="BJ640" s="12">
        <v>0.03</v>
      </c>
      <c r="CC640" s="3" t="str">
        <f>IF(B640&lt;&gt;"",CONCATENATE(SUBSTITUTE(B640," ","-"),".jpg"),"")</f>
        <v>Allied-Moulded-AMP1084CC.jpg</v>
      </c>
      <c r="CD640" s="16" t="s">
        <v>111</v>
      </c>
      <c r="CE640" s="3"/>
      <c r="CF640" s="3"/>
      <c r="CG640" s="3" t="s">
        <v>112</v>
      </c>
      <c r="CI640" s="3" t="s">
        <v>97</v>
      </c>
      <c r="CJ640" s="3" t="s">
        <v>481</v>
      </c>
      <c r="CK640" s="3" t="s">
        <v>114</v>
      </c>
      <c r="CL640" s="3" t="s">
        <v>115</v>
      </c>
      <c r="CM640" s="16"/>
      <c r="CN640" s="16" t="s">
        <v>349</v>
      </c>
      <c r="CO640" s="3" t="s">
        <v>482</v>
      </c>
      <c r="CP640" s="3" t="s">
        <v>139</v>
      </c>
      <c r="CQ640" s="3" t="s">
        <v>120</v>
      </c>
      <c r="CR640" s="16" t="s">
        <v>121</v>
      </c>
      <c r="CS640" s="3" t="s">
        <v>384</v>
      </c>
      <c r="CT640" s="16" t="s">
        <v>167</v>
      </c>
      <c r="CU640" s="16" t="s">
        <v>385</v>
      </c>
      <c r="CV640" s="16" t="s">
        <v>657</v>
      </c>
    </row>
    <row r="641" spans="1:100" ht="15" customHeight="1">
      <c r="A641" t="s">
        <v>4145</v>
      </c>
      <c r="B641" s="3" t="s">
        <v>4146</v>
      </c>
      <c r="C641" s="16" t="s">
        <v>97</v>
      </c>
      <c r="D641" s="40" t="s">
        <v>4147</v>
      </c>
      <c r="E641" s="16" t="s">
        <v>97</v>
      </c>
      <c r="F641" s="131" t="s">
        <v>4148</v>
      </c>
      <c r="I641" s="100" t="s">
        <v>342</v>
      </c>
      <c r="J641" s="16" t="s">
        <v>101</v>
      </c>
      <c r="K641" s="16"/>
      <c r="L641" s="3" t="s">
        <v>102</v>
      </c>
      <c r="M641" s="3" t="s">
        <v>103</v>
      </c>
      <c r="N641" s="3" t="s">
        <v>104</v>
      </c>
      <c r="O641" s="16" t="s">
        <v>478</v>
      </c>
      <c r="P641" s="3" t="s">
        <v>4149</v>
      </c>
      <c r="Q641" s="3" t="s">
        <v>4149</v>
      </c>
      <c r="R641" s="3" t="s">
        <v>4149</v>
      </c>
      <c r="S641" t="s">
        <v>4145</v>
      </c>
      <c r="T641" s="130" t="s">
        <v>465</v>
      </c>
      <c r="U641" s="51">
        <v>3</v>
      </c>
      <c r="V641" s="58"/>
      <c r="W641" s="58"/>
      <c r="X641" s="59" t="s">
        <v>108</v>
      </c>
      <c r="Y641" s="93">
        <f>IF(AD641=0, 0, IF(OR(H641="", H641&lt;&gt;0), 1, 0))</f>
        <v>1</v>
      </c>
      <c r="Z641" s="3">
        <v>0</v>
      </c>
      <c r="AA641" s="3" t="s">
        <v>4150</v>
      </c>
      <c r="AD641" s="6">
        <f>ROUND((AG641*(1+AJ641)),2)</f>
        <v>62.65</v>
      </c>
      <c r="AE641" s="69">
        <v>71.393319899999995</v>
      </c>
      <c r="AF641" s="17">
        <f>(AE641*1)</f>
        <v>71.393319899999995</v>
      </c>
      <c r="AG641" s="6">
        <f>ROUND((AE641*AI641),2)</f>
        <v>46.41</v>
      </c>
      <c r="AH641" s="30" t="s">
        <v>110</v>
      </c>
      <c r="AI641" s="3">
        <v>0.65</v>
      </c>
      <c r="AJ641" s="18">
        <v>0.35</v>
      </c>
      <c r="AK641" s="6">
        <f>ROUND((AD641-(AD641*BG641)),2)</f>
        <v>62.02</v>
      </c>
      <c r="AL641" s="6">
        <f>ROUND((AD641-(AD641*BH641)),2)</f>
        <v>61.4</v>
      </c>
      <c r="AM641" s="6">
        <f>ROUND((AD641-(AD641*BI641)),2)</f>
        <v>60.77</v>
      </c>
      <c r="AN641" s="6">
        <f>ROUND((AD641-(AD641*BJ641)),2)</f>
        <v>60.77</v>
      </c>
      <c r="AO641" s="6">
        <f>ROUND((AD641-(AD641*BK641)),2)</f>
        <v>62.65</v>
      </c>
      <c r="BG641" s="12">
        <v>0.01</v>
      </c>
      <c r="BH641" s="12">
        <v>0.02</v>
      </c>
      <c r="BI641" s="12">
        <v>0.03</v>
      </c>
      <c r="BJ641" s="12">
        <v>0.03</v>
      </c>
      <c r="CC641" s="3" t="str">
        <f>IF(B641&lt;&gt;"",CONCATENATE(SUBSTITUTE(B641," ","-"),".jpg"),"")</f>
        <v>Allied-Moulded-AMP1084CCF.jpg</v>
      </c>
      <c r="CD641" s="16" t="s">
        <v>111</v>
      </c>
      <c r="CE641" s="3"/>
      <c r="CF641" s="3"/>
      <c r="CG641" s="3" t="s">
        <v>112</v>
      </c>
      <c r="CI641" s="3" t="s">
        <v>97</v>
      </c>
      <c r="CJ641" s="3" t="s">
        <v>481</v>
      </c>
      <c r="CK641" s="3" t="s">
        <v>114</v>
      </c>
      <c r="CL641" s="3" t="s">
        <v>115</v>
      </c>
      <c r="CM641" s="16"/>
      <c r="CN641" s="16" t="s">
        <v>349</v>
      </c>
      <c r="CO641" s="3" t="s">
        <v>482</v>
      </c>
      <c r="CP641" s="3" t="s">
        <v>139</v>
      </c>
      <c r="CQ641" s="3" t="s">
        <v>120</v>
      </c>
      <c r="CR641" s="16" t="s">
        <v>121</v>
      </c>
      <c r="CS641" s="3" t="s">
        <v>384</v>
      </c>
      <c r="CT641" s="16" t="s">
        <v>167</v>
      </c>
      <c r="CU641" s="16" t="s">
        <v>385</v>
      </c>
      <c r="CV641" s="16" t="s">
        <v>657</v>
      </c>
    </row>
    <row r="642" spans="1:100" ht="15" customHeight="1">
      <c r="A642" t="s">
        <v>4151</v>
      </c>
      <c r="B642" s="3" t="s">
        <v>4152</v>
      </c>
      <c r="C642" s="16" t="s">
        <v>97</v>
      </c>
      <c r="D642" s="40" t="s">
        <v>4153</v>
      </c>
      <c r="E642" s="16" t="s">
        <v>97</v>
      </c>
      <c r="F642" s="131" t="s">
        <v>4154</v>
      </c>
      <c r="I642" s="100" t="s">
        <v>342</v>
      </c>
      <c r="J642" s="16" t="s">
        <v>101</v>
      </c>
      <c r="K642" s="16"/>
      <c r="L642" s="3" t="s">
        <v>102</v>
      </c>
      <c r="M642" s="3" t="s">
        <v>103</v>
      </c>
      <c r="N642" s="3" t="s">
        <v>104</v>
      </c>
      <c r="O642" s="16" t="s">
        <v>478</v>
      </c>
      <c r="P642" s="3" t="s">
        <v>4155</v>
      </c>
      <c r="Q642" s="3" t="s">
        <v>4155</v>
      </c>
      <c r="R642" s="3" t="s">
        <v>4155</v>
      </c>
      <c r="S642" t="s">
        <v>4151</v>
      </c>
      <c r="T642" s="130" t="s">
        <v>465</v>
      </c>
      <c r="U642" s="51">
        <v>3</v>
      </c>
      <c r="V642" s="58"/>
      <c r="W642" s="58"/>
      <c r="X642" s="59" t="s">
        <v>108</v>
      </c>
      <c r="Y642" s="93">
        <f>IF(AD642=0, 0, IF(OR(H642="", H642&lt;&gt;0), 1, 0))</f>
        <v>1</v>
      </c>
      <c r="Z642" s="3">
        <v>0</v>
      </c>
      <c r="AA642" s="3" t="s">
        <v>4156</v>
      </c>
      <c r="AD642" s="6">
        <f>ROUND((AG642*(1+AJ642)),2)</f>
        <v>62.25</v>
      </c>
      <c r="AE642" s="69">
        <v>70.93282035</v>
      </c>
      <c r="AF642" s="17">
        <f>(AE642*1)</f>
        <v>70.93282035</v>
      </c>
      <c r="AG642" s="6">
        <f>ROUND((AE642*AI642),2)</f>
        <v>46.11</v>
      </c>
      <c r="AH642" s="30" t="s">
        <v>110</v>
      </c>
      <c r="AI642" s="3">
        <v>0.65</v>
      </c>
      <c r="AJ642" s="18">
        <v>0.35</v>
      </c>
      <c r="AK642" s="6">
        <f>ROUND((AD642-(AD642*BG642)),2)</f>
        <v>61.63</v>
      </c>
      <c r="AL642" s="6">
        <f>ROUND((AD642-(AD642*BH642)),2)</f>
        <v>61.01</v>
      </c>
      <c r="AM642" s="6">
        <f>ROUND((AD642-(AD642*BI642)),2)</f>
        <v>60.38</v>
      </c>
      <c r="AN642" s="6">
        <f>ROUND((AD642-(AD642*BJ642)),2)</f>
        <v>60.38</v>
      </c>
      <c r="AO642" s="6">
        <f>ROUND((AD642-(AD642*BK642)),2)</f>
        <v>62.25</v>
      </c>
      <c r="BG642" s="12">
        <v>0.01</v>
      </c>
      <c r="BH642" s="12">
        <v>0.02</v>
      </c>
      <c r="BI642" s="12">
        <v>0.03</v>
      </c>
      <c r="BJ642" s="12">
        <v>0.03</v>
      </c>
      <c r="CC642" s="3" t="str">
        <f>IF(B642&lt;&gt;"",CONCATENATE(SUBSTITUTE(B642," ","-"),".jpg"),"")</f>
        <v>Allied-Moulded-AMP1082CCH.jpg</v>
      </c>
      <c r="CD642" s="16" t="s">
        <v>111</v>
      </c>
      <c r="CE642" s="3"/>
      <c r="CF642" s="3"/>
      <c r="CG642" s="3" t="s">
        <v>112</v>
      </c>
      <c r="CI642" s="3" t="s">
        <v>97</v>
      </c>
      <c r="CJ642" s="3" t="s">
        <v>481</v>
      </c>
      <c r="CK642" s="3" t="s">
        <v>114</v>
      </c>
      <c r="CL642" s="3" t="s">
        <v>115</v>
      </c>
      <c r="CM642" s="3" t="s">
        <v>116</v>
      </c>
      <c r="CN642" s="16" t="s">
        <v>349</v>
      </c>
      <c r="CO642" s="3" t="s">
        <v>482</v>
      </c>
      <c r="CP642" s="3" t="s">
        <v>139</v>
      </c>
      <c r="CQ642" s="3" t="s">
        <v>120</v>
      </c>
      <c r="CR642" s="16" t="s">
        <v>121</v>
      </c>
      <c r="CS642" s="3" t="s">
        <v>384</v>
      </c>
      <c r="CT642" s="16" t="s">
        <v>167</v>
      </c>
      <c r="CU642" s="16" t="s">
        <v>385</v>
      </c>
      <c r="CV642" s="16" t="s">
        <v>4132</v>
      </c>
    </row>
    <row r="643" spans="1:100" ht="15" customHeight="1">
      <c r="A643" t="s">
        <v>4157</v>
      </c>
      <c r="B643" s="3" t="s">
        <v>4158</v>
      </c>
      <c r="C643" s="16" t="s">
        <v>97</v>
      </c>
      <c r="D643" s="39" t="s">
        <v>4159</v>
      </c>
      <c r="E643" s="16" t="s">
        <v>97</v>
      </c>
      <c r="F643" s="131" t="s">
        <v>4160</v>
      </c>
      <c r="I643" s="100" t="s">
        <v>342</v>
      </c>
      <c r="J643" s="16" t="s">
        <v>101</v>
      </c>
      <c r="K643" s="16"/>
      <c r="L643" s="3" t="s">
        <v>102</v>
      </c>
      <c r="M643" s="3" t="s">
        <v>103</v>
      </c>
      <c r="N643" s="3" t="s">
        <v>104</v>
      </c>
      <c r="O643" s="16" t="s">
        <v>478</v>
      </c>
      <c r="P643" s="3" t="s">
        <v>4161</v>
      </c>
      <c r="Q643" s="3" t="s">
        <v>4161</v>
      </c>
      <c r="R643" s="3" t="s">
        <v>4161</v>
      </c>
      <c r="S643" t="s">
        <v>4157</v>
      </c>
      <c r="T643" s="130" t="s">
        <v>465</v>
      </c>
      <c r="U643" s="50">
        <v>3</v>
      </c>
      <c r="V643" s="54"/>
      <c r="W643" s="54"/>
      <c r="X643" s="59" t="s">
        <v>108</v>
      </c>
      <c r="Y643" s="93">
        <f>IF(AD643=0, 0, IF(OR(H643="", H643&lt;&gt;0), 1, 0))</f>
        <v>1</v>
      </c>
      <c r="Z643" s="3">
        <v>0</v>
      </c>
      <c r="AA643" s="3" t="s">
        <v>4162</v>
      </c>
      <c r="AD643" s="6">
        <f>ROUND((AG643*(1+AJ643)),2)</f>
        <v>65.349999999999994</v>
      </c>
      <c r="AE643" s="69">
        <v>74.473904399999995</v>
      </c>
      <c r="AF643" s="17">
        <f>(AE643*1)</f>
        <v>74.473904399999995</v>
      </c>
      <c r="AG643" s="6">
        <f>ROUND((AE643*AI643),2)</f>
        <v>48.41</v>
      </c>
      <c r="AH643" s="30" t="s">
        <v>110</v>
      </c>
      <c r="AI643" s="3">
        <v>0.65</v>
      </c>
      <c r="AJ643" s="18">
        <v>0.35</v>
      </c>
      <c r="AK643" s="6">
        <f>ROUND((AD643-(AD643*BG643)),2)</f>
        <v>64.7</v>
      </c>
      <c r="AL643" s="6">
        <f>ROUND((AD643-(AD643*BH643)),2)</f>
        <v>64.040000000000006</v>
      </c>
      <c r="AM643" s="6">
        <f>ROUND((AD643-(AD643*BI643)),2)</f>
        <v>63.39</v>
      </c>
      <c r="AN643" s="6">
        <f>ROUND((AD643-(AD643*BJ643)),2)</f>
        <v>63.39</v>
      </c>
      <c r="AO643" s="6">
        <f>ROUND((AD643-(AD643*BK643)),2)</f>
        <v>65.349999999999994</v>
      </c>
      <c r="BG643" s="12">
        <v>0.01</v>
      </c>
      <c r="BH643" s="12">
        <v>0.02</v>
      </c>
      <c r="BI643" s="12">
        <v>0.03</v>
      </c>
      <c r="BJ643" s="12">
        <v>0.03</v>
      </c>
      <c r="CC643" s="3" t="str">
        <f>IF(B643&lt;&gt;"",CONCATENATE(SUBSTITUTE(B643," ","-"),".jpg"),"")</f>
        <v>Allied-Moulded-AMP1082CCHF.jpg</v>
      </c>
      <c r="CD643" s="16" t="s">
        <v>111</v>
      </c>
      <c r="CE643" s="3"/>
      <c r="CF643" s="3"/>
      <c r="CG643" s="3" t="s">
        <v>112</v>
      </c>
      <c r="CI643" s="3" t="s">
        <v>97</v>
      </c>
      <c r="CJ643" s="3" t="s">
        <v>481</v>
      </c>
      <c r="CK643" s="3" t="s">
        <v>114</v>
      </c>
      <c r="CL643" s="3" t="s">
        <v>115</v>
      </c>
      <c r="CM643" s="3" t="s">
        <v>116</v>
      </c>
      <c r="CN643" s="16" t="s">
        <v>349</v>
      </c>
      <c r="CO643" s="3" t="s">
        <v>482</v>
      </c>
      <c r="CP643" s="3" t="s">
        <v>139</v>
      </c>
      <c r="CQ643" s="3" t="s">
        <v>120</v>
      </c>
      <c r="CR643" s="16" t="s">
        <v>121</v>
      </c>
      <c r="CS643" s="3" t="s">
        <v>384</v>
      </c>
      <c r="CT643" s="16" t="s">
        <v>167</v>
      </c>
      <c r="CU643" s="16" t="s">
        <v>385</v>
      </c>
      <c r="CV643" s="16" t="s">
        <v>4132</v>
      </c>
    </row>
    <row r="644" spans="1:100" ht="15" customHeight="1">
      <c r="A644" t="s">
        <v>4163</v>
      </c>
      <c r="B644" s="3" t="s">
        <v>4164</v>
      </c>
      <c r="C644" s="16" t="s">
        <v>97</v>
      </c>
      <c r="D644" s="40" t="s">
        <v>4165</v>
      </c>
      <c r="E644" s="16" t="s">
        <v>97</v>
      </c>
      <c r="F644" s="131" t="s">
        <v>4166</v>
      </c>
      <c r="I644" s="100" t="s">
        <v>342</v>
      </c>
      <c r="J644" s="16" t="s">
        <v>101</v>
      </c>
      <c r="K644" s="16"/>
      <c r="L644" s="3" t="s">
        <v>102</v>
      </c>
      <c r="M644" s="3" t="s">
        <v>103</v>
      </c>
      <c r="N644" s="3" t="s">
        <v>104</v>
      </c>
      <c r="O644" s="16" t="s">
        <v>478</v>
      </c>
      <c r="P644" s="3" t="s">
        <v>4167</v>
      </c>
      <c r="Q644" s="3" t="s">
        <v>4167</v>
      </c>
      <c r="R644" s="3" t="s">
        <v>4167</v>
      </c>
      <c r="S644" t="s">
        <v>4163</v>
      </c>
      <c r="T644" s="130" t="s">
        <v>465</v>
      </c>
      <c r="U644" s="51">
        <v>3</v>
      </c>
      <c r="V644" s="58"/>
      <c r="W644" s="58"/>
      <c r="X644" s="59" t="s">
        <v>108</v>
      </c>
      <c r="Y644" s="93">
        <f>IF(AD644=0, 0, IF(OR(H644="", H644&lt;&gt;0), 1, 0))</f>
        <v>1</v>
      </c>
      <c r="Z644" s="3">
        <v>0</v>
      </c>
      <c r="AA644" s="3" t="s">
        <v>4168</v>
      </c>
      <c r="AD644" s="6">
        <f>ROUND((AG644*(1+AJ644)),2)</f>
        <v>66.150000000000006</v>
      </c>
      <c r="AE644" s="69">
        <v>75.3790233</v>
      </c>
      <c r="AF644" s="17">
        <f>(AE644*1)</f>
        <v>75.3790233</v>
      </c>
      <c r="AG644" s="6">
        <f>ROUND((AE644*AI644),2)</f>
        <v>49</v>
      </c>
      <c r="AH644" s="30" t="s">
        <v>110</v>
      </c>
      <c r="AI644" s="3">
        <v>0.65</v>
      </c>
      <c r="AJ644" s="18">
        <v>0.35</v>
      </c>
      <c r="AK644" s="6">
        <f>ROUND((AD644-(AD644*BG644)),2)</f>
        <v>65.489999999999995</v>
      </c>
      <c r="AL644" s="6">
        <f>ROUND((AD644-(AD644*BH644)),2)</f>
        <v>64.83</v>
      </c>
      <c r="AM644" s="6">
        <f>ROUND((AD644-(AD644*BI644)),2)</f>
        <v>64.17</v>
      </c>
      <c r="AN644" s="6">
        <f>ROUND((AD644-(AD644*BJ644)),2)</f>
        <v>64.17</v>
      </c>
      <c r="AO644" s="6">
        <f>ROUND((AD644-(AD644*BK644)),2)</f>
        <v>66.150000000000006</v>
      </c>
      <c r="BG644" s="12">
        <v>0.01</v>
      </c>
      <c r="BH644" s="12">
        <v>0.02</v>
      </c>
      <c r="BI644" s="12">
        <v>0.03</v>
      </c>
      <c r="BJ644" s="12">
        <v>0.03</v>
      </c>
      <c r="CC644" s="3" t="str">
        <f>IF(B644&lt;&gt;"",CONCATENATE(SUBSTITUTE(B644," ","-"),".jpg"),"")</f>
        <v>Allied-Moulded-AMP1084CCH.jpg</v>
      </c>
      <c r="CD644" s="16" t="s">
        <v>111</v>
      </c>
      <c r="CE644" s="3"/>
      <c r="CF644" s="3"/>
      <c r="CG644" s="3" t="s">
        <v>112</v>
      </c>
      <c r="CI644" s="3" t="s">
        <v>97</v>
      </c>
      <c r="CJ644" s="3" t="s">
        <v>481</v>
      </c>
      <c r="CK644" s="3" t="s">
        <v>114</v>
      </c>
      <c r="CL644" s="3" t="s">
        <v>115</v>
      </c>
      <c r="CM644" s="3" t="s">
        <v>116</v>
      </c>
      <c r="CN644" s="16" t="s">
        <v>349</v>
      </c>
      <c r="CO644" s="3" t="s">
        <v>482</v>
      </c>
      <c r="CP644" s="3" t="s">
        <v>139</v>
      </c>
      <c r="CQ644" s="3" t="s">
        <v>120</v>
      </c>
      <c r="CR644" s="16" t="s">
        <v>121</v>
      </c>
      <c r="CS644" s="3" t="s">
        <v>384</v>
      </c>
      <c r="CT644" s="16" t="s">
        <v>167</v>
      </c>
      <c r="CU644" s="16" t="s">
        <v>385</v>
      </c>
      <c r="CV644" s="16" t="s">
        <v>657</v>
      </c>
    </row>
    <row r="645" spans="1:100" ht="15" customHeight="1">
      <c r="A645" t="s">
        <v>4169</v>
      </c>
      <c r="B645" s="3" t="s">
        <v>4170</v>
      </c>
      <c r="C645" s="16" t="s">
        <v>97</v>
      </c>
      <c r="D645" s="39" t="s">
        <v>4171</v>
      </c>
      <c r="E645" s="16" t="s">
        <v>97</v>
      </c>
      <c r="F645" s="131" t="s">
        <v>4172</v>
      </c>
      <c r="I645" s="100" t="s">
        <v>342</v>
      </c>
      <c r="J645" s="16" t="s">
        <v>101</v>
      </c>
      <c r="K645" s="16"/>
      <c r="L645" s="3" t="s">
        <v>102</v>
      </c>
      <c r="M645" s="3" t="s">
        <v>103</v>
      </c>
      <c r="N645" s="3" t="s">
        <v>104</v>
      </c>
      <c r="O645" s="16" t="s">
        <v>478</v>
      </c>
      <c r="P645" s="3" t="s">
        <v>4173</v>
      </c>
      <c r="Q645" s="3" t="s">
        <v>4173</v>
      </c>
      <c r="R645" s="3" t="s">
        <v>4173</v>
      </c>
      <c r="S645" t="s">
        <v>4169</v>
      </c>
      <c r="T645" s="130" t="s">
        <v>465</v>
      </c>
      <c r="U645" s="50">
        <v>3</v>
      </c>
      <c r="V645" s="54"/>
      <c r="W645" s="54"/>
      <c r="X645" s="59" t="s">
        <v>108</v>
      </c>
      <c r="Y645" s="93">
        <f>IF(AD645=0, 0, IF(OR(H645="", H645&lt;&gt;0), 1, 0))</f>
        <v>1</v>
      </c>
      <c r="Z645" s="3">
        <v>0</v>
      </c>
      <c r="AA645" s="3" t="s">
        <v>4174</v>
      </c>
      <c r="AD645" s="6">
        <f>ROUND((AG645*(1+AJ645)),2)</f>
        <v>69.430000000000007</v>
      </c>
      <c r="AE645" s="69">
        <v>79.126537349999992</v>
      </c>
      <c r="AF645" s="17">
        <f>(AE645*1)</f>
        <v>79.126537349999992</v>
      </c>
      <c r="AG645" s="6">
        <f>ROUND((AE645*AI645),2)</f>
        <v>51.43</v>
      </c>
      <c r="AH645" s="30" t="s">
        <v>110</v>
      </c>
      <c r="AI645" s="3">
        <v>0.65</v>
      </c>
      <c r="AJ645" s="18">
        <v>0.35</v>
      </c>
      <c r="AK645" s="6">
        <f>ROUND((AD645-(AD645*BG645)),2)</f>
        <v>68.739999999999995</v>
      </c>
      <c r="AL645" s="6">
        <f>ROUND((AD645-(AD645*BH645)),2)</f>
        <v>68.040000000000006</v>
      </c>
      <c r="AM645" s="6">
        <f>ROUND((AD645-(AD645*BI645)),2)</f>
        <v>67.349999999999994</v>
      </c>
      <c r="AN645" s="6">
        <f>ROUND((AD645-(AD645*BJ645)),2)</f>
        <v>67.349999999999994</v>
      </c>
      <c r="AO645" s="6">
        <f>ROUND((AD645-(AD645*BK645)),2)</f>
        <v>69.430000000000007</v>
      </c>
      <c r="BG645" s="12">
        <v>0.01</v>
      </c>
      <c r="BH645" s="12">
        <v>0.02</v>
      </c>
      <c r="BI645" s="12">
        <v>0.03</v>
      </c>
      <c r="BJ645" s="12">
        <v>0.03</v>
      </c>
      <c r="CC645" s="3" t="str">
        <f>IF(B645&lt;&gt;"",CONCATENATE(SUBSTITUTE(B645," ","-"),".jpg"),"")</f>
        <v>Allied-Moulded-AMP1084CCHF.jpg</v>
      </c>
      <c r="CD645" s="16" t="s">
        <v>111</v>
      </c>
      <c r="CE645" s="3"/>
      <c r="CF645" s="3"/>
      <c r="CG645" s="3" t="s">
        <v>112</v>
      </c>
      <c r="CI645" s="3" t="s">
        <v>97</v>
      </c>
      <c r="CJ645" s="3" t="s">
        <v>481</v>
      </c>
      <c r="CK645" s="3" t="s">
        <v>114</v>
      </c>
      <c r="CL645" s="3" t="s">
        <v>115</v>
      </c>
      <c r="CM645" s="3" t="s">
        <v>116</v>
      </c>
      <c r="CN645" s="16" t="s">
        <v>349</v>
      </c>
      <c r="CO645" s="3" t="s">
        <v>482</v>
      </c>
      <c r="CP645" s="3" t="s">
        <v>139</v>
      </c>
      <c r="CQ645" s="3" t="s">
        <v>120</v>
      </c>
      <c r="CR645" s="16" t="s">
        <v>121</v>
      </c>
      <c r="CS645" s="3" t="s">
        <v>384</v>
      </c>
      <c r="CT645" s="16" t="s">
        <v>167</v>
      </c>
      <c r="CU645" s="16" t="s">
        <v>385</v>
      </c>
      <c r="CV645" s="16" t="s">
        <v>657</v>
      </c>
    </row>
    <row r="646" spans="1:100" ht="15" customHeight="1">
      <c r="A646" t="s">
        <v>4175</v>
      </c>
      <c r="B646" s="3" t="s">
        <v>4176</v>
      </c>
      <c r="C646" s="16" t="s">
        <v>97</v>
      </c>
      <c r="D646" s="39" t="s">
        <v>4177</v>
      </c>
      <c r="E646" s="16" t="s">
        <v>97</v>
      </c>
      <c r="F646" s="131" t="s">
        <v>4178</v>
      </c>
      <c r="I646" s="100" t="s">
        <v>342</v>
      </c>
      <c r="J646" s="16" t="s">
        <v>101</v>
      </c>
      <c r="K646" s="16"/>
      <c r="L646" s="3" t="s">
        <v>102</v>
      </c>
      <c r="M646" s="3" t="s">
        <v>103</v>
      </c>
      <c r="N646" s="3" t="s">
        <v>104</v>
      </c>
      <c r="O646" s="16" t="s">
        <v>478</v>
      </c>
      <c r="P646" s="3" t="s">
        <v>4179</v>
      </c>
      <c r="Q646" s="3" t="s">
        <v>4179</v>
      </c>
      <c r="R646" s="3" t="s">
        <v>4179</v>
      </c>
      <c r="S646" t="s">
        <v>4175</v>
      </c>
      <c r="T646" s="130" t="s">
        <v>465</v>
      </c>
      <c r="U646" s="50">
        <v>3</v>
      </c>
      <c r="V646" s="54"/>
      <c r="W646" s="54"/>
      <c r="X646" s="59" t="s">
        <v>108</v>
      </c>
      <c r="Y646" s="93">
        <f>IF(AD646=0, 0, IF(OR(H646="", H646&lt;&gt;0), 1, 0))</f>
        <v>1</v>
      </c>
      <c r="Z646" s="3">
        <v>0</v>
      </c>
      <c r="AA646" s="3" t="s">
        <v>4180</v>
      </c>
      <c r="AD646" s="6">
        <f>ROUND((AG646*(1+AJ646)),2)</f>
        <v>75.290000000000006</v>
      </c>
      <c r="AE646" s="69">
        <v>85.795841249999995</v>
      </c>
      <c r="AF646" s="17">
        <f>(AE646*1)</f>
        <v>85.795841249999995</v>
      </c>
      <c r="AG646" s="6">
        <f>ROUND((AE646*AI646),2)</f>
        <v>55.77</v>
      </c>
      <c r="AH646" s="30" t="s">
        <v>110</v>
      </c>
      <c r="AI646" s="3">
        <v>0.65</v>
      </c>
      <c r="AJ646" s="18">
        <v>0.35</v>
      </c>
      <c r="AK646" s="6">
        <f>ROUND((AD646-(AD646*BG646)),2)</f>
        <v>74.540000000000006</v>
      </c>
      <c r="AL646" s="6">
        <f>ROUND((AD646-(AD646*BH646)),2)</f>
        <v>73.78</v>
      </c>
      <c r="AM646" s="6">
        <f>ROUND((AD646-(AD646*BI646)),2)</f>
        <v>73.03</v>
      </c>
      <c r="AN646" s="6">
        <f>ROUND((AD646-(AD646*BJ646)),2)</f>
        <v>73.03</v>
      </c>
      <c r="AO646" s="6">
        <f>ROUND((AD646-(AD646*BK646)),2)</f>
        <v>75.290000000000006</v>
      </c>
      <c r="BG646" s="12">
        <v>0.01</v>
      </c>
      <c r="BH646" s="12">
        <v>0.02</v>
      </c>
      <c r="BI646" s="12">
        <v>0.03</v>
      </c>
      <c r="BJ646" s="12">
        <v>0.03</v>
      </c>
      <c r="CC646" s="3" t="str">
        <f>IF(B646&lt;&gt;"",CONCATENATE(SUBSTITUTE(B646," ","-"),".jpg"),"")</f>
        <v>Allied-Moulded-AMP1082CCL.jpg</v>
      </c>
      <c r="CD646" s="16" t="s">
        <v>111</v>
      </c>
      <c r="CE646" s="3"/>
      <c r="CF646" s="3"/>
      <c r="CG646" s="3" t="s">
        <v>112</v>
      </c>
      <c r="CI646" s="3" t="s">
        <v>97</v>
      </c>
      <c r="CJ646" s="3" t="s">
        <v>481</v>
      </c>
      <c r="CK646" s="3" t="s">
        <v>114</v>
      </c>
      <c r="CL646" s="3" t="s">
        <v>115</v>
      </c>
      <c r="CM646" s="3" t="s">
        <v>116</v>
      </c>
      <c r="CN646" t="s">
        <v>117</v>
      </c>
      <c r="CO646" s="3" t="s">
        <v>482</v>
      </c>
      <c r="CP646" s="3" t="s">
        <v>139</v>
      </c>
      <c r="CQ646" s="3" t="s">
        <v>120</v>
      </c>
      <c r="CR646" s="16" t="s">
        <v>121</v>
      </c>
      <c r="CS646" s="16" t="s">
        <v>122</v>
      </c>
      <c r="CT646" s="16" t="s">
        <v>167</v>
      </c>
      <c r="CU646" s="16" t="s">
        <v>385</v>
      </c>
      <c r="CV646" s="16" t="s">
        <v>4132</v>
      </c>
    </row>
    <row r="647" spans="1:100" ht="15" customHeight="1">
      <c r="A647" t="s">
        <v>4181</v>
      </c>
      <c r="B647" s="3" t="s">
        <v>4182</v>
      </c>
      <c r="C647" s="16" t="s">
        <v>97</v>
      </c>
      <c r="D647" s="40" t="s">
        <v>4183</v>
      </c>
      <c r="E647" s="16" t="s">
        <v>97</v>
      </c>
      <c r="F647" s="131" t="s">
        <v>4184</v>
      </c>
      <c r="I647" s="100" t="s">
        <v>342</v>
      </c>
      <c r="J647" s="16" t="s">
        <v>101</v>
      </c>
      <c r="K647" s="16"/>
      <c r="L647" s="3" t="s">
        <v>102</v>
      </c>
      <c r="M647" s="3" t="s">
        <v>103</v>
      </c>
      <c r="N647" s="3" t="s">
        <v>104</v>
      </c>
      <c r="O647" s="16" t="s">
        <v>478</v>
      </c>
      <c r="P647" s="3" t="s">
        <v>4185</v>
      </c>
      <c r="Q647" s="3" t="s">
        <v>4185</v>
      </c>
      <c r="R647" s="3" t="s">
        <v>4185</v>
      </c>
      <c r="S647" t="s">
        <v>4181</v>
      </c>
      <c r="T647" s="130" t="s">
        <v>465</v>
      </c>
      <c r="U647" s="51">
        <v>3</v>
      </c>
      <c r="V647" s="58"/>
      <c r="W647" s="58"/>
      <c r="X647" s="59" t="s">
        <v>108</v>
      </c>
      <c r="Y647" s="93">
        <f>IF(AD647=0, 0, IF(OR(H647="", H647&lt;&gt;0), 1, 0))</f>
        <v>1</v>
      </c>
      <c r="Z647" s="3">
        <v>0</v>
      </c>
      <c r="AA647" s="3" t="s">
        <v>4186</v>
      </c>
      <c r="AD647" s="6">
        <f>ROUND((AG647*(1+AJ647)),2)</f>
        <v>79.069999999999993</v>
      </c>
      <c r="AE647" s="69">
        <v>90.115012050000004</v>
      </c>
      <c r="AF647" s="17">
        <f>(AE647*1)</f>
        <v>90.115012050000004</v>
      </c>
      <c r="AG647" s="6">
        <f>ROUND((AE647*AI647),2)</f>
        <v>58.57</v>
      </c>
      <c r="AH647" s="30" t="s">
        <v>110</v>
      </c>
      <c r="AI647" s="3">
        <v>0.65</v>
      </c>
      <c r="AJ647" s="18">
        <v>0.35</v>
      </c>
      <c r="AK647" s="6">
        <f>ROUND((AD647-(AD647*BG647)),2)</f>
        <v>78.28</v>
      </c>
      <c r="AL647" s="6">
        <f>ROUND((AD647-(AD647*BH647)),2)</f>
        <v>77.489999999999995</v>
      </c>
      <c r="AM647" s="6">
        <f>ROUND((AD647-(AD647*BI647)),2)</f>
        <v>76.7</v>
      </c>
      <c r="AN647" s="6">
        <f>ROUND((AD647-(AD647*BJ647)),2)</f>
        <v>76.7</v>
      </c>
      <c r="AO647" s="6">
        <f>ROUND((AD647-(AD647*BK647)),2)</f>
        <v>79.069999999999993</v>
      </c>
      <c r="BG647" s="12">
        <v>0.01</v>
      </c>
      <c r="BH647" s="12">
        <v>0.02</v>
      </c>
      <c r="BI647" s="12">
        <v>0.03</v>
      </c>
      <c r="BJ647" s="12">
        <v>0.03</v>
      </c>
      <c r="CC647" s="3" t="str">
        <f>IF(B647&lt;&gt;"",CONCATENATE(SUBSTITUTE(B647," ","-"),".jpg"),"")</f>
        <v>Allied-Moulded-AMP1082CCLF.jpg</v>
      </c>
      <c r="CD647" s="16" t="s">
        <v>111</v>
      </c>
      <c r="CE647" s="3"/>
      <c r="CF647" s="3"/>
      <c r="CG647" s="3" t="s">
        <v>112</v>
      </c>
      <c r="CI647" s="3" t="s">
        <v>97</v>
      </c>
      <c r="CJ647" s="3" t="s">
        <v>481</v>
      </c>
      <c r="CK647" s="3" t="s">
        <v>114</v>
      </c>
      <c r="CL647" s="3" t="s">
        <v>115</v>
      </c>
      <c r="CM647" s="3" t="s">
        <v>116</v>
      </c>
      <c r="CN647" t="s">
        <v>117</v>
      </c>
      <c r="CO647" s="3" t="s">
        <v>482</v>
      </c>
      <c r="CP647" s="3" t="s">
        <v>139</v>
      </c>
      <c r="CQ647" s="3" t="s">
        <v>120</v>
      </c>
      <c r="CR647" s="16" t="s">
        <v>121</v>
      </c>
      <c r="CS647" s="16" t="s">
        <v>122</v>
      </c>
      <c r="CT647" s="16" t="s">
        <v>167</v>
      </c>
      <c r="CU647" s="16" t="s">
        <v>385</v>
      </c>
      <c r="CV647" s="16" t="s">
        <v>4132</v>
      </c>
    </row>
    <row r="648" spans="1:100" ht="15" customHeight="1">
      <c r="A648" t="s">
        <v>4187</v>
      </c>
      <c r="B648" s="3" t="s">
        <v>4188</v>
      </c>
      <c r="C648" s="16" t="s">
        <v>97</v>
      </c>
      <c r="D648" s="39" t="s">
        <v>4189</v>
      </c>
      <c r="E648" s="16" t="s">
        <v>97</v>
      </c>
      <c r="F648" s="131" t="s">
        <v>4190</v>
      </c>
      <c r="I648" s="100" t="s">
        <v>342</v>
      </c>
      <c r="J648" s="16" t="s">
        <v>101</v>
      </c>
      <c r="K648" s="16"/>
      <c r="L648" s="3" t="s">
        <v>102</v>
      </c>
      <c r="M648" s="3" t="s">
        <v>103</v>
      </c>
      <c r="N648" s="3" t="s">
        <v>104</v>
      </c>
      <c r="O648" s="16" t="s">
        <v>478</v>
      </c>
      <c r="P648" s="3" t="s">
        <v>4191</v>
      </c>
      <c r="Q648" s="3" t="s">
        <v>4191</v>
      </c>
      <c r="R648" s="3" t="s">
        <v>4191</v>
      </c>
      <c r="S648" t="s">
        <v>4187</v>
      </c>
      <c r="T648" s="130" t="s">
        <v>465</v>
      </c>
      <c r="U648" s="50">
        <v>3</v>
      </c>
      <c r="V648" s="54"/>
      <c r="W648" s="54"/>
      <c r="X648" s="59" t="s">
        <v>108</v>
      </c>
      <c r="Y648" s="93">
        <f>IF(AD648=0, 0, IF(OR(H648="", H648&lt;&gt;0), 1, 0))</f>
        <v>1</v>
      </c>
      <c r="Z648" s="3">
        <v>0</v>
      </c>
      <c r="AA648" s="3" t="s">
        <v>4192</v>
      </c>
      <c r="AD648" s="6">
        <f>ROUND((AG648*(1+AJ648)),2)</f>
        <v>80.19</v>
      </c>
      <c r="AE648" s="69">
        <v>91.385356649999991</v>
      </c>
      <c r="AF648" s="17">
        <f>(AE648*1)</f>
        <v>91.385356649999991</v>
      </c>
      <c r="AG648" s="6">
        <f>ROUND((AE648*AI648),2)</f>
        <v>59.4</v>
      </c>
      <c r="AH648" s="30" t="s">
        <v>110</v>
      </c>
      <c r="AI648" s="3">
        <v>0.65</v>
      </c>
      <c r="AJ648" s="18">
        <v>0.35</v>
      </c>
      <c r="AK648" s="6">
        <f>ROUND((AD648-(AD648*BG648)),2)</f>
        <v>79.39</v>
      </c>
      <c r="AL648" s="6">
        <f>ROUND((AD648-(AD648*BH648)),2)</f>
        <v>78.59</v>
      </c>
      <c r="AM648" s="6">
        <f>ROUND((AD648-(AD648*BI648)),2)</f>
        <v>77.78</v>
      </c>
      <c r="AN648" s="6">
        <f>ROUND((AD648-(AD648*BJ648)),2)</f>
        <v>77.78</v>
      </c>
      <c r="AO648" s="6">
        <f>ROUND((AD648-(AD648*BK648)),2)</f>
        <v>80.19</v>
      </c>
      <c r="BG648" s="12">
        <v>0.01</v>
      </c>
      <c r="BH648" s="12">
        <v>0.02</v>
      </c>
      <c r="BI648" s="12">
        <v>0.03</v>
      </c>
      <c r="BJ648" s="12">
        <v>0.03</v>
      </c>
      <c r="CC648" s="3" t="str">
        <f>IF(B648&lt;&gt;"",CONCATENATE(SUBSTITUTE(B648," ","-"),".jpg"),"")</f>
        <v>Allied-Moulded-AMP1084CCL.jpg</v>
      </c>
      <c r="CD648" s="16" t="s">
        <v>111</v>
      </c>
      <c r="CE648" s="3"/>
      <c r="CF648" s="3"/>
      <c r="CG648" s="3" t="s">
        <v>112</v>
      </c>
      <c r="CI648" s="3" t="s">
        <v>97</v>
      </c>
      <c r="CJ648" s="3" t="s">
        <v>481</v>
      </c>
      <c r="CK648" s="3" t="s">
        <v>114</v>
      </c>
      <c r="CL648" s="3" t="s">
        <v>115</v>
      </c>
      <c r="CM648" s="3" t="s">
        <v>116</v>
      </c>
      <c r="CN648" t="s">
        <v>117</v>
      </c>
      <c r="CO648" s="3" t="s">
        <v>482</v>
      </c>
      <c r="CP648" s="3" t="s">
        <v>139</v>
      </c>
      <c r="CQ648" s="3" t="s">
        <v>120</v>
      </c>
      <c r="CR648" s="16" t="s">
        <v>121</v>
      </c>
      <c r="CS648" s="16" t="s">
        <v>122</v>
      </c>
      <c r="CT648" s="16" t="s">
        <v>167</v>
      </c>
      <c r="CU648" s="16" t="s">
        <v>385</v>
      </c>
      <c r="CV648" s="16" t="s">
        <v>657</v>
      </c>
    </row>
    <row r="649" spans="1:100" ht="15" customHeight="1">
      <c r="A649" t="s">
        <v>4193</v>
      </c>
      <c r="B649" s="3" t="s">
        <v>4194</v>
      </c>
      <c r="C649" s="16" t="s">
        <v>97</v>
      </c>
      <c r="D649" s="40" t="s">
        <v>4195</v>
      </c>
      <c r="E649" s="16" t="s">
        <v>97</v>
      </c>
      <c r="F649" s="131" t="s">
        <v>4196</v>
      </c>
      <c r="I649" s="100" t="s">
        <v>342</v>
      </c>
      <c r="J649" s="16" t="s">
        <v>101</v>
      </c>
      <c r="K649" s="16"/>
      <c r="L649" s="3" t="s">
        <v>102</v>
      </c>
      <c r="M649" s="3" t="s">
        <v>103</v>
      </c>
      <c r="N649" s="3" t="s">
        <v>104</v>
      </c>
      <c r="O649" s="16" t="s">
        <v>478</v>
      </c>
      <c r="P649" s="3" t="s">
        <v>4197</v>
      </c>
      <c r="Q649" s="3" t="s">
        <v>4197</v>
      </c>
      <c r="R649" s="3" t="s">
        <v>4197</v>
      </c>
      <c r="S649" t="s">
        <v>4193</v>
      </c>
      <c r="T649" s="130" t="s">
        <v>465</v>
      </c>
      <c r="U649" s="51">
        <v>3</v>
      </c>
      <c r="V649" s="58"/>
      <c r="W649" s="58"/>
      <c r="X649" s="59" t="s">
        <v>108</v>
      </c>
      <c r="Y649" s="93">
        <f>IF(AD649=0, 0, IF(OR(H649="", H649&lt;&gt;0), 1, 0))</f>
        <v>1</v>
      </c>
      <c r="Z649" s="3">
        <v>0</v>
      </c>
      <c r="AA649" s="3" t="s">
        <v>4198</v>
      </c>
      <c r="AD649" s="6">
        <f>ROUND((AG649*(1+AJ649)),2)</f>
        <v>84.19</v>
      </c>
      <c r="AE649" s="69">
        <v>95.942712600000007</v>
      </c>
      <c r="AF649" s="17">
        <f>(AE649*1)</f>
        <v>95.942712600000007</v>
      </c>
      <c r="AG649" s="6">
        <f>ROUND((AE649*AI649),2)</f>
        <v>62.36</v>
      </c>
      <c r="AH649" s="30" t="s">
        <v>110</v>
      </c>
      <c r="AI649" s="3">
        <v>0.65</v>
      </c>
      <c r="AJ649" s="18">
        <v>0.35</v>
      </c>
      <c r="AK649" s="6">
        <f>ROUND((AD649-(AD649*BG649)),2)</f>
        <v>83.35</v>
      </c>
      <c r="AL649" s="6">
        <f>ROUND((AD649-(AD649*BH649)),2)</f>
        <v>82.51</v>
      </c>
      <c r="AM649" s="6">
        <f>ROUND((AD649-(AD649*BI649)),2)</f>
        <v>81.66</v>
      </c>
      <c r="AN649" s="6">
        <f>ROUND((AD649-(AD649*BJ649)),2)</f>
        <v>81.66</v>
      </c>
      <c r="AO649" s="6">
        <f>ROUND((AD649-(AD649*BK649)),2)</f>
        <v>84.19</v>
      </c>
      <c r="BG649" s="12">
        <v>0.01</v>
      </c>
      <c r="BH649" s="12">
        <v>0.02</v>
      </c>
      <c r="BI649" s="12">
        <v>0.03</v>
      </c>
      <c r="BJ649" s="12">
        <v>0.03</v>
      </c>
      <c r="CC649" s="3" t="str">
        <f>IF(B649&lt;&gt;"",CONCATENATE(SUBSTITUTE(B649," ","-"),".jpg"),"")</f>
        <v>Allied-Moulded-AMP1084CCLF.jpg</v>
      </c>
      <c r="CD649" s="16" t="s">
        <v>111</v>
      </c>
      <c r="CE649" s="3"/>
      <c r="CF649" s="3"/>
      <c r="CG649" s="3" t="s">
        <v>112</v>
      </c>
      <c r="CI649" s="3" t="s">
        <v>97</v>
      </c>
      <c r="CJ649" s="3" t="s">
        <v>481</v>
      </c>
      <c r="CK649" s="3" t="s">
        <v>114</v>
      </c>
      <c r="CL649" s="3" t="s">
        <v>115</v>
      </c>
      <c r="CM649" s="3" t="s">
        <v>116</v>
      </c>
      <c r="CN649" t="s">
        <v>117</v>
      </c>
      <c r="CO649" s="3" t="s">
        <v>482</v>
      </c>
      <c r="CP649" s="3" t="s">
        <v>139</v>
      </c>
      <c r="CQ649" s="3" t="s">
        <v>120</v>
      </c>
      <c r="CR649" s="16" t="s">
        <v>121</v>
      </c>
      <c r="CS649" s="16" t="s">
        <v>122</v>
      </c>
      <c r="CT649" s="16" t="s">
        <v>167</v>
      </c>
      <c r="CU649" s="16" t="s">
        <v>385</v>
      </c>
      <c r="CV649" s="16" t="s">
        <v>657</v>
      </c>
    </row>
    <row r="650" spans="1:100" ht="15" customHeight="1">
      <c r="A650" t="s">
        <v>4199</v>
      </c>
      <c r="B650" s="3" t="s">
        <v>4200</v>
      </c>
      <c r="C650" s="16" t="s">
        <v>97</v>
      </c>
      <c r="D650" s="39" t="s">
        <v>4201</v>
      </c>
      <c r="E650" s="16" t="s">
        <v>97</v>
      </c>
      <c r="F650" s="131" t="s">
        <v>4202</v>
      </c>
      <c r="I650" s="100" t="s">
        <v>342</v>
      </c>
      <c r="J650" s="16" t="s">
        <v>101</v>
      </c>
      <c r="K650" s="16"/>
      <c r="L650" s="3" t="s">
        <v>102</v>
      </c>
      <c r="M650" s="3" t="s">
        <v>103</v>
      </c>
      <c r="N650" s="3" t="s">
        <v>104</v>
      </c>
      <c r="O650" s="16" t="s">
        <v>478</v>
      </c>
      <c r="P650" s="3" t="s">
        <v>4203</v>
      </c>
      <c r="Q650" s="3" t="s">
        <v>4203</v>
      </c>
      <c r="R650" s="3" t="s">
        <v>4203</v>
      </c>
      <c r="S650" t="s">
        <v>4199</v>
      </c>
      <c r="T650" s="130" t="s">
        <v>465</v>
      </c>
      <c r="U650" s="50">
        <v>3</v>
      </c>
      <c r="V650" s="54"/>
      <c r="W650" s="54"/>
      <c r="X650" s="59" t="s">
        <v>108</v>
      </c>
      <c r="Y650" s="93">
        <f>IF(AD650=0, 0, IF(OR(H650="", H650&lt;&gt;0), 1, 0))</f>
        <v>1</v>
      </c>
      <c r="Z650" s="3">
        <v>0</v>
      </c>
      <c r="AA650" s="3" t="s">
        <v>4204</v>
      </c>
      <c r="AD650" s="6">
        <f>ROUND((AG650*(1+AJ650)),2)</f>
        <v>79.989999999999995</v>
      </c>
      <c r="AE650" s="69">
        <v>91.147166249999998</v>
      </c>
      <c r="AF650" s="17">
        <f>(AE650*1)</f>
        <v>91.147166249999998</v>
      </c>
      <c r="AG650" s="6">
        <f>ROUND((AE650*AI650),2)</f>
        <v>59.25</v>
      </c>
      <c r="AH650" s="30" t="s">
        <v>110</v>
      </c>
      <c r="AI650" s="3">
        <v>0.65</v>
      </c>
      <c r="AJ650" s="18">
        <v>0.35</v>
      </c>
      <c r="AK650" s="6">
        <f>ROUND((AD650-(AD650*BG650)),2)</f>
        <v>79.19</v>
      </c>
      <c r="AL650" s="6">
        <f>ROUND((AD650-(AD650*BH650)),2)</f>
        <v>78.39</v>
      </c>
      <c r="AM650" s="6">
        <f>ROUND((AD650-(AD650*BI650)),2)</f>
        <v>77.59</v>
      </c>
      <c r="AN650" s="6">
        <f>ROUND((AD650-(AD650*BJ650)),2)</f>
        <v>77.59</v>
      </c>
      <c r="AO650" s="6">
        <f>ROUND((AD650-(AD650*BK650)),2)</f>
        <v>79.989999999999995</v>
      </c>
      <c r="BG650" s="12">
        <v>0.01</v>
      </c>
      <c r="BH650" s="12">
        <v>0.02</v>
      </c>
      <c r="BI650" s="12">
        <v>0.03</v>
      </c>
      <c r="BJ650" s="12">
        <v>0.03</v>
      </c>
      <c r="CC650" s="3" t="str">
        <f>IF(B650&lt;&gt;"",CONCATENATE(SUBSTITUTE(B650," ","-"),".jpg"),"")</f>
        <v>Allied-Moulded-AMP1084CCNLF.jpg</v>
      </c>
      <c r="CD650" s="16" t="s">
        <v>111</v>
      </c>
      <c r="CE650" s="3"/>
      <c r="CF650" s="3"/>
      <c r="CG650" s="3" t="s">
        <v>112</v>
      </c>
      <c r="CI650" s="3" t="s">
        <v>97</v>
      </c>
      <c r="CJ650" s="3" t="s">
        <v>481</v>
      </c>
      <c r="CK650" s="3" t="s">
        <v>114</v>
      </c>
      <c r="CL650" s="3" t="s">
        <v>115</v>
      </c>
      <c r="CM650" s="3" t="s">
        <v>116</v>
      </c>
      <c r="CN650" t="s">
        <v>117</v>
      </c>
      <c r="CO650" s="3" t="s">
        <v>482</v>
      </c>
      <c r="CP650" s="3" t="s">
        <v>139</v>
      </c>
      <c r="CQ650" s="3" t="s">
        <v>120</v>
      </c>
      <c r="CR650" s="16" t="s">
        <v>121</v>
      </c>
      <c r="CS650" s="16" t="s">
        <v>122</v>
      </c>
      <c r="CT650" s="16" t="s">
        <v>167</v>
      </c>
      <c r="CU650" s="16" t="s">
        <v>385</v>
      </c>
      <c r="CV650" s="16" t="s">
        <v>657</v>
      </c>
    </row>
    <row r="651" spans="1:100" ht="15" customHeight="1">
      <c r="A651" t="s">
        <v>4205</v>
      </c>
      <c r="B651" s="3" t="s">
        <v>4206</v>
      </c>
      <c r="C651" s="16" t="s">
        <v>97</v>
      </c>
      <c r="D651" s="39" t="s">
        <v>4207</v>
      </c>
      <c r="E651" s="16" t="s">
        <v>97</v>
      </c>
      <c r="F651" s="131" t="s">
        <v>4208</v>
      </c>
      <c r="I651" s="100" t="s">
        <v>342</v>
      </c>
      <c r="J651" s="16" t="s">
        <v>101</v>
      </c>
      <c r="K651" s="16"/>
      <c r="L651" s="3" t="s">
        <v>102</v>
      </c>
      <c r="M651" s="3" t="s">
        <v>103</v>
      </c>
      <c r="N651" s="3" t="s">
        <v>104</v>
      </c>
      <c r="O651" s="16" t="s">
        <v>478</v>
      </c>
      <c r="P651" s="2" t="s">
        <v>4209</v>
      </c>
      <c r="Q651" s="2" t="s">
        <v>4209</v>
      </c>
      <c r="R651" s="2" t="s">
        <v>4209</v>
      </c>
      <c r="S651" t="s">
        <v>4205</v>
      </c>
      <c r="T651" s="130" t="s">
        <v>465</v>
      </c>
      <c r="U651" s="50">
        <v>3</v>
      </c>
      <c r="V651" s="54"/>
      <c r="W651" s="54"/>
      <c r="X651" s="59" t="s">
        <v>108</v>
      </c>
      <c r="Y651" s="93">
        <f>IF(AD651=0, 0, IF(OR(H651="", H651&lt;&gt;0), 1, 0))</f>
        <v>1</v>
      </c>
      <c r="Z651" s="3">
        <v>0</v>
      </c>
      <c r="AA651" s="3" t="s">
        <v>4210</v>
      </c>
      <c r="AD651" s="6">
        <f>ROUND((AG651*(1+AJ651)),2)</f>
        <v>51.76</v>
      </c>
      <c r="AE651" s="69">
        <v>58.991589300000001</v>
      </c>
      <c r="AF651" s="17">
        <f>(AE651*1)</f>
        <v>58.991589300000001</v>
      </c>
      <c r="AG651" s="6">
        <f>ROUND((AE651*AI651),2)</f>
        <v>38.340000000000003</v>
      </c>
      <c r="AH651" s="30" t="s">
        <v>110</v>
      </c>
      <c r="AI651" s="3">
        <v>0.65</v>
      </c>
      <c r="AJ651" s="18">
        <v>0.35</v>
      </c>
      <c r="AK651" s="6">
        <f>ROUND((AD651-(AD651*BG651)),2)</f>
        <v>51.24</v>
      </c>
      <c r="AL651" s="6">
        <f>ROUND((AD651-(AD651*BH651)),2)</f>
        <v>50.72</v>
      </c>
      <c r="AM651" s="6">
        <f>ROUND((AD651-(AD651*BI651)),2)</f>
        <v>50.21</v>
      </c>
      <c r="AN651" s="6">
        <f>ROUND((AD651-(AD651*BJ651)),2)</f>
        <v>50.21</v>
      </c>
      <c r="AO651" s="6">
        <f>ROUND((AD651-(AD651*BK651)),2)</f>
        <v>51.76</v>
      </c>
      <c r="BG651" s="12">
        <v>0.01</v>
      </c>
      <c r="BH651" s="12">
        <v>0.02</v>
      </c>
      <c r="BI651" s="12">
        <v>0.03</v>
      </c>
      <c r="BJ651" s="12">
        <v>0.03</v>
      </c>
      <c r="CC651" s="3" t="str">
        <f>IF(B651&lt;&gt;"",CONCATENATE(SUBSTITUTE(B651," ","-"),".jpg"),"")</f>
        <v>Allied-Moulded-AMP1082.jpg</v>
      </c>
      <c r="CD651" s="16" t="s">
        <v>111</v>
      </c>
      <c r="CE651" s="3"/>
      <c r="CF651" s="3"/>
      <c r="CG651" s="3" t="s">
        <v>112</v>
      </c>
      <c r="CI651" s="3" t="s">
        <v>97</v>
      </c>
      <c r="CJ651" s="3" t="s">
        <v>481</v>
      </c>
      <c r="CK651" s="3" t="s">
        <v>114</v>
      </c>
      <c r="CL651" s="3" t="s">
        <v>115</v>
      </c>
      <c r="CM651" s="16"/>
      <c r="CN651" s="16" t="s">
        <v>349</v>
      </c>
      <c r="CO651" s="3" t="s">
        <v>482</v>
      </c>
      <c r="CP651" s="3" t="s">
        <v>139</v>
      </c>
      <c r="CQ651" s="3" t="s">
        <v>120</v>
      </c>
      <c r="CR651" s="3" t="s">
        <v>140</v>
      </c>
      <c r="CS651" s="3" t="s">
        <v>384</v>
      </c>
      <c r="CT651" s="16" t="s">
        <v>167</v>
      </c>
      <c r="CU651" s="16" t="s">
        <v>385</v>
      </c>
      <c r="CV651" s="16" t="s">
        <v>4132</v>
      </c>
    </row>
    <row r="652" spans="1:100" ht="15" customHeight="1">
      <c r="A652" t="s">
        <v>4211</v>
      </c>
      <c r="B652" s="3" t="s">
        <v>4212</v>
      </c>
      <c r="C652" s="16" t="s">
        <v>97</v>
      </c>
      <c r="D652" s="40" t="s">
        <v>4213</v>
      </c>
      <c r="E652" s="16" t="s">
        <v>97</v>
      </c>
      <c r="F652" s="131" t="s">
        <v>4214</v>
      </c>
      <c r="I652" s="100" t="s">
        <v>342</v>
      </c>
      <c r="J652" s="16" t="s">
        <v>101</v>
      </c>
      <c r="K652" s="16"/>
      <c r="L652" s="3" t="s">
        <v>102</v>
      </c>
      <c r="M652" s="3" t="s">
        <v>103</v>
      </c>
      <c r="N652" s="3" t="s">
        <v>104</v>
      </c>
      <c r="O652" s="16" t="s">
        <v>478</v>
      </c>
      <c r="P652" s="2" t="s">
        <v>4215</v>
      </c>
      <c r="Q652" s="2" t="s">
        <v>4215</v>
      </c>
      <c r="R652" s="2" t="s">
        <v>4215</v>
      </c>
      <c r="S652" t="s">
        <v>4211</v>
      </c>
      <c r="T652" s="130" t="s">
        <v>465</v>
      </c>
      <c r="U652" s="51">
        <v>3</v>
      </c>
      <c r="V652" s="58"/>
      <c r="W652" s="58"/>
      <c r="X652" s="59" t="s">
        <v>108</v>
      </c>
      <c r="Y652" s="93">
        <f>IF(AD652=0, 0, IF(OR(H652="", H652&lt;&gt;0), 1, 0))</f>
        <v>1</v>
      </c>
      <c r="Z652" s="3">
        <v>0</v>
      </c>
      <c r="AA652" s="3" t="s">
        <v>4216</v>
      </c>
      <c r="AD652" s="6">
        <f>ROUND((AG652*(1+AJ652)),2)</f>
        <v>54.54</v>
      </c>
      <c r="AE652" s="69">
        <v>62.151569549999998</v>
      </c>
      <c r="AF652" s="17">
        <f>(AE652*1)</f>
        <v>62.151569549999998</v>
      </c>
      <c r="AG652" s="6">
        <f>ROUND((AE652*AI652),2)</f>
        <v>40.4</v>
      </c>
      <c r="AH652" s="30" t="s">
        <v>110</v>
      </c>
      <c r="AI652" s="3">
        <v>0.65</v>
      </c>
      <c r="AJ652" s="18">
        <v>0.35</v>
      </c>
      <c r="AK652" s="6">
        <f>ROUND((AD652-(AD652*BG652)),2)</f>
        <v>53.99</v>
      </c>
      <c r="AL652" s="6">
        <f>ROUND((AD652-(AD652*BH652)),2)</f>
        <v>53.45</v>
      </c>
      <c r="AM652" s="6">
        <f>ROUND((AD652-(AD652*BI652)),2)</f>
        <v>52.9</v>
      </c>
      <c r="AN652" s="6">
        <f>ROUND((AD652-(AD652*BJ652)),2)</f>
        <v>52.9</v>
      </c>
      <c r="AO652" s="6">
        <f>ROUND((AD652-(AD652*BK652)),2)</f>
        <v>54.54</v>
      </c>
      <c r="BG652" s="12">
        <v>0.01</v>
      </c>
      <c r="BH652" s="12">
        <v>0.02</v>
      </c>
      <c r="BI652" s="12">
        <v>0.03</v>
      </c>
      <c r="BJ652" s="12">
        <v>0.03</v>
      </c>
      <c r="CC652" s="3" t="str">
        <f>IF(B652&lt;&gt;"",CONCATENATE(SUBSTITUTE(B652," ","-"),".jpg"),"")</f>
        <v>Allied-Moulded-AMP1082F.jpg</v>
      </c>
      <c r="CD652" s="16" t="s">
        <v>111</v>
      </c>
      <c r="CE652" s="3"/>
      <c r="CF652" s="3"/>
      <c r="CG652" s="3" t="s">
        <v>112</v>
      </c>
      <c r="CI652" s="3" t="s">
        <v>97</v>
      </c>
      <c r="CJ652" s="3" t="s">
        <v>481</v>
      </c>
      <c r="CK652" s="3" t="s">
        <v>114</v>
      </c>
      <c r="CL652" s="3" t="s">
        <v>115</v>
      </c>
      <c r="CM652" s="16"/>
      <c r="CN652" s="16" t="s">
        <v>349</v>
      </c>
      <c r="CO652" s="3" t="s">
        <v>482</v>
      </c>
      <c r="CP652" s="3" t="s">
        <v>139</v>
      </c>
      <c r="CQ652" s="3" t="s">
        <v>120</v>
      </c>
      <c r="CR652" s="3" t="s">
        <v>140</v>
      </c>
      <c r="CS652" s="3" t="s">
        <v>384</v>
      </c>
      <c r="CT652" s="16" t="s">
        <v>167</v>
      </c>
      <c r="CU652" s="16" t="s">
        <v>385</v>
      </c>
      <c r="CV652" s="16" t="s">
        <v>4132</v>
      </c>
    </row>
    <row r="653" spans="1:100" ht="15" customHeight="1">
      <c r="A653" t="s">
        <v>4217</v>
      </c>
      <c r="B653" s="3" t="s">
        <v>4218</v>
      </c>
      <c r="C653" s="16" t="s">
        <v>97</v>
      </c>
      <c r="D653" s="39" t="s">
        <v>4219</v>
      </c>
      <c r="E653" s="16" t="s">
        <v>97</v>
      </c>
      <c r="F653" s="131" t="s">
        <v>4220</v>
      </c>
      <c r="I653" s="100" t="s">
        <v>342</v>
      </c>
      <c r="J653" s="16" t="s">
        <v>101</v>
      </c>
      <c r="K653" s="16"/>
      <c r="L653" s="3" t="s">
        <v>102</v>
      </c>
      <c r="M653" s="3" t="s">
        <v>103</v>
      </c>
      <c r="N653" s="3" t="s">
        <v>104</v>
      </c>
      <c r="O653" s="16" t="s">
        <v>478</v>
      </c>
      <c r="P653" s="2" t="s">
        <v>4221</v>
      </c>
      <c r="Q653" s="2" t="s">
        <v>4221</v>
      </c>
      <c r="R653" s="2" t="s">
        <v>4221</v>
      </c>
      <c r="S653" t="s">
        <v>4217</v>
      </c>
      <c r="T653" s="130" t="s">
        <v>465</v>
      </c>
      <c r="U653" s="50">
        <v>3</v>
      </c>
      <c r="V653" s="54"/>
      <c r="W653" s="54"/>
      <c r="X653" s="59" t="s">
        <v>108</v>
      </c>
      <c r="Y653" s="93">
        <f>IF(AD653=0, 0, IF(OR(H653="", H653&lt;&gt;0), 1, 0))</f>
        <v>1</v>
      </c>
      <c r="Z653" s="3">
        <v>0</v>
      </c>
      <c r="AA653" s="3" t="s">
        <v>4222</v>
      </c>
      <c r="AD653" s="6">
        <f>ROUND((AG653*(1+AJ653)),2)</f>
        <v>54.24</v>
      </c>
      <c r="AE653" s="69">
        <v>61.81810424999999</v>
      </c>
      <c r="AF653" s="17">
        <f>(AE653*1)</f>
        <v>61.81810424999999</v>
      </c>
      <c r="AG653" s="6">
        <f>ROUND((AE653*AI653),2)</f>
        <v>40.18</v>
      </c>
      <c r="AH653" s="30" t="s">
        <v>110</v>
      </c>
      <c r="AI653" s="3">
        <v>0.65</v>
      </c>
      <c r="AJ653" s="18">
        <v>0.35</v>
      </c>
      <c r="AK653" s="6">
        <f>ROUND((AD653-(AD653*BG653)),2)</f>
        <v>53.7</v>
      </c>
      <c r="AL653" s="6">
        <f>ROUND((AD653-(AD653*BH653)),2)</f>
        <v>53.16</v>
      </c>
      <c r="AM653" s="6">
        <f>ROUND((AD653-(AD653*BI653)),2)</f>
        <v>52.61</v>
      </c>
      <c r="AN653" s="6">
        <f>ROUND((AD653-(AD653*BJ653)),2)</f>
        <v>52.61</v>
      </c>
      <c r="AO653" s="6">
        <f>ROUND((AD653-(AD653*BK653)),2)</f>
        <v>54.24</v>
      </c>
      <c r="BG653" s="12">
        <v>0.01</v>
      </c>
      <c r="BH653" s="12">
        <v>0.02</v>
      </c>
      <c r="BI653" s="12">
        <v>0.03</v>
      </c>
      <c r="BJ653" s="12">
        <v>0.03</v>
      </c>
      <c r="CC653" s="3" t="str">
        <f>IF(B653&lt;&gt;"",CONCATENATE(SUBSTITUTE(B653," ","-"),".jpg"),"")</f>
        <v>Allied-Moulded-AMP1084.jpg</v>
      </c>
      <c r="CD653" s="16" t="s">
        <v>111</v>
      </c>
      <c r="CE653" s="3"/>
      <c r="CF653" s="3"/>
      <c r="CG653" s="3" t="s">
        <v>112</v>
      </c>
      <c r="CI653" s="3" t="s">
        <v>97</v>
      </c>
      <c r="CJ653" s="3" t="s">
        <v>481</v>
      </c>
      <c r="CK653" s="3" t="s">
        <v>114</v>
      </c>
      <c r="CL653" s="3" t="s">
        <v>115</v>
      </c>
      <c r="CM653" s="16"/>
      <c r="CN653" s="16" t="s">
        <v>349</v>
      </c>
      <c r="CO653" s="3" t="s">
        <v>482</v>
      </c>
      <c r="CP653" s="3" t="s">
        <v>139</v>
      </c>
      <c r="CQ653" s="3" t="s">
        <v>120</v>
      </c>
      <c r="CR653" s="3" t="s">
        <v>140</v>
      </c>
      <c r="CS653" s="3" t="s">
        <v>384</v>
      </c>
      <c r="CT653" s="16" t="s">
        <v>167</v>
      </c>
      <c r="CU653" s="16" t="s">
        <v>385</v>
      </c>
      <c r="CV653" s="16" t="s">
        <v>657</v>
      </c>
    </row>
    <row r="654" spans="1:100" ht="15" customHeight="1">
      <c r="A654" t="s">
        <v>4223</v>
      </c>
      <c r="B654" s="3" t="s">
        <v>4224</v>
      </c>
      <c r="C654" s="16" t="s">
        <v>97</v>
      </c>
      <c r="D654" s="40" t="s">
        <v>4225</v>
      </c>
      <c r="E654" s="16" t="s">
        <v>97</v>
      </c>
      <c r="F654" s="131" t="s">
        <v>4226</v>
      </c>
      <c r="I654" s="100" t="s">
        <v>342</v>
      </c>
      <c r="J654" s="16" t="s">
        <v>101</v>
      </c>
      <c r="K654" s="16"/>
      <c r="L654" s="3" t="s">
        <v>102</v>
      </c>
      <c r="M654" s="3" t="s">
        <v>103</v>
      </c>
      <c r="N654" s="3" t="s">
        <v>104</v>
      </c>
      <c r="O654" s="16" t="s">
        <v>478</v>
      </c>
      <c r="P654" s="2" t="s">
        <v>4227</v>
      </c>
      <c r="Q654" s="2" t="s">
        <v>4227</v>
      </c>
      <c r="R654" s="2" t="s">
        <v>4227</v>
      </c>
      <c r="S654" t="s">
        <v>4223</v>
      </c>
      <c r="T654" s="130" t="s">
        <v>465</v>
      </c>
      <c r="U654" s="51">
        <v>3</v>
      </c>
      <c r="V654" s="58"/>
      <c r="W654" s="58"/>
      <c r="X654" s="59" t="s">
        <v>108</v>
      </c>
      <c r="Y654" s="93">
        <f>IF(AD654=0, 0, IF(OR(H654="", H654&lt;&gt;0), 1, 0))</f>
        <v>1</v>
      </c>
      <c r="Z654" s="3">
        <v>0</v>
      </c>
      <c r="AA654" s="3" t="s">
        <v>4228</v>
      </c>
      <c r="AD654" s="6">
        <f>ROUND((AG654*(1+AJ654)),2)</f>
        <v>56.94</v>
      </c>
      <c r="AE654" s="69">
        <v>64.898687700000011</v>
      </c>
      <c r="AF654" s="17">
        <f>(AE654*1)</f>
        <v>64.898687700000011</v>
      </c>
      <c r="AG654" s="6">
        <f>ROUND((AE654*AI654),2)</f>
        <v>42.18</v>
      </c>
      <c r="AH654" s="30" t="s">
        <v>110</v>
      </c>
      <c r="AI654" s="3">
        <v>0.65</v>
      </c>
      <c r="AJ654" s="18">
        <v>0.35</v>
      </c>
      <c r="AK654" s="6">
        <f>ROUND((AD654-(AD654*BG654)),2)</f>
        <v>56.37</v>
      </c>
      <c r="AL654" s="6">
        <f>ROUND((AD654-(AD654*BH654)),2)</f>
        <v>55.8</v>
      </c>
      <c r="AM654" s="6">
        <f>ROUND((AD654-(AD654*BI654)),2)</f>
        <v>55.23</v>
      </c>
      <c r="AN654" s="6">
        <f>ROUND((AD654-(AD654*BJ654)),2)</f>
        <v>55.23</v>
      </c>
      <c r="AO654" s="6">
        <f>ROUND((AD654-(AD654*BK654)),2)</f>
        <v>56.94</v>
      </c>
      <c r="BG654" s="12">
        <v>0.01</v>
      </c>
      <c r="BH654" s="12">
        <v>0.02</v>
      </c>
      <c r="BI654" s="12">
        <v>0.03</v>
      </c>
      <c r="BJ654" s="12">
        <v>0.03</v>
      </c>
      <c r="CC654" s="3" t="str">
        <f>IF(B654&lt;&gt;"",CONCATENATE(SUBSTITUTE(B654," ","-"),".jpg"),"")</f>
        <v>Allied-Moulded-AMP1084F.jpg</v>
      </c>
      <c r="CD654" s="16" t="s">
        <v>111</v>
      </c>
      <c r="CE654" s="3"/>
      <c r="CF654" s="3"/>
      <c r="CG654" s="3" t="s">
        <v>112</v>
      </c>
      <c r="CI654" s="3" t="s">
        <v>97</v>
      </c>
      <c r="CJ654" s="3" t="s">
        <v>481</v>
      </c>
      <c r="CK654" s="3" t="s">
        <v>114</v>
      </c>
      <c r="CL654" s="3" t="s">
        <v>115</v>
      </c>
      <c r="CM654" s="16"/>
      <c r="CN654" s="16" t="s">
        <v>349</v>
      </c>
      <c r="CO654" s="3" t="s">
        <v>482</v>
      </c>
      <c r="CP654" s="3" t="s">
        <v>139</v>
      </c>
      <c r="CQ654" s="3" t="s">
        <v>120</v>
      </c>
      <c r="CR654" s="3" t="s">
        <v>140</v>
      </c>
      <c r="CS654" s="3" t="s">
        <v>384</v>
      </c>
      <c r="CT654" s="16" t="s">
        <v>167</v>
      </c>
      <c r="CU654" s="16" t="s">
        <v>385</v>
      </c>
      <c r="CV654" s="16" t="s">
        <v>657</v>
      </c>
    </row>
    <row r="655" spans="1:100" ht="15" customHeight="1">
      <c r="A655" t="s">
        <v>4229</v>
      </c>
      <c r="B655" s="3" t="s">
        <v>4230</v>
      </c>
      <c r="C655" s="16" t="s">
        <v>97</v>
      </c>
      <c r="D655" s="40" t="s">
        <v>4231</v>
      </c>
      <c r="E655" s="16" t="s">
        <v>97</v>
      </c>
      <c r="F655" s="131" t="s">
        <v>4232</v>
      </c>
      <c r="I655" s="100" t="s">
        <v>342</v>
      </c>
      <c r="J655" s="16" t="s">
        <v>101</v>
      </c>
      <c r="K655" s="16"/>
      <c r="L655" s="3" t="s">
        <v>102</v>
      </c>
      <c r="M655" s="3" t="s">
        <v>103</v>
      </c>
      <c r="N655" s="3" t="s">
        <v>104</v>
      </c>
      <c r="O655" s="16" t="s">
        <v>478</v>
      </c>
      <c r="P655" s="2" t="s">
        <v>4233</v>
      </c>
      <c r="Q655" s="2" t="s">
        <v>4233</v>
      </c>
      <c r="R655" s="2" t="s">
        <v>4233</v>
      </c>
      <c r="S655" t="s">
        <v>4229</v>
      </c>
      <c r="T655" s="130" t="s">
        <v>465</v>
      </c>
      <c r="U655" s="51">
        <v>3</v>
      </c>
      <c r="V655" s="58"/>
      <c r="W655" s="58"/>
      <c r="X655" s="59" t="s">
        <v>108</v>
      </c>
      <c r="Y655" s="93">
        <f>IF(AD655=0, 0, IF(OR(H655="", H655&lt;&gt;0), 1, 0))</f>
        <v>1</v>
      </c>
      <c r="Z655" s="3">
        <v>0</v>
      </c>
      <c r="AA655" s="3" t="s">
        <v>4234</v>
      </c>
      <c r="AD655" s="6">
        <f>ROUND((AG655*(1+AJ655)),2)</f>
        <v>56.63</v>
      </c>
      <c r="AE655" s="69">
        <v>64.533465149999998</v>
      </c>
      <c r="AF655" s="17">
        <f>(AE655*1)</f>
        <v>64.533465149999998</v>
      </c>
      <c r="AG655" s="6">
        <f>ROUND((AE655*AI655),2)</f>
        <v>41.95</v>
      </c>
      <c r="AH655" s="30" t="s">
        <v>110</v>
      </c>
      <c r="AI655" s="3">
        <v>0.65</v>
      </c>
      <c r="AJ655" s="18">
        <v>0.35</v>
      </c>
      <c r="AK655" s="6">
        <f>ROUND((AD655-(AD655*BG655)),2)</f>
        <v>56.06</v>
      </c>
      <c r="AL655" s="6">
        <f>ROUND((AD655-(AD655*BH655)),2)</f>
        <v>55.5</v>
      </c>
      <c r="AM655" s="6">
        <f>ROUND((AD655-(AD655*BI655)),2)</f>
        <v>54.93</v>
      </c>
      <c r="AN655" s="6">
        <f>ROUND((AD655-(AD655*BJ655)),2)</f>
        <v>54.93</v>
      </c>
      <c r="AO655" s="6">
        <f>ROUND((AD655-(AD655*BK655)),2)</f>
        <v>56.63</v>
      </c>
      <c r="BG655" s="12">
        <v>0.01</v>
      </c>
      <c r="BH655" s="12">
        <v>0.02</v>
      </c>
      <c r="BI655" s="12">
        <v>0.03</v>
      </c>
      <c r="BJ655" s="12">
        <v>0.03</v>
      </c>
      <c r="CC655" s="3" t="str">
        <f>IF(B655&lt;&gt;"",CONCATENATE(SUBSTITUTE(B655," ","-"),".jpg"),"")</f>
        <v>Allied-Moulded-AMP1082H.jpg</v>
      </c>
      <c r="CD655" s="16" t="s">
        <v>111</v>
      </c>
      <c r="CE655" s="3"/>
      <c r="CF655" s="3"/>
      <c r="CG655" s="3" t="s">
        <v>112</v>
      </c>
      <c r="CI655" s="3" t="s">
        <v>97</v>
      </c>
      <c r="CJ655" s="3" t="s">
        <v>481</v>
      </c>
      <c r="CK655" s="3" t="s">
        <v>114</v>
      </c>
      <c r="CL655" s="3" t="s">
        <v>115</v>
      </c>
      <c r="CM655" s="3" t="s">
        <v>116</v>
      </c>
      <c r="CN655" s="16" t="s">
        <v>349</v>
      </c>
      <c r="CO655" s="3" t="s">
        <v>482</v>
      </c>
      <c r="CP655" s="3" t="s">
        <v>139</v>
      </c>
      <c r="CQ655" s="3" t="s">
        <v>120</v>
      </c>
      <c r="CR655" s="3" t="s">
        <v>140</v>
      </c>
      <c r="CS655" s="3" t="s">
        <v>384</v>
      </c>
      <c r="CT655" s="16" t="s">
        <v>167</v>
      </c>
      <c r="CU655" s="16" t="s">
        <v>385</v>
      </c>
      <c r="CV655" s="16" t="s">
        <v>4132</v>
      </c>
    </row>
    <row r="656" spans="1:100" ht="15" customHeight="1">
      <c r="A656" t="s">
        <v>4235</v>
      </c>
      <c r="B656" s="3" t="s">
        <v>4236</v>
      </c>
      <c r="C656" s="16" t="s">
        <v>97</v>
      </c>
      <c r="D656" s="39" t="s">
        <v>4237</v>
      </c>
      <c r="E656" s="16" t="s">
        <v>97</v>
      </c>
      <c r="F656" s="131" t="s">
        <v>4238</v>
      </c>
      <c r="I656" s="100" t="s">
        <v>342</v>
      </c>
      <c r="J656" s="16" t="s">
        <v>101</v>
      </c>
      <c r="K656" s="16"/>
      <c r="L656" s="3" t="s">
        <v>102</v>
      </c>
      <c r="M656" s="3" t="s">
        <v>103</v>
      </c>
      <c r="N656" s="3" t="s">
        <v>104</v>
      </c>
      <c r="O656" s="16" t="s">
        <v>478</v>
      </c>
      <c r="P656" s="2" t="s">
        <v>4239</v>
      </c>
      <c r="Q656" s="2" t="s">
        <v>4239</v>
      </c>
      <c r="R656" s="2" t="s">
        <v>4239</v>
      </c>
      <c r="S656" t="s">
        <v>4235</v>
      </c>
      <c r="T656" s="130" t="s">
        <v>465</v>
      </c>
      <c r="U656" s="54">
        <v>3</v>
      </c>
      <c r="V656" s="54"/>
      <c r="W656" s="54"/>
      <c r="X656" s="59" t="s">
        <v>108</v>
      </c>
      <c r="Y656" s="93">
        <f>IF(AD656=0, 0, IF(OR(H656="", H656&lt;&gt;0), 1, 0))</f>
        <v>1</v>
      </c>
      <c r="Z656" s="3">
        <v>0</v>
      </c>
      <c r="AA656" s="3" t="s">
        <v>4240</v>
      </c>
      <c r="AD656" s="6">
        <f>ROUND((AG656*(1+AJ656)),2)</f>
        <v>59.47</v>
      </c>
      <c r="AE656" s="74">
        <v>67.77284010000001</v>
      </c>
      <c r="AF656" s="17">
        <f>(AE656*1)</f>
        <v>67.77284010000001</v>
      </c>
      <c r="AG656" s="6">
        <f>ROUND((AE656*AI656),2)</f>
        <v>44.05</v>
      </c>
      <c r="AH656" s="30" t="s">
        <v>110</v>
      </c>
      <c r="AI656" s="3">
        <v>0.65</v>
      </c>
      <c r="AJ656" s="18">
        <v>0.35</v>
      </c>
      <c r="AK656" s="6">
        <f>ROUND((AD656-(AD656*BG656)),2)</f>
        <v>58.88</v>
      </c>
      <c r="AL656" s="6">
        <f>ROUND((AD656-(AD656*BH656)),2)</f>
        <v>58.28</v>
      </c>
      <c r="AM656" s="6">
        <f>ROUND((AD656-(AD656*BI656)),2)</f>
        <v>57.69</v>
      </c>
      <c r="AN656" s="6">
        <f>ROUND((AD656-(AD656*BJ656)),2)</f>
        <v>57.69</v>
      </c>
      <c r="AO656" s="6">
        <f>ROUND((AD656-(AD656*BK656)),2)</f>
        <v>59.47</v>
      </c>
      <c r="BG656" s="12">
        <v>0.01</v>
      </c>
      <c r="BH656" s="12">
        <v>0.02</v>
      </c>
      <c r="BI656" s="12">
        <v>0.03</v>
      </c>
      <c r="BJ656" s="12">
        <v>0.03</v>
      </c>
      <c r="CC656" s="3" t="str">
        <f>IF(B656&lt;&gt;"",CONCATENATE(SUBSTITUTE(B656," ","-"),".jpg"),"")</f>
        <v>Allied-Moulded-AMP1082HF.jpg</v>
      </c>
      <c r="CD656" s="16" t="s">
        <v>111</v>
      </c>
      <c r="CE656" s="3"/>
      <c r="CF656" s="3"/>
      <c r="CG656" s="3" t="s">
        <v>112</v>
      </c>
      <c r="CI656" s="3" t="s">
        <v>97</v>
      </c>
      <c r="CJ656" s="3" t="s">
        <v>481</v>
      </c>
      <c r="CK656" s="3" t="s">
        <v>114</v>
      </c>
      <c r="CL656" s="3" t="s">
        <v>115</v>
      </c>
      <c r="CM656" s="3" t="s">
        <v>116</v>
      </c>
      <c r="CN656" s="16" t="s">
        <v>349</v>
      </c>
      <c r="CO656" s="3" t="s">
        <v>482</v>
      </c>
      <c r="CP656" s="3" t="s">
        <v>139</v>
      </c>
      <c r="CQ656" s="3" t="s">
        <v>120</v>
      </c>
      <c r="CR656" s="3" t="s">
        <v>140</v>
      </c>
      <c r="CS656" s="3" t="s">
        <v>384</v>
      </c>
      <c r="CT656" s="16" t="s">
        <v>167</v>
      </c>
      <c r="CU656" s="16" t="s">
        <v>385</v>
      </c>
      <c r="CV656" s="16" t="s">
        <v>4132</v>
      </c>
    </row>
    <row r="657" spans="1:100" ht="15" customHeight="1">
      <c r="A657" t="s">
        <v>4241</v>
      </c>
      <c r="B657" s="3" t="s">
        <v>4242</v>
      </c>
      <c r="C657" s="16" t="s">
        <v>97</v>
      </c>
      <c r="D657" s="40" t="s">
        <v>4243</v>
      </c>
      <c r="E657" s="16" t="s">
        <v>97</v>
      </c>
      <c r="F657" s="131" t="s">
        <v>4244</v>
      </c>
      <c r="I657" s="100" t="s">
        <v>342</v>
      </c>
      <c r="J657" s="16" t="s">
        <v>101</v>
      </c>
      <c r="K657" s="16"/>
      <c r="L657" s="3" t="s">
        <v>102</v>
      </c>
      <c r="M657" s="3" t="s">
        <v>103</v>
      </c>
      <c r="N657" s="3" t="s">
        <v>104</v>
      </c>
      <c r="O657" s="16" t="s">
        <v>478</v>
      </c>
      <c r="P657" s="2" t="s">
        <v>4245</v>
      </c>
      <c r="Q657" s="2" t="s">
        <v>4245</v>
      </c>
      <c r="R657" s="2" t="s">
        <v>4245</v>
      </c>
      <c r="S657" t="s">
        <v>4241</v>
      </c>
      <c r="T657" s="130" t="s">
        <v>465</v>
      </c>
      <c r="U657" s="58">
        <v>3</v>
      </c>
      <c r="V657" s="58"/>
      <c r="W657" s="58"/>
      <c r="X657" s="59" t="s">
        <v>108</v>
      </c>
      <c r="Y657" s="93">
        <f>IF(AD657=0, 0, IF(OR(H657="", H657&lt;&gt;0), 1, 0))</f>
        <v>1</v>
      </c>
      <c r="Z657" s="3">
        <v>0</v>
      </c>
      <c r="AA657" s="3" t="s">
        <v>4246</v>
      </c>
      <c r="AD657" s="6">
        <f>ROUND((AG657*(1+AJ657)),2)</f>
        <v>60.13</v>
      </c>
      <c r="AE657" s="74">
        <v>68.519167499999995</v>
      </c>
      <c r="AF657" s="17">
        <f>(AE657*1)</f>
        <v>68.519167499999995</v>
      </c>
      <c r="AG657" s="6">
        <f>ROUND((AE657*AI657),2)</f>
        <v>44.54</v>
      </c>
      <c r="AH657" s="30" t="s">
        <v>110</v>
      </c>
      <c r="AI657" s="3">
        <v>0.65</v>
      </c>
      <c r="AJ657" s="18">
        <v>0.35</v>
      </c>
      <c r="AK657" s="6">
        <f>ROUND((AD657-(AD657*BG657)),2)</f>
        <v>59.53</v>
      </c>
      <c r="AL657" s="6">
        <f>ROUND((AD657-(AD657*BH657)),2)</f>
        <v>58.93</v>
      </c>
      <c r="AM657" s="6">
        <f>ROUND((AD657-(AD657*BI657)),2)</f>
        <v>58.33</v>
      </c>
      <c r="AN657" s="6">
        <f>ROUND((AD657-(AD657*BJ657)),2)</f>
        <v>58.33</v>
      </c>
      <c r="AO657" s="6">
        <f>ROUND((AD657-(AD657*BK657)),2)</f>
        <v>60.13</v>
      </c>
      <c r="BG657" s="12">
        <v>0.01</v>
      </c>
      <c r="BH657" s="12">
        <v>0.02</v>
      </c>
      <c r="BI657" s="12">
        <v>0.03</v>
      </c>
      <c r="BJ657" s="12">
        <v>0.03</v>
      </c>
      <c r="CC657" s="3" t="str">
        <f>IF(B657&lt;&gt;"",CONCATENATE(SUBSTITUTE(B657," ","-"),".jpg"),"")</f>
        <v>Allied-Moulded-AMP1084H.jpg</v>
      </c>
      <c r="CD657" s="16" t="s">
        <v>111</v>
      </c>
      <c r="CE657" s="3"/>
      <c r="CF657" s="3"/>
      <c r="CG657" s="3" t="s">
        <v>112</v>
      </c>
      <c r="CI657" s="3" t="s">
        <v>97</v>
      </c>
      <c r="CJ657" s="3" t="s">
        <v>481</v>
      </c>
      <c r="CK657" s="3" t="s">
        <v>114</v>
      </c>
      <c r="CL657" s="3" t="s">
        <v>115</v>
      </c>
      <c r="CM657" s="3" t="s">
        <v>116</v>
      </c>
      <c r="CN657" s="16" t="s">
        <v>349</v>
      </c>
      <c r="CO657" s="3" t="s">
        <v>482</v>
      </c>
      <c r="CP657" s="3" t="s">
        <v>139</v>
      </c>
      <c r="CQ657" s="3" t="s">
        <v>120</v>
      </c>
      <c r="CR657" s="3" t="s">
        <v>140</v>
      </c>
      <c r="CS657" s="3" t="s">
        <v>384</v>
      </c>
      <c r="CT657" s="16" t="s">
        <v>167</v>
      </c>
      <c r="CU657" s="16" t="s">
        <v>385</v>
      </c>
      <c r="CV657" s="16" t="s">
        <v>657</v>
      </c>
    </row>
    <row r="658" spans="1:100" ht="15" customHeight="1">
      <c r="A658" t="s">
        <v>4247</v>
      </c>
      <c r="B658" s="3" t="s">
        <v>4248</v>
      </c>
      <c r="C658" s="16" t="s">
        <v>97</v>
      </c>
      <c r="D658" s="39" t="s">
        <v>4249</v>
      </c>
      <c r="E658" s="16" t="s">
        <v>97</v>
      </c>
      <c r="F658" s="131" t="s">
        <v>4250</v>
      </c>
      <c r="I658" s="100" t="s">
        <v>342</v>
      </c>
      <c r="J658" s="16" t="s">
        <v>101</v>
      </c>
      <c r="K658" s="16"/>
      <c r="L658" s="3" t="s">
        <v>102</v>
      </c>
      <c r="M658" s="3" t="s">
        <v>103</v>
      </c>
      <c r="N658" s="3" t="s">
        <v>104</v>
      </c>
      <c r="O658" s="16" t="s">
        <v>478</v>
      </c>
      <c r="P658" s="2" t="s">
        <v>4251</v>
      </c>
      <c r="Q658" s="2" t="s">
        <v>4251</v>
      </c>
      <c r="R658" s="2" t="s">
        <v>4251</v>
      </c>
      <c r="S658" t="s">
        <v>4247</v>
      </c>
      <c r="T658" s="130" t="s">
        <v>465</v>
      </c>
      <c r="U658" s="54">
        <v>3</v>
      </c>
      <c r="V658" s="54"/>
      <c r="W658" s="54"/>
      <c r="X658" s="59" t="s">
        <v>108</v>
      </c>
      <c r="Y658" s="93">
        <f>IF(AD658=0, 0, IF(OR(H658="", H658&lt;&gt;0), 1, 0))</f>
        <v>1</v>
      </c>
      <c r="Z658" s="3">
        <v>0</v>
      </c>
      <c r="AA658" s="3" t="s">
        <v>4252</v>
      </c>
      <c r="AD658" s="6">
        <f>ROUND((AG658*(1+AJ658)),2)</f>
        <v>63.13</v>
      </c>
      <c r="AE658" s="74">
        <v>71.933217299999995</v>
      </c>
      <c r="AF658" s="17">
        <f>(AE658*1)</f>
        <v>71.933217299999995</v>
      </c>
      <c r="AG658" s="6">
        <f>ROUND((AE658*AI658),2)</f>
        <v>46.76</v>
      </c>
      <c r="AH658" s="30" t="s">
        <v>110</v>
      </c>
      <c r="AI658" s="3">
        <v>0.65</v>
      </c>
      <c r="AJ658" s="18">
        <v>0.35</v>
      </c>
      <c r="AK658" s="6">
        <f>ROUND((AD658-(AD658*BG658)),2)</f>
        <v>62.5</v>
      </c>
      <c r="AL658" s="6">
        <f>ROUND((AD658-(AD658*BH658)),2)</f>
        <v>61.87</v>
      </c>
      <c r="AM658" s="6">
        <f>ROUND((AD658-(AD658*BI658)),2)</f>
        <v>61.24</v>
      </c>
      <c r="AN658" s="6">
        <f>ROUND((AD658-(AD658*BJ658)),2)</f>
        <v>61.24</v>
      </c>
      <c r="AO658" s="6">
        <f>ROUND((AD658-(AD658*BK658)),2)</f>
        <v>63.13</v>
      </c>
      <c r="BG658" s="12">
        <v>0.01</v>
      </c>
      <c r="BH658" s="12">
        <v>0.02</v>
      </c>
      <c r="BI658" s="12">
        <v>0.03</v>
      </c>
      <c r="BJ658" s="12">
        <v>0.03</v>
      </c>
      <c r="CC658" s="3" t="str">
        <f>IF(B658&lt;&gt;"",CONCATENATE(SUBSTITUTE(B658," ","-"),".jpg"),"")</f>
        <v>Allied-Moulded-AMP1084HF.jpg</v>
      </c>
      <c r="CD658" s="16" t="s">
        <v>111</v>
      </c>
      <c r="CE658" s="3"/>
      <c r="CF658" s="3"/>
      <c r="CG658" s="3" t="s">
        <v>112</v>
      </c>
      <c r="CI658" s="3" t="s">
        <v>97</v>
      </c>
      <c r="CJ658" s="3" t="s">
        <v>481</v>
      </c>
      <c r="CK658" s="3" t="s">
        <v>114</v>
      </c>
      <c r="CL658" s="3" t="s">
        <v>115</v>
      </c>
      <c r="CM658" s="3" t="s">
        <v>116</v>
      </c>
      <c r="CN658" s="16" t="s">
        <v>349</v>
      </c>
      <c r="CO658" s="3" t="s">
        <v>482</v>
      </c>
      <c r="CP658" s="3" t="s">
        <v>139</v>
      </c>
      <c r="CQ658" s="3" t="s">
        <v>120</v>
      </c>
      <c r="CR658" s="3" t="s">
        <v>140</v>
      </c>
      <c r="CS658" s="3" t="s">
        <v>384</v>
      </c>
      <c r="CT658" s="16" t="s">
        <v>167</v>
      </c>
      <c r="CU658" s="16" t="s">
        <v>385</v>
      </c>
      <c r="CV658" s="16" t="s">
        <v>657</v>
      </c>
    </row>
    <row r="659" spans="1:100" ht="15" customHeight="1">
      <c r="A659" t="s">
        <v>4253</v>
      </c>
      <c r="B659" s="3" t="s">
        <v>4254</v>
      </c>
      <c r="C659" s="16" t="s">
        <v>97</v>
      </c>
      <c r="D659" s="39" t="s">
        <v>4255</v>
      </c>
      <c r="E659" s="16" t="s">
        <v>97</v>
      </c>
      <c r="F659" s="131" t="s">
        <v>4256</v>
      </c>
      <c r="I659" s="100" t="s">
        <v>342</v>
      </c>
      <c r="J659" s="16" t="s">
        <v>101</v>
      </c>
      <c r="K659" s="16"/>
      <c r="L659" s="3" t="s">
        <v>102</v>
      </c>
      <c r="M659" s="3" t="s">
        <v>103</v>
      </c>
      <c r="N659" s="3" t="s">
        <v>104</v>
      </c>
      <c r="O659" s="16" t="s">
        <v>478</v>
      </c>
      <c r="P659" s="2" t="s">
        <v>4257</v>
      </c>
      <c r="Q659" s="2" t="s">
        <v>4257</v>
      </c>
      <c r="R659" s="2" t="s">
        <v>4257</v>
      </c>
      <c r="S659" t="s">
        <v>4253</v>
      </c>
      <c r="T659" s="130" t="s">
        <v>465</v>
      </c>
      <c r="U659" s="54">
        <v>3</v>
      </c>
      <c r="V659" s="54"/>
      <c r="W659" s="54"/>
      <c r="X659" s="59" t="s">
        <v>108</v>
      </c>
      <c r="Y659" s="93">
        <f>IF(AD659=0, 0, IF(OR(H659="", H659&lt;&gt;0), 1, 0))</f>
        <v>1</v>
      </c>
      <c r="Z659" s="3">
        <v>0</v>
      </c>
      <c r="AA659" s="3" t="s">
        <v>4258</v>
      </c>
      <c r="AD659" s="6">
        <f>ROUND((AG659*(1+AJ659)),2)</f>
        <v>68.38</v>
      </c>
      <c r="AE659" s="74">
        <v>77.9197104</v>
      </c>
      <c r="AF659" s="17">
        <f>(AE659*1)</f>
        <v>77.9197104</v>
      </c>
      <c r="AG659" s="6">
        <f>ROUND((AE659*AI659),2)</f>
        <v>50.65</v>
      </c>
      <c r="AH659" s="30" t="s">
        <v>110</v>
      </c>
      <c r="AI659" s="3">
        <v>0.65</v>
      </c>
      <c r="AJ659" s="18">
        <v>0.35</v>
      </c>
      <c r="AK659" s="6">
        <f>ROUND((AD659-(AD659*BG659)),2)</f>
        <v>67.7</v>
      </c>
      <c r="AL659" s="6">
        <f>ROUND((AD659-(AD659*BH659)),2)</f>
        <v>67.010000000000005</v>
      </c>
      <c r="AM659" s="6">
        <f>ROUND((AD659-(AD659*BI659)),2)</f>
        <v>66.33</v>
      </c>
      <c r="AN659" s="6">
        <f>ROUND((AD659-(AD659*BJ659)),2)</f>
        <v>66.33</v>
      </c>
      <c r="AO659" s="6">
        <f>ROUND((AD659-(AD659*BK659)),2)</f>
        <v>68.38</v>
      </c>
      <c r="BG659" s="12">
        <v>0.01</v>
      </c>
      <c r="BH659" s="12">
        <v>0.02</v>
      </c>
      <c r="BI659" s="12">
        <v>0.03</v>
      </c>
      <c r="BJ659" s="12">
        <v>0.03</v>
      </c>
      <c r="CC659" s="3" t="str">
        <f>IF(B659&lt;&gt;"",CONCATENATE(SUBSTITUTE(B659," ","-"),".jpg"),"")</f>
        <v>Allied-Moulded-AMP1082L.jpg</v>
      </c>
      <c r="CD659" s="16" t="s">
        <v>111</v>
      </c>
      <c r="CE659" s="3"/>
      <c r="CF659" s="3"/>
      <c r="CG659" s="3" t="s">
        <v>112</v>
      </c>
      <c r="CI659" s="3" t="s">
        <v>97</v>
      </c>
      <c r="CJ659" s="3" t="s">
        <v>481</v>
      </c>
      <c r="CK659" s="3" t="s">
        <v>114</v>
      </c>
      <c r="CL659" s="3" t="s">
        <v>115</v>
      </c>
      <c r="CM659" s="3" t="s">
        <v>116</v>
      </c>
      <c r="CN659" t="s">
        <v>117</v>
      </c>
      <c r="CO659" s="3" t="s">
        <v>482</v>
      </c>
      <c r="CP659" s="3" t="s">
        <v>139</v>
      </c>
      <c r="CQ659" s="3" t="s">
        <v>120</v>
      </c>
      <c r="CR659" s="3" t="s">
        <v>140</v>
      </c>
      <c r="CS659" s="16" t="s">
        <v>122</v>
      </c>
      <c r="CT659" s="16" t="s">
        <v>167</v>
      </c>
      <c r="CU659" s="16" t="s">
        <v>385</v>
      </c>
      <c r="CV659" s="16" t="s">
        <v>4132</v>
      </c>
    </row>
    <row r="660" spans="1:100" ht="15" customHeight="1">
      <c r="A660" t="s">
        <v>4259</v>
      </c>
      <c r="B660" s="3" t="s">
        <v>4260</v>
      </c>
      <c r="C660" s="16" t="s">
        <v>97</v>
      </c>
      <c r="D660" s="40" t="s">
        <v>4261</v>
      </c>
      <c r="E660" s="16" t="s">
        <v>97</v>
      </c>
      <c r="F660" s="131" t="s">
        <v>4262</v>
      </c>
      <c r="I660" s="100" t="s">
        <v>342</v>
      </c>
      <c r="J660" s="16" t="s">
        <v>101</v>
      </c>
      <c r="K660" s="16"/>
      <c r="L660" s="3" t="s">
        <v>102</v>
      </c>
      <c r="M660" s="3" t="s">
        <v>103</v>
      </c>
      <c r="N660" s="3" t="s">
        <v>104</v>
      </c>
      <c r="O660" s="16" t="s">
        <v>478</v>
      </c>
      <c r="P660" s="2" t="s">
        <v>4263</v>
      </c>
      <c r="Q660" s="2" t="s">
        <v>4263</v>
      </c>
      <c r="R660" s="2" t="s">
        <v>4263</v>
      </c>
      <c r="S660" t="s">
        <v>4259</v>
      </c>
      <c r="T660" s="130" t="s">
        <v>465</v>
      </c>
      <c r="U660" s="58">
        <v>3</v>
      </c>
      <c r="V660" s="58"/>
      <c r="W660" s="58"/>
      <c r="X660" s="59" t="s">
        <v>108</v>
      </c>
      <c r="Y660" s="93">
        <f>IF(AD660=0, 0, IF(OR(H660="", H660&lt;&gt;0), 1, 0))</f>
        <v>1</v>
      </c>
      <c r="Z660" s="3">
        <v>0</v>
      </c>
      <c r="AA660" s="3" t="s">
        <v>4264</v>
      </c>
      <c r="AD660" s="6">
        <f>ROUND((AG660*(1+AJ660)),2)</f>
        <v>71.97</v>
      </c>
      <c r="AE660" s="74">
        <v>82.016569950000004</v>
      </c>
      <c r="AF660" s="17">
        <f>(AE660*1)</f>
        <v>82.016569950000004</v>
      </c>
      <c r="AG660" s="6">
        <f>ROUND((AE660*AI660),2)</f>
        <v>53.31</v>
      </c>
      <c r="AH660" s="30" t="s">
        <v>110</v>
      </c>
      <c r="AI660" s="3">
        <v>0.65</v>
      </c>
      <c r="AJ660" s="18">
        <v>0.35</v>
      </c>
      <c r="AK660" s="6">
        <f>ROUND((AD660-(AD660*BG660)),2)</f>
        <v>71.25</v>
      </c>
      <c r="AL660" s="6">
        <f>ROUND((AD660-(AD660*BH660)),2)</f>
        <v>70.53</v>
      </c>
      <c r="AM660" s="6">
        <f>ROUND((AD660-(AD660*BI660)),2)</f>
        <v>69.81</v>
      </c>
      <c r="AN660" s="6">
        <f>ROUND((AD660-(AD660*BJ660)),2)</f>
        <v>69.81</v>
      </c>
      <c r="AO660" s="6">
        <f>ROUND((AD660-(AD660*BK660)),2)</f>
        <v>71.97</v>
      </c>
      <c r="BG660" s="12">
        <v>0.01</v>
      </c>
      <c r="BH660" s="12">
        <v>0.02</v>
      </c>
      <c r="BI660" s="12">
        <v>0.03</v>
      </c>
      <c r="BJ660" s="12">
        <v>0.03</v>
      </c>
      <c r="CC660" s="3" t="str">
        <f>IF(B660&lt;&gt;"",CONCATENATE(SUBSTITUTE(B660," ","-"),".jpg"),"")</f>
        <v>Allied-Moulded-AMP1082LF.jpg</v>
      </c>
      <c r="CD660" s="16" t="s">
        <v>111</v>
      </c>
      <c r="CE660" s="3"/>
      <c r="CF660" s="3"/>
      <c r="CG660" s="3" t="s">
        <v>112</v>
      </c>
      <c r="CI660" s="3" t="s">
        <v>97</v>
      </c>
      <c r="CJ660" s="3" t="s">
        <v>481</v>
      </c>
      <c r="CK660" s="3" t="s">
        <v>114</v>
      </c>
      <c r="CL660" s="3" t="s">
        <v>115</v>
      </c>
      <c r="CM660" s="3" t="s">
        <v>116</v>
      </c>
      <c r="CN660" t="s">
        <v>117</v>
      </c>
      <c r="CO660" s="3" t="s">
        <v>482</v>
      </c>
      <c r="CP660" s="3" t="s">
        <v>139</v>
      </c>
      <c r="CQ660" s="3" t="s">
        <v>120</v>
      </c>
      <c r="CR660" s="3" t="s">
        <v>140</v>
      </c>
      <c r="CS660" s="16" t="s">
        <v>122</v>
      </c>
      <c r="CT660" s="16" t="s">
        <v>167</v>
      </c>
      <c r="CU660" s="16" t="s">
        <v>385</v>
      </c>
      <c r="CV660" s="16" t="s">
        <v>4132</v>
      </c>
    </row>
    <row r="661" spans="1:100" ht="15" customHeight="1">
      <c r="A661" t="s">
        <v>4265</v>
      </c>
      <c r="B661" s="3" t="s">
        <v>4266</v>
      </c>
      <c r="C661" s="16" t="s">
        <v>97</v>
      </c>
      <c r="D661" s="39" t="s">
        <v>4267</v>
      </c>
      <c r="E661" s="16" t="s">
        <v>97</v>
      </c>
      <c r="F661" s="131" t="s">
        <v>4268</v>
      </c>
      <c r="I661" s="100" t="s">
        <v>342</v>
      </c>
      <c r="J661" s="16" t="s">
        <v>101</v>
      </c>
      <c r="K661" s="16"/>
      <c r="L661" s="3" t="s">
        <v>102</v>
      </c>
      <c r="M661" s="3" t="s">
        <v>103</v>
      </c>
      <c r="N661" s="3" t="s">
        <v>104</v>
      </c>
      <c r="O661" s="16" t="s">
        <v>478</v>
      </c>
      <c r="P661" s="2" t="s">
        <v>4269</v>
      </c>
      <c r="Q661" s="2" t="s">
        <v>4269</v>
      </c>
      <c r="R661" s="2" t="s">
        <v>4269</v>
      </c>
      <c r="S661" t="s">
        <v>4265</v>
      </c>
      <c r="T661" s="130" t="s">
        <v>465</v>
      </c>
      <c r="U661" s="54">
        <v>3</v>
      </c>
      <c r="V661" s="54"/>
      <c r="W661" s="54"/>
      <c r="X661" s="59" t="s">
        <v>108</v>
      </c>
      <c r="Y661" s="93">
        <f>IF(AD661=0, 0, IF(OR(H661="", H661&lt;&gt;0), 1, 0))</f>
        <v>1</v>
      </c>
      <c r="Z661" s="3">
        <v>0</v>
      </c>
      <c r="AA661" s="3" t="s">
        <v>4270</v>
      </c>
      <c r="AD661" s="6">
        <f>ROUND((AG661*(1+AJ661)),2)</f>
        <v>72.89</v>
      </c>
      <c r="AE661" s="74">
        <v>83.064603300000002</v>
      </c>
      <c r="AF661" s="17">
        <f>(AE661*1)</f>
        <v>83.064603300000002</v>
      </c>
      <c r="AG661" s="6">
        <f>ROUND((AE661*AI661),2)</f>
        <v>53.99</v>
      </c>
      <c r="AH661" s="30" t="s">
        <v>110</v>
      </c>
      <c r="AI661" s="3">
        <v>0.65</v>
      </c>
      <c r="AJ661" s="18">
        <v>0.35</v>
      </c>
      <c r="AK661" s="6">
        <f>ROUND((AD661-(AD661*BG661)),2)</f>
        <v>72.16</v>
      </c>
      <c r="AL661" s="6">
        <f>ROUND((AD661-(AD661*BH661)),2)</f>
        <v>71.430000000000007</v>
      </c>
      <c r="AM661" s="6">
        <f>ROUND((AD661-(AD661*BI661)),2)</f>
        <v>70.7</v>
      </c>
      <c r="AN661" s="6">
        <f>ROUND((AD661-(AD661*BJ661)),2)</f>
        <v>70.7</v>
      </c>
      <c r="AO661" s="6">
        <f>ROUND((AD661-(AD661*BK661)),2)</f>
        <v>72.89</v>
      </c>
      <c r="BG661" s="12">
        <v>0.01</v>
      </c>
      <c r="BH661" s="12">
        <v>0.02</v>
      </c>
      <c r="BI661" s="12">
        <v>0.03</v>
      </c>
      <c r="BJ661" s="12">
        <v>0.03</v>
      </c>
      <c r="CC661" s="3" t="str">
        <f>IF(B661&lt;&gt;"",CONCATENATE(SUBSTITUTE(B661," ","-"),".jpg"),"")</f>
        <v>Allied-Moulded-AMP1084L.jpg</v>
      </c>
      <c r="CD661" s="16" t="s">
        <v>111</v>
      </c>
      <c r="CE661" s="3"/>
      <c r="CF661" s="3"/>
      <c r="CG661" s="3" t="s">
        <v>112</v>
      </c>
      <c r="CI661" s="3" t="s">
        <v>97</v>
      </c>
      <c r="CJ661" s="3" t="s">
        <v>481</v>
      </c>
      <c r="CK661" s="3" t="s">
        <v>114</v>
      </c>
      <c r="CL661" s="3" t="s">
        <v>115</v>
      </c>
      <c r="CM661" s="3" t="s">
        <v>116</v>
      </c>
      <c r="CN661" t="s">
        <v>117</v>
      </c>
      <c r="CO661" s="3" t="s">
        <v>482</v>
      </c>
      <c r="CP661" s="3" t="s">
        <v>139</v>
      </c>
      <c r="CQ661" s="3" t="s">
        <v>120</v>
      </c>
      <c r="CR661" s="3" t="s">
        <v>140</v>
      </c>
      <c r="CS661" s="16" t="s">
        <v>122</v>
      </c>
      <c r="CT661" s="16" t="s">
        <v>167</v>
      </c>
      <c r="CU661" s="16" t="s">
        <v>385</v>
      </c>
      <c r="CV661" s="16" t="s">
        <v>657</v>
      </c>
    </row>
    <row r="662" spans="1:100" ht="15" customHeight="1">
      <c r="A662" t="s">
        <v>4271</v>
      </c>
      <c r="B662" s="3" t="s">
        <v>4272</v>
      </c>
      <c r="C662" s="16" t="s">
        <v>97</v>
      </c>
      <c r="D662" s="40" t="s">
        <v>4273</v>
      </c>
      <c r="E662" s="16" t="s">
        <v>97</v>
      </c>
      <c r="F662" s="131" t="s">
        <v>4274</v>
      </c>
      <c r="I662" s="100" t="s">
        <v>342</v>
      </c>
      <c r="J662" s="16" t="s">
        <v>101</v>
      </c>
      <c r="K662" s="16"/>
      <c r="L662" s="3" t="s">
        <v>102</v>
      </c>
      <c r="M662" s="3" t="s">
        <v>103</v>
      </c>
      <c r="N662" s="3" t="s">
        <v>104</v>
      </c>
      <c r="O662" s="16" t="s">
        <v>478</v>
      </c>
      <c r="P662" s="2" t="s">
        <v>4275</v>
      </c>
      <c r="Q662" s="2" t="s">
        <v>4275</v>
      </c>
      <c r="R662" s="2" t="s">
        <v>4275</v>
      </c>
      <c r="S662" t="s">
        <v>4271</v>
      </c>
      <c r="T662" s="130" t="s">
        <v>465</v>
      </c>
      <c r="U662" s="58">
        <v>3</v>
      </c>
      <c r="V662" s="58"/>
      <c r="W662" s="58"/>
      <c r="X662" s="59" t="s">
        <v>108</v>
      </c>
      <c r="Y662" s="93">
        <f>IF(AD662=0, 0, IF(OR(H662="", H662&lt;&gt;0), 1, 0))</f>
        <v>1</v>
      </c>
      <c r="Z662" s="3">
        <v>0</v>
      </c>
      <c r="AA662" s="3" t="s">
        <v>4276</v>
      </c>
      <c r="AD662" s="6">
        <f>ROUND((AG662*(1+AJ662)),2)</f>
        <v>76.55</v>
      </c>
      <c r="AE662" s="74">
        <v>87.224979450000006</v>
      </c>
      <c r="AF662" s="17">
        <f>(AE662*1)</f>
        <v>87.224979450000006</v>
      </c>
      <c r="AG662" s="6">
        <f>ROUND((AE662*AI662),2)</f>
        <v>56.7</v>
      </c>
      <c r="AH662" s="30" t="s">
        <v>110</v>
      </c>
      <c r="AI662" s="3">
        <v>0.65</v>
      </c>
      <c r="AJ662" s="18">
        <v>0.35</v>
      </c>
      <c r="AK662" s="6">
        <f>ROUND((AD662-(AD662*BG662)),2)</f>
        <v>75.78</v>
      </c>
      <c r="AL662" s="6">
        <f>ROUND((AD662-(AD662*BH662)),2)</f>
        <v>75.02</v>
      </c>
      <c r="AM662" s="6">
        <f>ROUND((AD662-(AD662*BI662)),2)</f>
        <v>74.25</v>
      </c>
      <c r="AN662" s="6">
        <f>ROUND((AD662-(AD662*BJ662)),2)</f>
        <v>74.25</v>
      </c>
      <c r="AO662" s="6">
        <f>ROUND((AD662-(AD662*BK662)),2)</f>
        <v>76.55</v>
      </c>
      <c r="BG662" s="12">
        <v>0.01</v>
      </c>
      <c r="BH662" s="12">
        <v>0.02</v>
      </c>
      <c r="BI662" s="12">
        <v>0.03</v>
      </c>
      <c r="BJ662" s="12">
        <v>0.03</v>
      </c>
      <c r="CC662" s="3" t="str">
        <f>IF(B662&lt;&gt;"",CONCATENATE(SUBSTITUTE(B662," ","-"),".jpg"),"")</f>
        <v>Allied-Moulded-AMP1084LF.jpg</v>
      </c>
      <c r="CD662" s="16" t="s">
        <v>111</v>
      </c>
      <c r="CE662" s="3"/>
      <c r="CF662" s="3"/>
      <c r="CG662" s="3" t="s">
        <v>112</v>
      </c>
      <c r="CI662" s="3" t="s">
        <v>97</v>
      </c>
      <c r="CJ662" s="3" t="s">
        <v>481</v>
      </c>
      <c r="CK662" s="3" t="s">
        <v>114</v>
      </c>
      <c r="CL662" s="3" t="s">
        <v>115</v>
      </c>
      <c r="CM662" s="3" t="s">
        <v>116</v>
      </c>
      <c r="CN662" t="s">
        <v>117</v>
      </c>
      <c r="CO662" s="3" t="s">
        <v>482</v>
      </c>
      <c r="CP662" s="3" t="s">
        <v>139</v>
      </c>
      <c r="CQ662" s="3" t="s">
        <v>120</v>
      </c>
      <c r="CR662" s="3" t="s">
        <v>140</v>
      </c>
      <c r="CS662" s="16" t="s">
        <v>122</v>
      </c>
      <c r="CT662" s="16" t="s">
        <v>167</v>
      </c>
      <c r="CU662" s="16" t="s">
        <v>385</v>
      </c>
      <c r="CV662" s="16" t="s">
        <v>657</v>
      </c>
    </row>
    <row r="663" spans="1:100" ht="15" customHeight="1">
      <c r="A663" t="s">
        <v>4277</v>
      </c>
      <c r="B663" s="3" t="s">
        <v>4278</v>
      </c>
      <c r="C663" s="16" t="s">
        <v>97</v>
      </c>
      <c r="D663" s="40" t="s">
        <v>4279</v>
      </c>
      <c r="E663" s="16" t="s">
        <v>97</v>
      </c>
      <c r="F663" s="131" t="s">
        <v>4280</v>
      </c>
      <c r="I663" s="100" t="s">
        <v>342</v>
      </c>
      <c r="J663" s="16" t="s">
        <v>101</v>
      </c>
      <c r="K663" s="16"/>
      <c r="L663" s="3" t="s">
        <v>102</v>
      </c>
      <c r="M663" s="3" t="s">
        <v>103</v>
      </c>
      <c r="N663" s="3" t="s">
        <v>104</v>
      </c>
      <c r="O663" s="16" t="s">
        <v>478</v>
      </c>
      <c r="P663" s="2" t="s">
        <v>4281</v>
      </c>
      <c r="Q663" s="2" t="s">
        <v>4281</v>
      </c>
      <c r="R663" s="2" t="s">
        <v>4281</v>
      </c>
      <c r="S663" t="s">
        <v>4277</v>
      </c>
      <c r="T663" s="130" t="s">
        <v>465</v>
      </c>
      <c r="U663" s="58">
        <v>3</v>
      </c>
      <c r="V663" s="58"/>
      <c r="W663" s="58"/>
      <c r="X663" s="59" t="s">
        <v>108</v>
      </c>
      <c r="Y663" s="93">
        <f>IF(AD663=0, 0, IF(OR(H663="", H663&lt;&gt;0), 1, 0))</f>
        <v>1</v>
      </c>
      <c r="Z663" s="3">
        <v>0</v>
      </c>
      <c r="AA663" s="3" t="s">
        <v>4282</v>
      </c>
      <c r="AD663" s="6">
        <f>ROUND((AG663*(1+AJ663)),2)</f>
        <v>69.260000000000005</v>
      </c>
      <c r="AE663" s="74">
        <v>78.920107350000009</v>
      </c>
      <c r="AF663" s="17">
        <f>(AE663*1)</f>
        <v>78.920107350000009</v>
      </c>
      <c r="AG663" s="6">
        <f>ROUND((AE663*AI663),2)</f>
        <v>51.3</v>
      </c>
      <c r="AH663" s="30" t="s">
        <v>110</v>
      </c>
      <c r="AI663" s="3">
        <v>0.65</v>
      </c>
      <c r="AJ663" s="18">
        <v>0.35</v>
      </c>
      <c r="AK663" s="6">
        <f>ROUND((AD663-(AD663*BG663)),2)</f>
        <v>68.569999999999993</v>
      </c>
      <c r="AL663" s="6">
        <f>ROUND((AD663-(AD663*BH663)),2)</f>
        <v>67.87</v>
      </c>
      <c r="AM663" s="6">
        <f>ROUND((AD663-(AD663*BI663)),2)</f>
        <v>67.180000000000007</v>
      </c>
      <c r="AN663" s="6">
        <f>ROUND((AD663-(AD663*BJ663)),2)</f>
        <v>67.180000000000007</v>
      </c>
      <c r="AO663" s="6">
        <f>ROUND((AD663-(AD663*BK663)),2)</f>
        <v>69.260000000000005</v>
      </c>
      <c r="BG663" s="12">
        <v>0.01</v>
      </c>
      <c r="BH663" s="12">
        <v>0.02</v>
      </c>
      <c r="BI663" s="12">
        <v>0.03</v>
      </c>
      <c r="BJ663" s="12">
        <v>0.03</v>
      </c>
      <c r="CC663" s="3" t="str">
        <f>IF(B663&lt;&gt;"",CONCATENATE(SUBSTITUTE(B663," ","-"),".jpg"),"")</f>
        <v>Allied-Moulded-AMP1084NL.jpg</v>
      </c>
      <c r="CD663" s="16" t="s">
        <v>111</v>
      </c>
      <c r="CE663" s="3"/>
      <c r="CF663" s="3"/>
      <c r="CG663" s="3" t="s">
        <v>112</v>
      </c>
      <c r="CI663" s="3" t="s">
        <v>97</v>
      </c>
      <c r="CJ663" s="3" t="s">
        <v>481</v>
      </c>
      <c r="CK663" s="3" t="s">
        <v>114</v>
      </c>
      <c r="CL663" s="3" t="s">
        <v>115</v>
      </c>
      <c r="CM663" s="3" t="s">
        <v>116</v>
      </c>
      <c r="CN663" t="s">
        <v>117</v>
      </c>
      <c r="CO663" s="3" t="s">
        <v>482</v>
      </c>
      <c r="CP663" s="3" t="s">
        <v>139</v>
      </c>
      <c r="CQ663" s="3" t="s">
        <v>120</v>
      </c>
      <c r="CR663" s="3" t="s">
        <v>140</v>
      </c>
      <c r="CS663" s="16" t="s">
        <v>122</v>
      </c>
      <c r="CT663" s="16" t="s">
        <v>167</v>
      </c>
      <c r="CU663" s="16" t="s">
        <v>385</v>
      </c>
      <c r="CV663" s="16" t="s">
        <v>657</v>
      </c>
    </row>
    <row r="664" spans="1:100" ht="15" customHeight="1">
      <c r="A664" t="s">
        <v>4283</v>
      </c>
      <c r="B664" s="3" t="s">
        <v>4284</v>
      </c>
      <c r="C664" s="16" t="s">
        <v>97</v>
      </c>
      <c r="D664" s="41" t="s">
        <v>4285</v>
      </c>
      <c r="E664" s="16" t="s">
        <v>97</v>
      </c>
      <c r="F664" s="131" t="s">
        <v>4286</v>
      </c>
      <c r="I664" s="100" t="s">
        <v>342</v>
      </c>
      <c r="J664" s="16" t="s">
        <v>101</v>
      </c>
      <c r="K664" s="16"/>
      <c r="L664" s="3" t="s">
        <v>102</v>
      </c>
      <c r="M664" s="3" t="s">
        <v>103</v>
      </c>
      <c r="N664" s="3" t="s">
        <v>104</v>
      </c>
      <c r="O664" s="16" t="s">
        <v>478</v>
      </c>
      <c r="P664" s="2" t="s">
        <v>4287</v>
      </c>
      <c r="Q664" s="2" t="s">
        <v>4287</v>
      </c>
      <c r="R664" s="2" t="s">
        <v>4287</v>
      </c>
      <c r="S664" s="107" t="s">
        <v>4283</v>
      </c>
      <c r="T664" s="134" t="s">
        <v>465</v>
      </c>
      <c r="U664" s="52">
        <v>3</v>
      </c>
      <c r="V664" s="54"/>
      <c r="W664" s="54"/>
      <c r="X664" s="59" t="s">
        <v>108</v>
      </c>
      <c r="Y664" s="93">
        <f>IF(AD664=0, 0, IF(OR(H664="", H664&lt;&gt;0), 1, 0))</f>
        <v>1</v>
      </c>
      <c r="Z664" s="3">
        <v>0</v>
      </c>
      <c r="AA664" s="3" t="s">
        <v>4288</v>
      </c>
      <c r="AD664" s="6">
        <f>ROUND((AG664*(1+AJ664)),2)</f>
        <v>72.72</v>
      </c>
      <c r="AE664" s="68">
        <v>82.874052449999994</v>
      </c>
      <c r="AF664" s="17">
        <f>(AE664*1)</f>
        <v>82.874052449999994</v>
      </c>
      <c r="AG664" s="6">
        <f>ROUND((AE664*AI664),2)</f>
        <v>53.87</v>
      </c>
      <c r="AH664" s="30" t="s">
        <v>110</v>
      </c>
      <c r="AI664" s="3">
        <v>0.65</v>
      </c>
      <c r="AJ664" s="18">
        <v>0.35</v>
      </c>
      <c r="AK664" s="6">
        <f>ROUND((AD664-(AD664*BG664)),2)</f>
        <v>71.989999999999995</v>
      </c>
      <c r="AL664" s="6">
        <f>ROUND((AD664-(AD664*BH664)),2)</f>
        <v>71.27</v>
      </c>
      <c r="AM664" s="6">
        <f>ROUND((AD664-(AD664*BI664)),2)</f>
        <v>70.540000000000006</v>
      </c>
      <c r="AN664" s="6">
        <f>ROUND((AD664-(AD664*BJ664)),2)</f>
        <v>70.540000000000006</v>
      </c>
      <c r="AO664" s="6">
        <f>ROUND((AD664-(AD664*BK664)),2)</f>
        <v>72.72</v>
      </c>
      <c r="BG664" s="12">
        <v>0.01</v>
      </c>
      <c r="BH664" s="12">
        <v>0.02</v>
      </c>
      <c r="BI664" s="12">
        <v>0.03</v>
      </c>
      <c r="BJ664" s="12">
        <v>0.03</v>
      </c>
      <c r="CC664" s="3" t="str">
        <f>IF(B664&lt;&gt;"",CONCATENATE(SUBSTITUTE(B664," ","-"),".jpg"),"")</f>
        <v>Allied-Moulded-AMP1084NLF.jpg</v>
      </c>
      <c r="CD664" s="16" t="s">
        <v>111</v>
      </c>
      <c r="CE664" s="3"/>
      <c r="CF664" s="3"/>
      <c r="CG664" s="3" t="s">
        <v>112</v>
      </c>
      <c r="CI664" s="3" t="s">
        <v>97</v>
      </c>
      <c r="CJ664" s="3" t="s">
        <v>481</v>
      </c>
      <c r="CK664" s="3" t="s">
        <v>114</v>
      </c>
      <c r="CL664" s="3" t="s">
        <v>115</v>
      </c>
      <c r="CM664" s="3" t="s">
        <v>116</v>
      </c>
      <c r="CN664" t="s">
        <v>117</v>
      </c>
      <c r="CO664" s="3" t="s">
        <v>482</v>
      </c>
      <c r="CP664" s="3" t="s">
        <v>139</v>
      </c>
      <c r="CQ664" s="3" t="s">
        <v>120</v>
      </c>
      <c r="CR664" s="3" t="s">
        <v>140</v>
      </c>
      <c r="CS664" s="16" t="s">
        <v>122</v>
      </c>
      <c r="CT664" s="16" t="s">
        <v>167</v>
      </c>
      <c r="CU664" s="16" t="s">
        <v>385</v>
      </c>
      <c r="CV664" s="16" t="s">
        <v>657</v>
      </c>
    </row>
    <row r="665" spans="1:100" ht="15" customHeight="1">
      <c r="A665" t="s">
        <v>4289</v>
      </c>
      <c r="B665" s="3" t="s">
        <v>4290</v>
      </c>
      <c r="C665" s="16" t="s">
        <v>97</v>
      </c>
      <c r="D665" s="39" t="s">
        <v>4291</v>
      </c>
      <c r="E665" s="16" t="s">
        <v>97</v>
      </c>
      <c r="F665" s="131" t="s">
        <v>4292</v>
      </c>
      <c r="I665" s="100" t="s">
        <v>342</v>
      </c>
      <c r="J665" s="16" t="s">
        <v>101</v>
      </c>
      <c r="K665" s="16"/>
      <c r="L665" s="3" t="s">
        <v>102</v>
      </c>
      <c r="M665" s="3" t="s">
        <v>103</v>
      </c>
      <c r="N665" s="3" t="s">
        <v>104</v>
      </c>
      <c r="O665" s="16" t="s">
        <v>478</v>
      </c>
      <c r="P665" s="3" t="s">
        <v>4293</v>
      </c>
      <c r="Q665" s="3" t="s">
        <v>4293</v>
      </c>
      <c r="R665" s="3" t="s">
        <v>4293</v>
      </c>
      <c r="S665" s="106" t="s">
        <v>4289</v>
      </c>
      <c r="T665" s="135" t="s">
        <v>465</v>
      </c>
      <c r="U665" s="50">
        <v>3</v>
      </c>
      <c r="V665" s="54"/>
      <c r="W665" s="54"/>
      <c r="X665" s="59" t="s">
        <v>108</v>
      </c>
      <c r="Y665" s="93">
        <f>IF(AD665=0, 0, IF(OR(H665="", H665&lt;&gt;0), 1, 0))</f>
        <v>1</v>
      </c>
      <c r="Z665" s="3">
        <v>0</v>
      </c>
      <c r="AA665" s="3" t="s">
        <v>4294</v>
      </c>
      <c r="AD665" s="6">
        <f>ROUND((AG665*(1+AJ665)),2)</f>
        <v>58.74</v>
      </c>
      <c r="AE665" s="69">
        <v>66.938248650000006</v>
      </c>
      <c r="AF665" s="17">
        <f>(AE665*1)</f>
        <v>66.938248650000006</v>
      </c>
      <c r="AG665" s="6">
        <f>ROUND((AE665*AI665),2)</f>
        <v>43.51</v>
      </c>
      <c r="AH665" s="30" t="s">
        <v>110</v>
      </c>
      <c r="AI665" s="3">
        <v>0.65</v>
      </c>
      <c r="AJ665" s="18">
        <v>0.35</v>
      </c>
      <c r="AK665" s="6">
        <f>ROUND((AD665-(AD665*BG665)),2)</f>
        <v>58.15</v>
      </c>
      <c r="AL665" s="6">
        <f>ROUND((AD665-(AD665*BH665)),2)</f>
        <v>57.57</v>
      </c>
      <c r="AM665" s="6">
        <f>ROUND((AD665-(AD665*BI665)),2)</f>
        <v>56.98</v>
      </c>
      <c r="AN665" s="6">
        <f>ROUND((AD665-(AD665*BJ665)),2)</f>
        <v>56.98</v>
      </c>
      <c r="AO665" s="6">
        <f>ROUND((AD665-(AD665*BK665)),2)</f>
        <v>58.74</v>
      </c>
      <c r="BG665" s="12">
        <v>0.01</v>
      </c>
      <c r="BH665" s="12">
        <v>0.02</v>
      </c>
      <c r="BI665" s="12">
        <v>0.03</v>
      </c>
      <c r="BJ665" s="12">
        <v>0.03</v>
      </c>
      <c r="CC665" s="3" t="str">
        <f>IF(B665&lt;&gt;"",CONCATENATE(SUBSTITUTE(B665," ","-"),".jpg"),"")</f>
        <v>Allied-Moulded-AMP884CC.jpg</v>
      </c>
      <c r="CD665" s="16" t="s">
        <v>111</v>
      </c>
      <c r="CE665" s="3"/>
      <c r="CF665" s="3"/>
      <c r="CG665" s="3" t="s">
        <v>112</v>
      </c>
      <c r="CI665" s="3" t="s">
        <v>97</v>
      </c>
      <c r="CJ665" s="3" t="s">
        <v>481</v>
      </c>
      <c r="CK665" s="3" t="s">
        <v>114</v>
      </c>
      <c r="CL665" s="3" t="s">
        <v>115</v>
      </c>
      <c r="CM665" s="16"/>
      <c r="CN665" s="16" t="s">
        <v>349</v>
      </c>
      <c r="CO665" s="3" t="s">
        <v>482</v>
      </c>
      <c r="CP665" s="3" t="s">
        <v>139</v>
      </c>
      <c r="CQ665" s="3" t="s">
        <v>120</v>
      </c>
      <c r="CR665" s="16" t="s">
        <v>121</v>
      </c>
      <c r="CS665" s="3" t="s">
        <v>384</v>
      </c>
      <c r="CT665" s="16" t="s">
        <v>385</v>
      </c>
      <c r="CU665" s="16" t="s">
        <v>385</v>
      </c>
      <c r="CV665" s="16" t="s">
        <v>657</v>
      </c>
    </row>
    <row r="666" spans="1:100" ht="15" customHeight="1">
      <c r="A666" t="s">
        <v>4295</v>
      </c>
      <c r="B666" s="3" t="s">
        <v>4296</v>
      </c>
      <c r="C666" s="16" t="s">
        <v>97</v>
      </c>
      <c r="D666" s="40" t="s">
        <v>4297</v>
      </c>
      <c r="E666" s="16" t="s">
        <v>97</v>
      </c>
      <c r="F666" s="131" t="s">
        <v>4298</v>
      </c>
      <c r="I666" s="100" t="s">
        <v>342</v>
      </c>
      <c r="J666" s="16" t="s">
        <v>101</v>
      </c>
      <c r="K666" s="16"/>
      <c r="L666" s="3" t="s">
        <v>102</v>
      </c>
      <c r="M666" s="3" t="s">
        <v>103</v>
      </c>
      <c r="N666" s="3" t="s">
        <v>104</v>
      </c>
      <c r="O666" s="16" t="s">
        <v>478</v>
      </c>
      <c r="P666" s="3" t="s">
        <v>4299</v>
      </c>
      <c r="Q666" s="3" t="s">
        <v>4299</v>
      </c>
      <c r="R666" s="3" t="s">
        <v>4299</v>
      </c>
      <c r="S666" s="106" t="s">
        <v>4295</v>
      </c>
      <c r="T666" s="135" t="s">
        <v>465</v>
      </c>
      <c r="U666" s="51">
        <v>3</v>
      </c>
      <c r="V666" s="58"/>
      <c r="W666" s="58"/>
      <c r="X666" s="59" t="s">
        <v>108</v>
      </c>
      <c r="Y666" s="93">
        <f>IF(AD666=0, 0, IF(OR(H666="", H666&lt;&gt;0), 1, 0))</f>
        <v>1</v>
      </c>
      <c r="Z666" s="3">
        <v>0</v>
      </c>
      <c r="AA666" s="3" t="s">
        <v>4300</v>
      </c>
      <c r="AD666" s="6">
        <f>ROUND((AG666*(1+AJ666)),2)</f>
        <v>61.72</v>
      </c>
      <c r="AE666" s="69">
        <v>70.345285500000003</v>
      </c>
      <c r="AF666" s="17">
        <f>(AE666*1)</f>
        <v>70.345285500000003</v>
      </c>
      <c r="AG666" s="6">
        <f>ROUND((AE666*AI666),2)</f>
        <v>45.72</v>
      </c>
      <c r="AH666" s="30" t="s">
        <v>110</v>
      </c>
      <c r="AI666" s="3">
        <v>0.65</v>
      </c>
      <c r="AJ666" s="18">
        <v>0.35</v>
      </c>
      <c r="AK666" s="6">
        <f>ROUND((AD666-(AD666*BG666)),2)</f>
        <v>61.1</v>
      </c>
      <c r="AL666" s="6">
        <f>ROUND((AD666-(AD666*BH666)),2)</f>
        <v>60.49</v>
      </c>
      <c r="AM666" s="6">
        <f>ROUND((AD666-(AD666*BI666)),2)</f>
        <v>59.87</v>
      </c>
      <c r="AN666" s="6">
        <f>ROUND((AD666-(AD666*BJ666)),2)</f>
        <v>59.87</v>
      </c>
      <c r="AO666" s="6">
        <f>ROUND((AD666-(AD666*BK666)),2)</f>
        <v>61.72</v>
      </c>
      <c r="BG666" s="12">
        <v>0.01</v>
      </c>
      <c r="BH666" s="12">
        <v>0.02</v>
      </c>
      <c r="BI666" s="12">
        <v>0.03</v>
      </c>
      <c r="BJ666" s="12">
        <v>0.03</v>
      </c>
      <c r="CC666" s="3" t="str">
        <f>IF(B666&lt;&gt;"",CONCATENATE(SUBSTITUTE(B666," ","-"),".jpg"),"")</f>
        <v>Allied-Moulded-AMP884CCF.jpg</v>
      </c>
      <c r="CD666" s="16" t="s">
        <v>111</v>
      </c>
      <c r="CE666" s="3"/>
      <c r="CF666" s="3"/>
      <c r="CG666" s="3" t="s">
        <v>112</v>
      </c>
      <c r="CI666" s="3" t="s">
        <v>97</v>
      </c>
      <c r="CJ666" s="3" t="s">
        <v>481</v>
      </c>
      <c r="CK666" s="3" t="s">
        <v>114</v>
      </c>
      <c r="CL666" s="3" t="s">
        <v>115</v>
      </c>
      <c r="CM666" s="16"/>
      <c r="CN666" s="16" t="s">
        <v>349</v>
      </c>
      <c r="CO666" s="3" t="s">
        <v>482</v>
      </c>
      <c r="CP666" s="3" t="s">
        <v>139</v>
      </c>
      <c r="CQ666" s="3" t="s">
        <v>120</v>
      </c>
      <c r="CR666" s="16" t="s">
        <v>121</v>
      </c>
      <c r="CS666" s="3" t="s">
        <v>384</v>
      </c>
      <c r="CT666" s="16" t="s">
        <v>385</v>
      </c>
      <c r="CU666" s="16" t="s">
        <v>385</v>
      </c>
      <c r="CV666" s="16" t="s">
        <v>657</v>
      </c>
    </row>
    <row r="667" spans="1:100" ht="15" customHeight="1">
      <c r="A667" t="s">
        <v>4301</v>
      </c>
      <c r="B667" s="3" t="s">
        <v>4302</v>
      </c>
      <c r="C667" s="16" t="s">
        <v>97</v>
      </c>
      <c r="D667" s="40" t="s">
        <v>4303</v>
      </c>
      <c r="E667" s="16" t="s">
        <v>97</v>
      </c>
      <c r="F667" s="131" t="s">
        <v>4304</v>
      </c>
      <c r="I667" s="100" t="s">
        <v>342</v>
      </c>
      <c r="J667" s="16" t="s">
        <v>101</v>
      </c>
      <c r="K667" s="16"/>
      <c r="L667" s="3" t="s">
        <v>102</v>
      </c>
      <c r="M667" s="3" t="s">
        <v>103</v>
      </c>
      <c r="N667" s="3" t="s">
        <v>104</v>
      </c>
      <c r="O667" s="16" t="s">
        <v>478</v>
      </c>
      <c r="P667" s="3" t="s">
        <v>4305</v>
      </c>
      <c r="Q667" s="3" t="s">
        <v>4305</v>
      </c>
      <c r="R667" s="3" t="s">
        <v>4305</v>
      </c>
      <c r="S667" s="106" t="s">
        <v>4301</v>
      </c>
      <c r="T667" s="135" t="s">
        <v>465</v>
      </c>
      <c r="U667" s="51">
        <v>3</v>
      </c>
      <c r="V667" s="58"/>
      <c r="W667" s="58"/>
      <c r="X667" s="59" t="s">
        <v>108</v>
      </c>
      <c r="Y667" s="93">
        <f>IF(AD667=0, 0, IF(OR(H667="", H667&lt;&gt;0), 1, 0))</f>
        <v>1</v>
      </c>
      <c r="Z667" s="3">
        <v>0</v>
      </c>
      <c r="AA667" s="3" t="s">
        <v>4306</v>
      </c>
      <c r="AD667" s="6">
        <f>ROUND((AG667*(1+AJ667)),2)</f>
        <v>64.17</v>
      </c>
      <c r="AE667" s="69">
        <v>73.12416300000001</v>
      </c>
      <c r="AF667" s="17">
        <f>(AE667*1)</f>
        <v>73.12416300000001</v>
      </c>
      <c r="AG667" s="6">
        <f>ROUND((AE667*AI667),2)</f>
        <v>47.53</v>
      </c>
      <c r="AH667" s="30" t="s">
        <v>110</v>
      </c>
      <c r="AI667" s="3">
        <v>0.65</v>
      </c>
      <c r="AJ667" s="18">
        <v>0.35</v>
      </c>
      <c r="AK667" s="6">
        <f>ROUND((AD667-(AD667*BG667)),2)</f>
        <v>63.53</v>
      </c>
      <c r="AL667" s="6">
        <f>ROUND((AD667-(AD667*BH667)),2)</f>
        <v>62.89</v>
      </c>
      <c r="AM667" s="6">
        <f>ROUND((AD667-(AD667*BI667)),2)</f>
        <v>62.24</v>
      </c>
      <c r="AN667" s="6">
        <f>ROUND((AD667-(AD667*BJ667)),2)</f>
        <v>62.24</v>
      </c>
      <c r="AO667" s="6">
        <f>ROUND((AD667-(AD667*BK667)),2)</f>
        <v>64.17</v>
      </c>
      <c r="BG667" s="12">
        <v>0.01</v>
      </c>
      <c r="BH667" s="12">
        <v>0.02</v>
      </c>
      <c r="BI667" s="12">
        <v>0.03</v>
      </c>
      <c r="BJ667" s="12">
        <v>0.03</v>
      </c>
      <c r="CC667" s="3" t="str">
        <f>IF(B667&lt;&gt;"",CONCATENATE(SUBSTITUTE(B667," ","-"),".jpg"),"")</f>
        <v>Allied-Moulded-AMP884CCH.jpg</v>
      </c>
      <c r="CD667" s="16" t="s">
        <v>111</v>
      </c>
      <c r="CE667" s="3"/>
      <c r="CF667" s="3"/>
      <c r="CG667" s="3" t="s">
        <v>112</v>
      </c>
      <c r="CI667" s="3" t="s">
        <v>97</v>
      </c>
      <c r="CJ667" s="3" t="s">
        <v>481</v>
      </c>
      <c r="CK667" s="3" t="s">
        <v>114</v>
      </c>
      <c r="CL667" s="3" t="s">
        <v>115</v>
      </c>
      <c r="CM667" s="3" t="s">
        <v>116</v>
      </c>
      <c r="CN667" s="16" t="s">
        <v>349</v>
      </c>
      <c r="CO667" s="3" t="s">
        <v>482</v>
      </c>
      <c r="CP667" s="3" t="s">
        <v>139</v>
      </c>
      <c r="CQ667" s="3" t="s">
        <v>120</v>
      </c>
      <c r="CR667" s="16" t="s">
        <v>121</v>
      </c>
      <c r="CS667" s="3" t="s">
        <v>384</v>
      </c>
      <c r="CT667" s="16" t="s">
        <v>385</v>
      </c>
      <c r="CU667" s="16" t="s">
        <v>385</v>
      </c>
      <c r="CV667" s="16" t="s">
        <v>657</v>
      </c>
    </row>
    <row r="668" spans="1:100" ht="15" customHeight="1">
      <c r="A668" t="s">
        <v>4307</v>
      </c>
      <c r="B668" s="3" t="s">
        <v>4308</v>
      </c>
      <c r="C668" s="16" t="s">
        <v>97</v>
      </c>
      <c r="D668" s="39" t="s">
        <v>4309</v>
      </c>
      <c r="E668" s="16" t="s">
        <v>97</v>
      </c>
      <c r="F668" s="131" t="s">
        <v>4310</v>
      </c>
      <c r="I668" s="100" t="s">
        <v>342</v>
      </c>
      <c r="J668" s="16" t="s">
        <v>101</v>
      </c>
      <c r="K668" s="16"/>
      <c r="L668" s="3" t="s">
        <v>102</v>
      </c>
      <c r="M668" s="3" t="s">
        <v>103</v>
      </c>
      <c r="N668" s="3" t="s">
        <v>104</v>
      </c>
      <c r="O668" s="16" t="s">
        <v>478</v>
      </c>
      <c r="P668" s="3" t="s">
        <v>4311</v>
      </c>
      <c r="Q668" s="3" t="s">
        <v>4311</v>
      </c>
      <c r="R668" s="3" t="s">
        <v>4311</v>
      </c>
      <c r="S668" s="106" t="s">
        <v>4307</v>
      </c>
      <c r="T668" s="135" t="s">
        <v>465</v>
      </c>
      <c r="U668" s="50">
        <v>3</v>
      </c>
      <c r="V668" s="54"/>
      <c r="W668" s="54"/>
      <c r="X668" s="59" t="s">
        <v>108</v>
      </c>
      <c r="Y668" s="93">
        <f>IF(AD668=0, 0, IF(OR(H668="", H668&lt;&gt;0), 1, 0))</f>
        <v>1</v>
      </c>
      <c r="Z668" s="3">
        <v>0</v>
      </c>
      <c r="AA668" s="3" t="s">
        <v>4312</v>
      </c>
      <c r="AD668" s="6">
        <f>ROUND((AG668*(1+AJ668)),2)</f>
        <v>67.37</v>
      </c>
      <c r="AE668" s="69">
        <v>76.776402149999996</v>
      </c>
      <c r="AF668" s="17">
        <f>(AE668*1)</f>
        <v>76.776402149999996</v>
      </c>
      <c r="AG668" s="6">
        <f>ROUND((AE668*AI668),2)</f>
        <v>49.9</v>
      </c>
      <c r="AH668" s="30" t="s">
        <v>110</v>
      </c>
      <c r="AI668" s="3">
        <v>0.65</v>
      </c>
      <c r="AJ668" s="18">
        <v>0.35</v>
      </c>
      <c r="AK668" s="6">
        <f>ROUND((AD668-(AD668*BG668)),2)</f>
        <v>66.7</v>
      </c>
      <c r="AL668" s="6">
        <f>ROUND((AD668-(AD668*BH668)),2)</f>
        <v>66.02</v>
      </c>
      <c r="AM668" s="6">
        <f>ROUND((AD668-(AD668*BI668)),2)</f>
        <v>65.349999999999994</v>
      </c>
      <c r="AN668" s="6">
        <f>ROUND((AD668-(AD668*BJ668)),2)</f>
        <v>65.349999999999994</v>
      </c>
      <c r="AO668" s="6">
        <f>ROUND((AD668-(AD668*BK668)),2)</f>
        <v>67.37</v>
      </c>
      <c r="BG668" s="12">
        <v>0.01</v>
      </c>
      <c r="BH668" s="12">
        <v>0.02</v>
      </c>
      <c r="BI668" s="12">
        <v>0.03</v>
      </c>
      <c r="BJ668" s="12">
        <v>0.03</v>
      </c>
      <c r="CC668" s="3" t="str">
        <f>IF(B668&lt;&gt;"",CONCATENATE(SUBSTITUTE(B668," ","-"),".jpg"),"")</f>
        <v>Allied-Moulded-AMP884CCHF.jpg</v>
      </c>
      <c r="CD668" s="16" t="s">
        <v>111</v>
      </c>
      <c r="CE668" s="3"/>
      <c r="CF668" s="3"/>
      <c r="CG668" s="3" t="s">
        <v>112</v>
      </c>
      <c r="CI668" s="3" t="s">
        <v>97</v>
      </c>
      <c r="CJ668" s="3" t="s">
        <v>481</v>
      </c>
      <c r="CK668" s="3" t="s">
        <v>114</v>
      </c>
      <c r="CL668" s="3" t="s">
        <v>115</v>
      </c>
      <c r="CM668" s="3" t="s">
        <v>116</v>
      </c>
      <c r="CN668" s="16" t="s">
        <v>349</v>
      </c>
      <c r="CO668" s="3" t="s">
        <v>482</v>
      </c>
      <c r="CP668" s="3" t="s">
        <v>139</v>
      </c>
      <c r="CQ668" s="3" t="s">
        <v>120</v>
      </c>
      <c r="CR668" s="16" t="s">
        <v>121</v>
      </c>
      <c r="CS668" s="3" t="s">
        <v>384</v>
      </c>
      <c r="CT668" s="16" t="s">
        <v>385</v>
      </c>
      <c r="CU668" s="16" t="s">
        <v>385</v>
      </c>
      <c r="CV668" s="16" t="s">
        <v>657</v>
      </c>
    </row>
    <row r="669" spans="1:100" ht="15" customHeight="1">
      <c r="A669" t="s">
        <v>4313</v>
      </c>
      <c r="B669" s="3" t="s">
        <v>4314</v>
      </c>
      <c r="C669" s="16" t="s">
        <v>97</v>
      </c>
      <c r="D669" s="39" t="s">
        <v>4315</v>
      </c>
      <c r="E669" s="16" t="s">
        <v>97</v>
      </c>
      <c r="F669" s="131" t="s">
        <v>4316</v>
      </c>
      <c r="I669" s="100" t="s">
        <v>342</v>
      </c>
      <c r="J669" s="16" t="s">
        <v>101</v>
      </c>
      <c r="K669" s="16"/>
      <c r="L669" s="3" t="s">
        <v>102</v>
      </c>
      <c r="M669" s="3" t="s">
        <v>103</v>
      </c>
      <c r="N669" s="3" t="s">
        <v>104</v>
      </c>
      <c r="O669" s="16" t="s">
        <v>478</v>
      </c>
      <c r="P669" s="3" t="s">
        <v>4317</v>
      </c>
      <c r="Q669" s="3" t="s">
        <v>4317</v>
      </c>
      <c r="R669" s="3" t="s">
        <v>4317</v>
      </c>
      <c r="S669" s="106" t="s">
        <v>4313</v>
      </c>
      <c r="T669" s="135" t="s">
        <v>465</v>
      </c>
      <c r="U669" s="50">
        <v>3</v>
      </c>
      <c r="V669" s="54"/>
      <c r="W669" s="54"/>
      <c r="X669" s="59" t="s">
        <v>108</v>
      </c>
      <c r="Y669" s="93">
        <f>IF(AD669=0, 0, IF(OR(H669="", H669&lt;&gt;0), 1, 0))</f>
        <v>1</v>
      </c>
      <c r="Z669" s="3">
        <v>0</v>
      </c>
      <c r="AA669" s="3" t="s">
        <v>4318</v>
      </c>
      <c r="AD669" s="6">
        <f>ROUND((AG669*(1+AJ669)),2)</f>
        <v>77.61</v>
      </c>
      <c r="AE669" s="69">
        <v>88.447685550000003</v>
      </c>
      <c r="AF669" s="17">
        <f>(AE669*1)</f>
        <v>88.447685550000003</v>
      </c>
      <c r="AG669" s="6">
        <f>ROUND((AE669*AI669),2)</f>
        <v>57.49</v>
      </c>
      <c r="AH669" s="30" t="s">
        <v>110</v>
      </c>
      <c r="AI669" s="3">
        <v>0.65</v>
      </c>
      <c r="AJ669" s="18">
        <v>0.35</v>
      </c>
      <c r="AK669" s="6">
        <f>ROUND((AD669-(AD669*BG669)),2)</f>
        <v>76.83</v>
      </c>
      <c r="AL669" s="6">
        <f>ROUND((AD669-(AD669*BH669)),2)</f>
        <v>76.06</v>
      </c>
      <c r="AM669" s="6">
        <f>ROUND((AD669-(AD669*BI669)),2)</f>
        <v>75.28</v>
      </c>
      <c r="AN669" s="6">
        <f>ROUND((AD669-(AD669*BJ669)),2)</f>
        <v>75.28</v>
      </c>
      <c r="AO669" s="6">
        <f>ROUND((AD669-(AD669*BK669)),2)</f>
        <v>77.61</v>
      </c>
      <c r="BG669" s="12">
        <v>0.01</v>
      </c>
      <c r="BH669" s="12">
        <v>0.02</v>
      </c>
      <c r="BI669" s="12">
        <v>0.03</v>
      </c>
      <c r="BJ669" s="12">
        <v>0.03</v>
      </c>
      <c r="CC669" s="3" t="str">
        <f>IF(B669&lt;&gt;"",CONCATENATE(SUBSTITUTE(B669," ","-"),".jpg"),"")</f>
        <v>Allied-Moulded-AMP884CCL.jpg</v>
      </c>
      <c r="CD669" s="16" t="s">
        <v>111</v>
      </c>
      <c r="CE669" s="3"/>
      <c r="CF669" s="3"/>
      <c r="CG669" s="3" t="s">
        <v>112</v>
      </c>
      <c r="CI669" s="3" t="s">
        <v>97</v>
      </c>
      <c r="CJ669" s="3" t="s">
        <v>481</v>
      </c>
      <c r="CK669" s="3" t="s">
        <v>114</v>
      </c>
      <c r="CL669" s="3" t="s">
        <v>115</v>
      </c>
      <c r="CM669" s="3" t="s">
        <v>116</v>
      </c>
      <c r="CN669" t="s">
        <v>117</v>
      </c>
      <c r="CO669" s="3" t="s">
        <v>482</v>
      </c>
      <c r="CP669" s="3" t="s">
        <v>139</v>
      </c>
      <c r="CQ669" s="3" t="s">
        <v>120</v>
      </c>
      <c r="CR669" s="16" t="s">
        <v>121</v>
      </c>
      <c r="CS669" s="16" t="s">
        <v>122</v>
      </c>
      <c r="CT669" s="16" t="s">
        <v>385</v>
      </c>
      <c r="CU669" s="16" t="s">
        <v>385</v>
      </c>
      <c r="CV669" s="16" t="s">
        <v>657</v>
      </c>
    </row>
    <row r="670" spans="1:100" ht="15" customHeight="1">
      <c r="A670" t="s">
        <v>4319</v>
      </c>
      <c r="B670" s="3" t="s">
        <v>4320</v>
      </c>
      <c r="C670" s="16" t="s">
        <v>97</v>
      </c>
      <c r="D670" s="40" t="s">
        <v>4321</v>
      </c>
      <c r="E670" s="16" t="s">
        <v>97</v>
      </c>
      <c r="F670" s="131" t="s">
        <v>4322</v>
      </c>
      <c r="I670" s="100" t="s">
        <v>342</v>
      </c>
      <c r="J670" s="16" t="s">
        <v>101</v>
      </c>
      <c r="K670" s="16"/>
      <c r="L670" s="3" t="s">
        <v>102</v>
      </c>
      <c r="M670" s="3" t="s">
        <v>103</v>
      </c>
      <c r="N670" s="3" t="s">
        <v>104</v>
      </c>
      <c r="O670" s="16" t="s">
        <v>478</v>
      </c>
      <c r="P670" s="3" t="s">
        <v>4323</v>
      </c>
      <c r="Q670" s="3" t="s">
        <v>4323</v>
      </c>
      <c r="R670" s="3" t="s">
        <v>4323</v>
      </c>
      <c r="S670" s="106" t="s">
        <v>4319</v>
      </c>
      <c r="T670" s="135" t="s">
        <v>465</v>
      </c>
      <c r="U670" s="51">
        <v>3</v>
      </c>
      <c r="V670" s="58"/>
      <c r="W670" s="58"/>
      <c r="X670" s="59" t="s">
        <v>108</v>
      </c>
      <c r="Y670" s="93">
        <f>IF(AD670=0, 0, IF(OR(H670="", H670&lt;&gt;0), 1, 0))</f>
        <v>1</v>
      </c>
      <c r="Z670" s="3">
        <v>0</v>
      </c>
      <c r="AA670" s="3" t="s">
        <v>4324</v>
      </c>
      <c r="AD670" s="6">
        <f>ROUND((AG670*(1+AJ670)),2)</f>
        <v>81.510000000000005</v>
      </c>
      <c r="AE670" s="69">
        <v>92.893888500000003</v>
      </c>
      <c r="AF670" s="17">
        <f>(AE670*1)</f>
        <v>92.893888500000003</v>
      </c>
      <c r="AG670" s="6">
        <f>ROUND((AE670*AI670),2)</f>
        <v>60.38</v>
      </c>
      <c r="AH670" s="30" t="s">
        <v>110</v>
      </c>
      <c r="AI670" s="3">
        <v>0.65</v>
      </c>
      <c r="AJ670" s="18">
        <v>0.35</v>
      </c>
      <c r="AK670" s="6">
        <f>ROUND((AD670-(AD670*BG670)),2)</f>
        <v>80.69</v>
      </c>
      <c r="AL670" s="6">
        <f>ROUND((AD670-(AD670*BH670)),2)</f>
        <v>79.88</v>
      </c>
      <c r="AM670" s="6">
        <f>ROUND((AD670-(AD670*BI670)),2)</f>
        <v>79.06</v>
      </c>
      <c r="AN670" s="6">
        <f>ROUND((AD670-(AD670*BJ670)),2)</f>
        <v>79.06</v>
      </c>
      <c r="AO670" s="6">
        <f>ROUND((AD670-(AD670*BK670)),2)</f>
        <v>81.510000000000005</v>
      </c>
      <c r="BG670" s="12">
        <v>0.01</v>
      </c>
      <c r="BH670" s="12">
        <v>0.02</v>
      </c>
      <c r="BI670" s="12">
        <v>0.03</v>
      </c>
      <c r="BJ670" s="12">
        <v>0.03</v>
      </c>
      <c r="CC670" s="3" t="str">
        <f>IF(B670&lt;&gt;"",CONCATENATE(SUBSTITUTE(B670," ","-"),".jpg"),"")</f>
        <v>Allied-Moulded-AMP884CCLF.jpg</v>
      </c>
      <c r="CD670" s="16" t="s">
        <v>111</v>
      </c>
      <c r="CE670" s="3"/>
      <c r="CF670" s="3"/>
      <c r="CG670" s="3" t="s">
        <v>112</v>
      </c>
      <c r="CI670" s="3" t="s">
        <v>97</v>
      </c>
      <c r="CJ670" s="3" t="s">
        <v>481</v>
      </c>
      <c r="CK670" s="3" t="s">
        <v>114</v>
      </c>
      <c r="CL670" s="3" t="s">
        <v>115</v>
      </c>
      <c r="CM670" s="3" t="s">
        <v>116</v>
      </c>
      <c r="CN670" t="s">
        <v>117</v>
      </c>
      <c r="CO670" s="3" t="s">
        <v>482</v>
      </c>
      <c r="CP670" s="3" t="s">
        <v>139</v>
      </c>
      <c r="CQ670" s="3" t="s">
        <v>120</v>
      </c>
      <c r="CR670" s="16" t="s">
        <v>121</v>
      </c>
      <c r="CS670" s="16" t="s">
        <v>122</v>
      </c>
      <c r="CT670" s="16" t="s">
        <v>385</v>
      </c>
      <c r="CU670" s="16" t="s">
        <v>385</v>
      </c>
      <c r="CV670" s="16" t="s">
        <v>657</v>
      </c>
    </row>
    <row r="671" spans="1:100" ht="15" customHeight="1">
      <c r="A671" t="s">
        <v>4325</v>
      </c>
      <c r="B671" s="3" t="s">
        <v>4326</v>
      </c>
      <c r="C671" s="16" t="s">
        <v>97</v>
      </c>
      <c r="D671" s="39" t="s">
        <v>4327</v>
      </c>
      <c r="E671" s="16" t="s">
        <v>97</v>
      </c>
      <c r="F671" s="131" t="s">
        <v>4328</v>
      </c>
      <c r="I671" s="100" t="s">
        <v>342</v>
      </c>
      <c r="J671" s="16" t="s">
        <v>101</v>
      </c>
      <c r="K671" s="16"/>
      <c r="L671" s="3" t="s">
        <v>102</v>
      </c>
      <c r="M671" s="3" t="s">
        <v>103</v>
      </c>
      <c r="N671" s="3" t="s">
        <v>104</v>
      </c>
      <c r="O671" s="16" t="s">
        <v>478</v>
      </c>
      <c r="P671" s="3" t="s">
        <v>4329</v>
      </c>
      <c r="Q671" s="3" t="s">
        <v>4329</v>
      </c>
      <c r="R671" s="3" t="s">
        <v>4329</v>
      </c>
      <c r="S671" s="85" t="s">
        <v>4325</v>
      </c>
      <c r="T671" s="135" t="s">
        <v>465</v>
      </c>
      <c r="U671" s="50">
        <v>3</v>
      </c>
      <c r="V671" s="54"/>
      <c r="W671" s="54"/>
      <c r="X671" s="59" t="s">
        <v>108</v>
      </c>
      <c r="Y671" s="93">
        <f>IF(AD671=0, 0, IF(OR(H671="", H671&lt;&gt;0), 1, 0))</f>
        <v>1</v>
      </c>
      <c r="Z671" s="3">
        <v>0</v>
      </c>
      <c r="AA671" s="3" t="s">
        <v>4330</v>
      </c>
      <c r="AD671" s="6">
        <f>ROUND((AG671*(1+AJ671)),2)</f>
        <v>77.48</v>
      </c>
      <c r="AE671" s="69">
        <v>88.288891950000021</v>
      </c>
      <c r="AF671" s="17">
        <f>(AE671*1)</f>
        <v>88.288891950000021</v>
      </c>
      <c r="AG671" s="6">
        <f>ROUND((AE671*AI671),2)</f>
        <v>57.39</v>
      </c>
      <c r="AH671" s="30" t="s">
        <v>110</v>
      </c>
      <c r="AI671" s="3">
        <v>0.65</v>
      </c>
      <c r="AJ671" s="18">
        <v>0.35</v>
      </c>
      <c r="AK671" s="6">
        <f>ROUND((AD671-(AD671*BG671)),2)</f>
        <v>76.709999999999994</v>
      </c>
      <c r="AL671" s="6">
        <f>ROUND((AD671-(AD671*BH671)),2)</f>
        <v>75.930000000000007</v>
      </c>
      <c r="AM671" s="6">
        <f>ROUND((AD671-(AD671*BI671)),2)</f>
        <v>75.16</v>
      </c>
      <c r="AN671" s="6">
        <f>ROUND((AD671-(AD671*BJ671)),2)</f>
        <v>75.16</v>
      </c>
      <c r="AO671" s="6">
        <f>ROUND((AD671-(AD671*BK671)),2)</f>
        <v>77.48</v>
      </c>
      <c r="BG671" s="12">
        <v>0.01</v>
      </c>
      <c r="BH671" s="12">
        <v>0.02</v>
      </c>
      <c r="BI671" s="12">
        <v>0.03</v>
      </c>
      <c r="BJ671" s="12">
        <v>0.03</v>
      </c>
      <c r="CC671" s="3" t="str">
        <f>IF(B671&lt;&gt;"",CONCATENATE(SUBSTITUTE(B671," ","-"),".jpg"),"")</f>
        <v>Allied-Moulded-AMP884CCNLF.jpg</v>
      </c>
      <c r="CD671" s="16" t="s">
        <v>111</v>
      </c>
      <c r="CE671" s="3"/>
      <c r="CF671" s="3"/>
      <c r="CG671" s="3" t="s">
        <v>112</v>
      </c>
      <c r="CI671" s="3" t="s">
        <v>97</v>
      </c>
      <c r="CJ671" s="3" t="s">
        <v>481</v>
      </c>
      <c r="CK671" s="3" t="s">
        <v>114</v>
      </c>
      <c r="CL671" s="3" t="s">
        <v>115</v>
      </c>
      <c r="CM671" s="3" t="s">
        <v>116</v>
      </c>
      <c r="CN671" t="s">
        <v>117</v>
      </c>
      <c r="CO671" s="3" t="s">
        <v>482</v>
      </c>
      <c r="CP671" s="3" t="s">
        <v>139</v>
      </c>
      <c r="CQ671" s="3" t="s">
        <v>120</v>
      </c>
      <c r="CR671" s="16" t="s">
        <v>121</v>
      </c>
      <c r="CS671" s="16" t="s">
        <v>122</v>
      </c>
      <c r="CT671" s="16" t="s">
        <v>385</v>
      </c>
      <c r="CU671" s="16" t="s">
        <v>385</v>
      </c>
      <c r="CV671" s="16" t="s">
        <v>657</v>
      </c>
    </row>
    <row r="672" spans="1:100" ht="15" customHeight="1">
      <c r="A672" t="s">
        <v>4331</v>
      </c>
      <c r="B672" s="3" t="s">
        <v>4332</v>
      </c>
      <c r="C672" s="16" t="s">
        <v>97</v>
      </c>
      <c r="D672" s="38" t="s">
        <v>4333</v>
      </c>
      <c r="E672" s="16" t="s">
        <v>97</v>
      </c>
      <c r="F672" s="131" t="s">
        <v>4334</v>
      </c>
      <c r="I672" s="100" t="s">
        <v>342</v>
      </c>
      <c r="J672" s="16" t="s">
        <v>101</v>
      </c>
      <c r="K672" s="16"/>
      <c r="L672" s="3" t="s">
        <v>102</v>
      </c>
      <c r="M672" s="3" t="s">
        <v>103</v>
      </c>
      <c r="N672" s="3" t="s">
        <v>104</v>
      </c>
      <c r="O672" s="16" t="s">
        <v>478</v>
      </c>
      <c r="P672" s="3" t="s">
        <v>4335</v>
      </c>
      <c r="Q672" s="3" t="s">
        <v>4335</v>
      </c>
      <c r="R672" s="3" t="s">
        <v>4335</v>
      </c>
      <c r="S672" s="107" t="s">
        <v>4331</v>
      </c>
      <c r="T672" s="134" t="s">
        <v>465</v>
      </c>
      <c r="U672" s="49">
        <v>3</v>
      </c>
      <c r="V672" s="58"/>
      <c r="W672" s="58"/>
      <c r="X672" s="59" t="s">
        <v>108</v>
      </c>
      <c r="Y672" s="93">
        <f>IF(AD672=0, 0, IF(OR(H672="", H672&lt;&gt;0), 1, 0))</f>
        <v>1</v>
      </c>
      <c r="Z672" s="3">
        <v>0</v>
      </c>
      <c r="AA672" s="3" t="s">
        <v>4336</v>
      </c>
      <c r="AD672" s="6">
        <f>ROUND((AG672*(1+AJ672)),2)</f>
        <v>76.180000000000007</v>
      </c>
      <c r="AE672" s="68">
        <v>86.812116300000014</v>
      </c>
      <c r="AF672" s="17">
        <f>(AE672*1)</f>
        <v>86.812116300000014</v>
      </c>
      <c r="AG672" s="6">
        <f>ROUND((AE672*AI672),2)</f>
        <v>56.43</v>
      </c>
      <c r="AH672" s="30" t="s">
        <v>110</v>
      </c>
      <c r="AI672" s="3">
        <v>0.65</v>
      </c>
      <c r="AJ672" s="18">
        <v>0.35</v>
      </c>
      <c r="AK672" s="6">
        <f>ROUND((AD672-(AD672*BG672)),2)</f>
        <v>75.42</v>
      </c>
      <c r="AL672" s="6">
        <f>ROUND((AD672-(AD672*BH672)),2)</f>
        <v>74.66</v>
      </c>
      <c r="AM672" s="6">
        <f>ROUND((AD672-(AD672*BI672)),2)</f>
        <v>73.89</v>
      </c>
      <c r="AN672" s="6">
        <f>ROUND((AD672-(AD672*BJ672)),2)</f>
        <v>73.89</v>
      </c>
      <c r="AO672" s="6">
        <f>ROUND((AD672-(AD672*BK672)),2)</f>
        <v>76.180000000000007</v>
      </c>
      <c r="BG672" s="12">
        <v>0.01</v>
      </c>
      <c r="BH672" s="12">
        <v>0.02</v>
      </c>
      <c r="BI672" s="12">
        <v>0.03</v>
      </c>
      <c r="BJ672" s="12">
        <v>0.03</v>
      </c>
      <c r="CC672" s="3" t="str">
        <f>IF(B672&lt;&gt;"",CONCATENATE(SUBSTITUTE(B672," ","-"),".jpg"),"")</f>
        <v>Allied-Moulded-AMP1084CCNL.jpg</v>
      </c>
      <c r="CD672" s="16" t="s">
        <v>111</v>
      </c>
      <c r="CE672" s="3"/>
      <c r="CF672" s="3"/>
      <c r="CG672" s="3" t="s">
        <v>112</v>
      </c>
      <c r="CI672" s="3" t="s">
        <v>97</v>
      </c>
      <c r="CJ672" s="3" t="s">
        <v>481</v>
      </c>
      <c r="CK672" s="3" t="s">
        <v>114</v>
      </c>
      <c r="CL672" s="3" t="s">
        <v>115</v>
      </c>
      <c r="CM672" s="3" t="s">
        <v>116</v>
      </c>
      <c r="CN672" t="s">
        <v>117</v>
      </c>
      <c r="CO672" s="3" t="s">
        <v>482</v>
      </c>
      <c r="CP672" s="3" t="s">
        <v>139</v>
      </c>
      <c r="CQ672" s="3" t="s">
        <v>120</v>
      </c>
      <c r="CR672" s="16" t="s">
        <v>121</v>
      </c>
      <c r="CS672" s="16" t="s">
        <v>122</v>
      </c>
      <c r="CT672" s="16" t="s">
        <v>385</v>
      </c>
      <c r="CU672" s="16" t="s">
        <v>385</v>
      </c>
      <c r="CV672" s="16" t="s">
        <v>657</v>
      </c>
    </row>
    <row r="673" spans="1:100" ht="15" customHeight="1">
      <c r="A673" t="s">
        <v>4337</v>
      </c>
      <c r="B673" s="3" t="s">
        <v>4338</v>
      </c>
      <c r="C673" s="16" t="s">
        <v>97</v>
      </c>
      <c r="D673" s="39" t="s">
        <v>4339</v>
      </c>
      <c r="E673" s="16" t="s">
        <v>97</v>
      </c>
      <c r="F673" s="131" t="s">
        <v>4340</v>
      </c>
      <c r="I673" s="100" t="s">
        <v>342</v>
      </c>
      <c r="J673" s="16" t="s">
        <v>101</v>
      </c>
      <c r="K673" s="16"/>
      <c r="L673" s="3" t="s">
        <v>102</v>
      </c>
      <c r="M673" s="3" t="s">
        <v>103</v>
      </c>
      <c r="N673" s="3" t="s">
        <v>104</v>
      </c>
      <c r="O673" s="16" t="s">
        <v>478</v>
      </c>
      <c r="P673" s="2" t="s">
        <v>4341</v>
      </c>
      <c r="Q673" s="2" t="s">
        <v>4341</v>
      </c>
      <c r="R673" s="2" t="s">
        <v>4341</v>
      </c>
      <c r="S673" s="106" t="s">
        <v>4337</v>
      </c>
      <c r="T673" s="135" t="s">
        <v>465</v>
      </c>
      <c r="U673" s="50">
        <v>3</v>
      </c>
      <c r="V673" s="54"/>
      <c r="W673" s="54"/>
      <c r="X673" s="59" t="s">
        <v>108</v>
      </c>
      <c r="Y673" s="93">
        <f>IF(AD673=0, 0, IF(OR(H673="", H673&lt;&gt;0), 1, 0))</f>
        <v>1</v>
      </c>
      <c r="Z673" s="3">
        <v>0</v>
      </c>
      <c r="AA673" s="3" t="s">
        <v>4342</v>
      </c>
      <c r="AD673" s="6">
        <f>ROUND((AG673*(1+AJ673)),2)</f>
        <v>53.37</v>
      </c>
      <c r="AE673" s="69">
        <v>60.817707300000002</v>
      </c>
      <c r="AF673" s="17">
        <f>(AE673*1)</f>
        <v>60.817707300000002</v>
      </c>
      <c r="AG673" s="6">
        <f>ROUND((AE673*AI673),2)</f>
        <v>39.53</v>
      </c>
      <c r="AH673" s="30" t="s">
        <v>110</v>
      </c>
      <c r="AI673" s="3">
        <v>0.65</v>
      </c>
      <c r="AJ673" s="18">
        <v>0.35</v>
      </c>
      <c r="AK673" s="6">
        <f>ROUND((AD673-(AD673*BG673)),2)</f>
        <v>52.84</v>
      </c>
      <c r="AL673" s="6">
        <f>ROUND((AD673-(AD673*BH673)),2)</f>
        <v>52.3</v>
      </c>
      <c r="AM673" s="6">
        <f>ROUND((AD673-(AD673*BI673)),2)</f>
        <v>51.77</v>
      </c>
      <c r="AN673" s="6">
        <f>ROUND((AD673-(AD673*BJ673)),2)</f>
        <v>51.77</v>
      </c>
      <c r="AO673" s="6">
        <f>ROUND((AD673-(AD673*BK673)),2)</f>
        <v>53.37</v>
      </c>
      <c r="BG673" s="12">
        <v>0.01</v>
      </c>
      <c r="BH673" s="12">
        <v>0.02</v>
      </c>
      <c r="BI673" s="12">
        <v>0.03</v>
      </c>
      <c r="BJ673" s="12">
        <v>0.03</v>
      </c>
      <c r="CC673" s="3" t="str">
        <f>IF(B673&lt;&gt;"",CONCATENATE(SUBSTITUTE(B673," ","-"),".jpg"),"")</f>
        <v>Allied-Moulded-AMP884.jpg</v>
      </c>
      <c r="CD673" s="16" t="s">
        <v>111</v>
      </c>
      <c r="CE673" s="3"/>
      <c r="CF673" s="3"/>
      <c r="CG673" s="3" t="s">
        <v>112</v>
      </c>
      <c r="CI673" s="3" t="s">
        <v>97</v>
      </c>
      <c r="CJ673" s="3" t="s">
        <v>481</v>
      </c>
      <c r="CK673" s="3" t="s">
        <v>114</v>
      </c>
      <c r="CL673" s="3" t="s">
        <v>115</v>
      </c>
      <c r="CM673" s="16"/>
      <c r="CN673" s="16" t="s">
        <v>349</v>
      </c>
      <c r="CO673" s="3" t="s">
        <v>482</v>
      </c>
      <c r="CP673" s="3" t="s">
        <v>139</v>
      </c>
      <c r="CQ673" s="3" t="s">
        <v>120</v>
      </c>
      <c r="CR673" s="3" t="s">
        <v>140</v>
      </c>
      <c r="CS673" s="3" t="s">
        <v>384</v>
      </c>
      <c r="CT673" s="16" t="s">
        <v>385</v>
      </c>
      <c r="CU673" s="16" t="s">
        <v>385</v>
      </c>
      <c r="CV673" s="16" t="s">
        <v>657</v>
      </c>
    </row>
    <row r="674" spans="1:100" ht="15" customHeight="1">
      <c r="A674" t="s">
        <v>4343</v>
      </c>
      <c r="B674" s="3" t="s">
        <v>4344</v>
      </c>
      <c r="C674" s="16" t="s">
        <v>97</v>
      </c>
      <c r="D674" s="40" t="s">
        <v>4345</v>
      </c>
      <c r="E674" s="16" t="s">
        <v>97</v>
      </c>
      <c r="F674" s="131" t="s">
        <v>4346</v>
      </c>
      <c r="I674" s="100" t="s">
        <v>342</v>
      </c>
      <c r="J674" s="16" t="s">
        <v>101</v>
      </c>
      <c r="K674" s="16"/>
      <c r="L674" s="3" t="s">
        <v>102</v>
      </c>
      <c r="M674" s="3" t="s">
        <v>103</v>
      </c>
      <c r="N674" s="3" t="s">
        <v>104</v>
      </c>
      <c r="O674" s="16" t="s">
        <v>478</v>
      </c>
      <c r="P674" s="2" t="s">
        <v>4347</v>
      </c>
      <c r="Q674" s="2" t="s">
        <v>4347</v>
      </c>
      <c r="R674" s="2" t="s">
        <v>4347</v>
      </c>
      <c r="S674" s="106" t="s">
        <v>4343</v>
      </c>
      <c r="T674" s="135" t="s">
        <v>465</v>
      </c>
      <c r="U674" s="51">
        <v>3</v>
      </c>
      <c r="V674" s="58"/>
      <c r="W674" s="58"/>
      <c r="X674" s="59" t="s">
        <v>108</v>
      </c>
      <c r="Y674" s="93">
        <f>IF(AD674=0, 0, IF(OR(H674="", H674&lt;&gt;0), 1, 0))</f>
        <v>1</v>
      </c>
      <c r="Z674" s="3">
        <v>0</v>
      </c>
      <c r="AA674" s="3" t="s">
        <v>4348</v>
      </c>
      <c r="AD674" s="6">
        <f>ROUND((AG674*(1+AJ674)),2)</f>
        <v>56.23</v>
      </c>
      <c r="AE674" s="69">
        <v>64.0729635</v>
      </c>
      <c r="AF674" s="17">
        <f>(AE674*1)</f>
        <v>64.0729635</v>
      </c>
      <c r="AG674" s="6">
        <f>ROUND((AE674*AI674),2)</f>
        <v>41.65</v>
      </c>
      <c r="AH674" s="30" t="s">
        <v>110</v>
      </c>
      <c r="AI674" s="3">
        <v>0.65</v>
      </c>
      <c r="AJ674" s="18">
        <v>0.35</v>
      </c>
      <c r="AK674" s="6">
        <f>ROUND((AD674-(AD674*BG674)),2)</f>
        <v>55.67</v>
      </c>
      <c r="AL674" s="6">
        <f>ROUND((AD674-(AD674*BH674)),2)</f>
        <v>55.11</v>
      </c>
      <c r="AM674" s="6">
        <f>ROUND((AD674-(AD674*BI674)),2)</f>
        <v>54.54</v>
      </c>
      <c r="AN674" s="6">
        <f>ROUND((AD674-(AD674*BJ674)),2)</f>
        <v>54.54</v>
      </c>
      <c r="AO674" s="6">
        <f>ROUND((AD674-(AD674*BK674)),2)</f>
        <v>56.23</v>
      </c>
      <c r="BG674" s="12">
        <v>0.01</v>
      </c>
      <c r="BH674" s="12">
        <v>0.02</v>
      </c>
      <c r="BI674" s="12">
        <v>0.03</v>
      </c>
      <c r="BJ674" s="12">
        <v>0.03</v>
      </c>
      <c r="CC674" s="3" t="str">
        <f>IF(B674&lt;&gt;"",CONCATENATE(SUBSTITUTE(B674," ","-"),".jpg"),"")</f>
        <v>Allied-Moulded-AMP884F.jpg</v>
      </c>
      <c r="CD674" s="16" t="s">
        <v>111</v>
      </c>
      <c r="CE674" s="3"/>
      <c r="CF674" s="3"/>
      <c r="CG674" s="3" t="s">
        <v>112</v>
      </c>
      <c r="CI674" s="3" t="s">
        <v>97</v>
      </c>
      <c r="CJ674" s="3" t="s">
        <v>481</v>
      </c>
      <c r="CK674" s="3" t="s">
        <v>114</v>
      </c>
      <c r="CL674" s="3" t="s">
        <v>115</v>
      </c>
      <c r="CM674" s="16"/>
      <c r="CN674" s="16" t="s">
        <v>349</v>
      </c>
      <c r="CO674" s="3" t="s">
        <v>482</v>
      </c>
      <c r="CP674" s="3" t="s">
        <v>139</v>
      </c>
      <c r="CQ674" s="3" t="s">
        <v>120</v>
      </c>
      <c r="CR674" s="3" t="s">
        <v>140</v>
      </c>
      <c r="CS674" s="3" t="s">
        <v>384</v>
      </c>
      <c r="CT674" s="16" t="s">
        <v>385</v>
      </c>
      <c r="CU674" s="16" t="s">
        <v>385</v>
      </c>
      <c r="CV674" s="16" t="s">
        <v>657</v>
      </c>
    </row>
    <row r="675" spans="1:100" ht="15" customHeight="1">
      <c r="A675" t="s">
        <v>4349</v>
      </c>
      <c r="B675" s="3" t="s">
        <v>4350</v>
      </c>
      <c r="C675" s="16" t="s">
        <v>97</v>
      </c>
      <c r="D675" s="40" t="s">
        <v>4351</v>
      </c>
      <c r="E675" s="16" t="s">
        <v>97</v>
      </c>
      <c r="F675" s="131" t="s">
        <v>4352</v>
      </c>
      <c r="I675" s="100" t="s">
        <v>342</v>
      </c>
      <c r="J675" s="16" t="s">
        <v>101</v>
      </c>
      <c r="K675" s="16"/>
      <c r="L675" s="3" t="s">
        <v>102</v>
      </c>
      <c r="M675" s="3" t="s">
        <v>103</v>
      </c>
      <c r="N675" s="3" t="s">
        <v>104</v>
      </c>
      <c r="O675" s="16" t="s">
        <v>478</v>
      </c>
      <c r="P675" s="2" t="s">
        <v>4353</v>
      </c>
      <c r="Q675" s="2" t="s">
        <v>4353</v>
      </c>
      <c r="R675" s="2" t="s">
        <v>4353</v>
      </c>
      <c r="S675" s="106" t="s">
        <v>4349</v>
      </c>
      <c r="T675" s="135" t="s">
        <v>465</v>
      </c>
      <c r="U675" s="51">
        <v>3</v>
      </c>
      <c r="V675" s="58"/>
      <c r="W675" s="58"/>
      <c r="X675" s="59" t="s">
        <v>108</v>
      </c>
      <c r="Y675" s="93">
        <f>IF(AD675=0, 0, IF(OR(H675="", H675&lt;&gt;0), 1, 0))</f>
        <v>1</v>
      </c>
      <c r="Z675" s="3">
        <v>0</v>
      </c>
      <c r="AA675" s="3" t="s">
        <v>4354</v>
      </c>
      <c r="AD675" s="6">
        <f>ROUND((AG675*(1+AJ675)),2)</f>
        <v>58.39</v>
      </c>
      <c r="AE675" s="69">
        <v>66.53425695</v>
      </c>
      <c r="AF675" s="17">
        <f>(AE675*1)</f>
        <v>66.53425695</v>
      </c>
      <c r="AG675" s="6">
        <f>ROUND((AE675*AI675),2)</f>
        <v>43.25</v>
      </c>
      <c r="AH675" s="30" t="s">
        <v>110</v>
      </c>
      <c r="AI675" s="3">
        <v>0.65</v>
      </c>
      <c r="AJ675" s="18">
        <v>0.35</v>
      </c>
      <c r="AK675" s="6">
        <f>ROUND((AD675-(AD675*BG675)),2)</f>
        <v>57.81</v>
      </c>
      <c r="AL675" s="6">
        <f>ROUND((AD675-(AD675*BH675)),2)</f>
        <v>57.22</v>
      </c>
      <c r="AM675" s="6">
        <f>ROUND((AD675-(AD675*BI675)),2)</f>
        <v>56.64</v>
      </c>
      <c r="AN675" s="6">
        <f>ROUND((AD675-(AD675*BJ675)),2)</f>
        <v>56.64</v>
      </c>
      <c r="AO675" s="6">
        <f>ROUND((AD675-(AD675*BK675)),2)</f>
        <v>58.39</v>
      </c>
      <c r="BG675" s="12">
        <v>0.01</v>
      </c>
      <c r="BH675" s="12">
        <v>0.02</v>
      </c>
      <c r="BI675" s="12">
        <v>0.03</v>
      </c>
      <c r="BJ675" s="12">
        <v>0.03</v>
      </c>
      <c r="CC675" s="3" t="str">
        <f>IF(B675&lt;&gt;"",CONCATENATE(SUBSTITUTE(B675," ","-"),".jpg"),"")</f>
        <v>Allied-Moulded-AMP884H.jpg</v>
      </c>
      <c r="CD675" s="16" t="s">
        <v>111</v>
      </c>
      <c r="CE675" s="3"/>
      <c r="CF675" s="3"/>
      <c r="CG675" s="3" t="s">
        <v>112</v>
      </c>
      <c r="CI675" s="3" t="s">
        <v>97</v>
      </c>
      <c r="CJ675" s="3" t="s">
        <v>481</v>
      </c>
      <c r="CK675" s="3" t="s">
        <v>114</v>
      </c>
      <c r="CL675" s="3" t="s">
        <v>115</v>
      </c>
      <c r="CM675" s="3" t="s">
        <v>116</v>
      </c>
      <c r="CN675" s="16" t="s">
        <v>349</v>
      </c>
      <c r="CO675" s="3" t="s">
        <v>482</v>
      </c>
      <c r="CP675" s="3" t="s">
        <v>139</v>
      </c>
      <c r="CQ675" s="3" t="s">
        <v>120</v>
      </c>
      <c r="CR675" s="3" t="s">
        <v>140</v>
      </c>
      <c r="CS675" s="3" t="s">
        <v>384</v>
      </c>
      <c r="CT675" s="16" t="s">
        <v>385</v>
      </c>
      <c r="CU675" s="16" t="s">
        <v>385</v>
      </c>
      <c r="CV675" s="16" t="s">
        <v>657</v>
      </c>
    </row>
    <row r="676" spans="1:100" ht="15" customHeight="1">
      <c r="A676" t="s">
        <v>4355</v>
      </c>
      <c r="B676" s="3" t="s">
        <v>4356</v>
      </c>
      <c r="C676" s="16" t="s">
        <v>97</v>
      </c>
      <c r="D676" s="39" t="s">
        <v>4357</v>
      </c>
      <c r="E676" s="16" t="s">
        <v>97</v>
      </c>
      <c r="F676" s="131" t="s">
        <v>4358</v>
      </c>
      <c r="I676" s="100" t="s">
        <v>342</v>
      </c>
      <c r="J676" s="16" t="s">
        <v>101</v>
      </c>
      <c r="K676" s="16"/>
      <c r="L676" s="3" t="s">
        <v>102</v>
      </c>
      <c r="M676" s="3" t="s">
        <v>103</v>
      </c>
      <c r="N676" s="3" t="s">
        <v>104</v>
      </c>
      <c r="O676" s="16" t="s">
        <v>478</v>
      </c>
      <c r="P676" s="2" t="s">
        <v>4359</v>
      </c>
      <c r="Q676" s="2" t="s">
        <v>4359</v>
      </c>
      <c r="R676" s="2" t="s">
        <v>4359</v>
      </c>
      <c r="S676" s="106" t="s">
        <v>4355</v>
      </c>
      <c r="T676" s="135" t="s">
        <v>465</v>
      </c>
      <c r="U676" s="50">
        <v>3</v>
      </c>
      <c r="V676" s="54"/>
      <c r="W676" s="54"/>
      <c r="X676" s="59" t="s">
        <v>108</v>
      </c>
      <c r="Y676" s="93">
        <f>IF(AD676=0, 0, IF(OR(H676="", H676&lt;&gt;0), 1, 0))</f>
        <v>1</v>
      </c>
      <c r="Z676" s="3">
        <v>0</v>
      </c>
      <c r="AA676" s="3" t="s">
        <v>4360</v>
      </c>
      <c r="AD676" s="6">
        <f>ROUND((AG676*(1+AJ676)),2)</f>
        <v>61.3</v>
      </c>
      <c r="AE676" s="69">
        <v>69.868907849999999</v>
      </c>
      <c r="AF676" s="17">
        <f>(AE676*1)</f>
        <v>69.868907849999999</v>
      </c>
      <c r="AG676" s="6">
        <f>ROUND((AE676*AI676),2)</f>
        <v>45.41</v>
      </c>
      <c r="AH676" s="30" t="s">
        <v>110</v>
      </c>
      <c r="AI676" s="3">
        <v>0.65</v>
      </c>
      <c r="AJ676" s="18">
        <v>0.35</v>
      </c>
      <c r="AK676" s="6">
        <f>ROUND((AD676-(AD676*BG676)),2)</f>
        <v>60.69</v>
      </c>
      <c r="AL676" s="6">
        <f>ROUND((AD676-(AD676*BH676)),2)</f>
        <v>60.07</v>
      </c>
      <c r="AM676" s="6">
        <f>ROUND((AD676-(AD676*BI676)),2)</f>
        <v>59.46</v>
      </c>
      <c r="AN676" s="6">
        <f>ROUND((AD676-(AD676*BJ676)),2)</f>
        <v>59.46</v>
      </c>
      <c r="AO676" s="6">
        <f>ROUND((AD676-(AD676*BK676)),2)</f>
        <v>61.3</v>
      </c>
      <c r="BG676" s="12">
        <v>0.01</v>
      </c>
      <c r="BH676" s="12">
        <v>0.02</v>
      </c>
      <c r="BI676" s="12">
        <v>0.03</v>
      </c>
      <c r="BJ676" s="12">
        <v>0.03</v>
      </c>
      <c r="CC676" s="3" t="str">
        <f>IF(B676&lt;&gt;"",CONCATENATE(SUBSTITUTE(B676," ","-"),".jpg"),"")</f>
        <v>Allied-Moulded-AMP884HF.jpg</v>
      </c>
      <c r="CD676" s="16" t="s">
        <v>111</v>
      </c>
      <c r="CE676" s="3"/>
      <c r="CF676" s="3"/>
      <c r="CG676" s="3" t="s">
        <v>112</v>
      </c>
      <c r="CI676" s="3" t="s">
        <v>97</v>
      </c>
      <c r="CJ676" s="3" t="s">
        <v>481</v>
      </c>
      <c r="CK676" s="3" t="s">
        <v>114</v>
      </c>
      <c r="CL676" s="3" t="s">
        <v>115</v>
      </c>
      <c r="CM676" s="3" t="s">
        <v>116</v>
      </c>
      <c r="CN676" s="16" t="s">
        <v>349</v>
      </c>
      <c r="CO676" s="3" t="s">
        <v>482</v>
      </c>
      <c r="CP676" s="3" t="s">
        <v>139</v>
      </c>
      <c r="CQ676" s="3" t="s">
        <v>120</v>
      </c>
      <c r="CR676" s="3" t="s">
        <v>140</v>
      </c>
      <c r="CS676" s="3" t="s">
        <v>384</v>
      </c>
      <c r="CT676" s="16" t="s">
        <v>385</v>
      </c>
      <c r="CU676" s="16" t="s">
        <v>385</v>
      </c>
      <c r="CV676" s="16" t="s">
        <v>657</v>
      </c>
    </row>
    <row r="677" spans="1:100" ht="15" customHeight="1">
      <c r="A677" t="s">
        <v>4361</v>
      </c>
      <c r="B677" s="3" t="s">
        <v>4362</v>
      </c>
      <c r="C677" s="16" t="s">
        <v>97</v>
      </c>
      <c r="D677" s="39" t="s">
        <v>4363</v>
      </c>
      <c r="E677" s="16" t="s">
        <v>97</v>
      </c>
      <c r="F677" s="131" t="s">
        <v>4364</v>
      </c>
      <c r="I677" s="100" t="s">
        <v>342</v>
      </c>
      <c r="J677" s="16" t="s">
        <v>101</v>
      </c>
      <c r="K677" s="16"/>
      <c r="L677" s="3" t="s">
        <v>102</v>
      </c>
      <c r="M677" s="3" t="s">
        <v>103</v>
      </c>
      <c r="N677" s="3" t="s">
        <v>104</v>
      </c>
      <c r="O677" s="16" t="s">
        <v>478</v>
      </c>
      <c r="P677" s="2" t="s">
        <v>4365</v>
      </c>
      <c r="Q677" s="2" t="s">
        <v>4365</v>
      </c>
      <c r="R677" s="2" t="s">
        <v>4365</v>
      </c>
      <c r="S677" s="106" t="s">
        <v>4361</v>
      </c>
      <c r="T677" s="135" t="s">
        <v>465</v>
      </c>
      <c r="U677" s="50">
        <v>3</v>
      </c>
      <c r="V677" s="54"/>
      <c r="W677" s="54"/>
      <c r="X677" s="59" t="s">
        <v>108</v>
      </c>
      <c r="Y677" s="93">
        <f>IF(AD677=0, 0, IF(OR(H677="", H677&lt;&gt;0), 1, 0))</f>
        <v>1</v>
      </c>
      <c r="Z677" s="3">
        <v>0</v>
      </c>
      <c r="AA677" s="3" t="s">
        <v>4366</v>
      </c>
      <c r="AD677" s="6">
        <f>ROUND((AG677*(1+AJ677)),2)</f>
        <v>70.5</v>
      </c>
      <c r="AE677" s="69">
        <v>80.333365349999994</v>
      </c>
      <c r="AF677" s="17">
        <f>(AE677*1)</f>
        <v>80.333365349999994</v>
      </c>
      <c r="AG677" s="6">
        <f>ROUND((AE677*AI677),2)</f>
        <v>52.22</v>
      </c>
      <c r="AH677" s="30" t="s">
        <v>110</v>
      </c>
      <c r="AI677" s="3">
        <v>0.65</v>
      </c>
      <c r="AJ677" s="18">
        <v>0.35</v>
      </c>
      <c r="AK677" s="6">
        <f>ROUND((AD677-(AD677*BG677)),2)</f>
        <v>69.8</v>
      </c>
      <c r="AL677" s="6">
        <f>ROUND((AD677-(AD677*BH677)),2)</f>
        <v>69.09</v>
      </c>
      <c r="AM677" s="6">
        <f>ROUND((AD677-(AD677*BI677)),2)</f>
        <v>68.39</v>
      </c>
      <c r="AN677" s="6">
        <f>ROUND((AD677-(AD677*BJ677)),2)</f>
        <v>68.39</v>
      </c>
      <c r="AO677" s="6">
        <f>ROUND((AD677-(AD677*BK677)),2)</f>
        <v>70.5</v>
      </c>
      <c r="BG677" s="12">
        <v>0.01</v>
      </c>
      <c r="BH677" s="12">
        <v>0.02</v>
      </c>
      <c r="BI677" s="12">
        <v>0.03</v>
      </c>
      <c r="BJ677" s="12">
        <v>0.03</v>
      </c>
      <c r="CC677" s="3" t="str">
        <f>IF(B677&lt;&gt;"",CONCATENATE(SUBSTITUTE(B677," ","-"),".jpg"),"")</f>
        <v>Allied-Moulded-AMP884L.jpg</v>
      </c>
      <c r="CD677" s="16" t="s">
        <v>111</v>
      </c>
      <c r="CE677" s="3"/>
      <c r="CF677" s="3"/>
      <c r="CG677" s="3" t="s">
        <v>112</v>
      </c>
      <c r="CI677" s="3" t="s">
        <v>97</v>
      </c>
      <c r="CJ677" s="3" t="s">
        <v>481</v>
      </c>
      <c r="CK677" s="3" t="s">
        <v>114</v>
      </c>
      <c r="CL677" s="3" t="s">
        <v>115</v>
      </c>
      <c r="CM677" s="3" t="s">
        <v>116</v>
      </c>
      <c r="CN677" t="s">
        <v>117</v>
      </c>
      <c r="CO677" s="3" t="s">
        <v>482</v>
      </c>
      <c r="CP677" s="3" t="s">
        <v>139</v>
      </c>
      <c r="CQ677" s="3" t="s">
        <v>120</v>
      </c>
      <c r="CR677" s="3" t="s">
        <v>140</v>
      </c>
      <c r="CS677" s="16" t="s">
        <v>122</v>
      </c>
      <c r="CT677" s="16" t="s">
        <v>385</v>
      </c>
      <c r="CU677" s="16" t="s">
        <v>385</v>
      </c>
      <c r="CV677" s="16" t="s">
        <v>657</v>
      </c>
    </row>
    <row r="678" spans="1:100" ht="15" customHeight="1">
      <c r="A678" t="s">
        <v>4367</v>
      </c>
      <c r="B678" s="3" t="s">
        <v>4368</v>
      </c>
      <c r="C678" s="16" t="s">
        <v>97</v>
      </c>
      <c r="D678" s="40" t="s">
        <v>4369</v>
      </c>
      <c r="E678" s="16" t="s">
        <v>97</v>
      </c>
      <c r="F678" s="131" t="s">
        <v>4370</v>
      </c>
      <c r="I678" s="100" t="s">
        <v>342</v>
      </c>
      <c r="J678" s="16" t="s">
        <v>101</v>
      </c>
      <c r="K678" s="16"/>
      <c r="L678" s="3" t="s">
        <v>102</v>
      </c>
      <c r="M678" s="3" t="s">
        <v>103</v>
      </c>
      <c r="N678" s="3" t="s">
        <v>104</v>
      </c>
      <c r="O678" s="16" t="s">
        <v>478</v>
      </c>
      <c r="P678" s="2" t="s">
        <v>4371</v>
      </c>
      <c r="Q678" s="2" t="s">
        <v>4371</v>
      </c>
      <c r="R678" s="2" t="s">
        <v>4371</v>
      </c>
      <c r="S678" s="106" t="s">
        <v>4367</v>
      </c>
      <c r="T678" s="135" t="s">
        <v>465</v>
      </c>
      <c r="U678" s="51">
        <v>3</v>
      </c>
      <c r="V678" s="58"/>
      <c r="W678" s="58"/>
      <c r="X678" s="59" t="s">
        <v>108</v>
      </c>
      <c r="Y678" s="93">
        <f>IF(AD678=0, 0, IF(OR(H678="", H678&lt;&gt;0), 1, 0))</f>
        <v>1</v>
      </c>
      <c r="Z678" s="3">
        <v>0</v>
      </c>
      <c r="AA678" s="3" t="s">
        <v>4372</v>
      </c>
      <c r="AD678" s="6">
        <f>ROUND((AG678*(1+AJ678)),2)</f>
        <v>74.2</v>
      </c>
      <c r="AE678" s="69">
        <v>84.557257050000004</v>
      </c>
      <c r="AF678" s="17">
        <f>(AE678*1)</f>
        <v>84.557257050000004</v>
      </c>
      <c r="AG678" s="6">
        <f>ROUND((AE678*AI678),2)</f>
        <v>54.96</v>
      </c>
      <c r="AH678" s="30" t="s">
        <v>110</v>
      </c>
      <c r="AI678" s="3">
        <v>0.65</v>
      </c>
      <c r="AJ678" s="18">
        <v>0.35</v>
      </c>
      <c r="AK678" s="6">
        <f>ROUND((AD678-(AD678*BG678)),2)</f>
        <v>73.459999999999994</v>
      </c>
      <c r="AL678" s="6">
        <f>ROUND((AD678-(AD678*BH678)),2)</f>
        <v>72.72</v>
      </c>
      <c r="AM678" s="6">
        <f>ROUND((AD678-(AD678*BI678)),2)</f>
        <v>71.97</v>
      </c>
      <c r="AN678" s="6">
        <f>ROUND((AD678-(AD678*BJ678)),2)</f>
        <v>71.97</v>
      </c>
      <c r="AO678" s="6">
        <f>ROUND((AD678-(AD678*BK678)),2)</f>
        <v>74.2</v>
      </c>
      <c r="BG678" s="12">
        <v>0.01</v>
      </c>
      <c r="BH678" s="12">
        <v>0.02</v>
      </c>
      <c r="BI678" s="12">
        <v>0.03</v>
      </c>
      <c r="BJ678" s="12">
        <v>0.03</v>
      </c>
      <c r="CC678" s="3" t="str">
        <f>IF(B678&lt;&gt;"",CONCATENATE(SUBSTITUTE(B678," ","-"),".jpg"),"")</f>
        <v>Allied-Moulded-AMP884LF.jpg</v>
      </c>
      <c r="CD678" s="16" t="s">
        <v>111</v>
      </c>
      <c r="CE678" s="3"/>
      <c r="CF678" s="3"/>
      <c r="CG678" s="3" t="s">
        <v>112</v>
      </c>
      <c r="CI678" s="3" t="s">
        <v>97</v>
      </c>
      <c r="CJ678" s="3" t="s">
        <v>481</v>
      </c>
      <c r="CK678" s="3" t="s">
        <v>114</v>
      </c>
      <c r="CL678" s="3" t="s">
        <v>115</v>
      </c>
      <c r="CM678" s="3" t="s">
        <v>116</v>
      </c>
      <c r="CN678" t="s">
        <v>117</v>
      </c>
      <c r="CO678" s="3" t="s">
        <v>482</v>
      </c>
      <c r="CP678" s="3" t="s">
        <v>139</v>
      </c>
      <c r="CQ678" s="3" t="s">
        <v>120</v>
      </c>
      <c r="CR678" s="3" t="s">
        <v>140</v>
      </c>
      <c r="CS678" s="16" t="s">
        <v>122</v>
      </c>
      <c r="CT678" s="16" t="s">
        <v>385</v>
      </c>
      <c r="CU678" s="16" t="s">
        <v>385</v>
      </c>
      <c r="CV678" s="16" t="s">
        <v>657</v>
      </c>
    </row>
    <row r="679" spans="1:100" ht="15" customHeight="1">
      <c r="A679" t="s">
        <v>4373</v>
      </c>
      <c r="B679" s="3" t="s">
        <v>4374</v>
      </c>
      <c r="C679" s="16" t="s">
        <v>97</v>
      </c>
      <c r="D679" s="40" t="s">
        <v>4375</v>
      </c>
      <c r="E679" s="16" t="s">
        <v>97</v>
      </c>
      <c r="F679" s="131" t="s">
        <v>4376</v>
      </c>
      <c r="I679" s="100" t="s">
        <v>342</v>
      </c>
      <c r="J679" s="16" t="s">
        <v>101</v>
      </c>
      <c r="K679" s="16"/>
      <c r="L679" s="3" t="s">
        <v>102</v>
      </c>
      <c r="M679" s="3" t="s">
        <v>103</v>
      </c>
      <c r="N679" s="3" t="s">
        <v>104</v>
      </c>
      <c r="O679" s="16" t="s">
        <v>478</v>
      </c>
      <c r="P679" s="2" t="s">
        <v>4377</v>
      </c>
      <c r="Q679" s="2" t="s">
        <v>4377</v>
      </c>
      <c r="R679" s="2" t="s">
        <v>4377</v>
      </c>
      <c r="S679" s="85" t="s">
        <v>4373</v>
      </c>
      <c r="T679" s="135" t="s">
        <v>465</v>
      </c>
      <c r="U679" s="51">
        <v>3</v>
      </c>
      <c r="V679" s="58"/>
      <c r="W679" s="58"/>
      <c r="X679" s="59" t="s">
        <v>108</v>
      </c>
      <c r="Y679" s="93">
        <f>IF(AD679=0, 0, IF(OR(H679="", H679&lt;&gt;0), 1, 0))</f>
        <v>1</v>
      </c>
      <c r="Z679" s="3">
        <v>0</v>
      </c>
      <c r="AA679" s="3" t="s">
        <v>4378</v>
      </c>
      <c r="AD679" s="6">
        <f>ROUND((AG679*(1+AJ679)),2)</f>
        <v>66.97</v>
      </c>
      <c r="AE679" s="69">
        <v>76.315903649999996</v>
      </c>
      <c r="AF679" s="17">
        <f>(AE679*1)</f>
        <v>76.315903649999996</v>
      </c>
      <c r="AG679" s="6">
        <f>ROUND((AE679*AI679),2)</f>
        <v>49.61</v>
      </c>
      <c r="AH679" s="30" t="s">
        <v>110</v>
      </c>
      <c r="AI679" s="3">
        <v>0.65</v>
      </c>
      <c r="AJ679" s="18">
        <v>0.35</v>
      </c>
      <c r="AK679" s="6">
        <f>ROUND((AD679-(AD679*BG679)),2)</f>
        <v>66.3</v>
      </c>
      <c r="AL679" s="6">
        <f>ROUND((AD679-(AD679*BH679)),2)</f>
        <v>65.63</v>
      </c>
      <c r="AM679" s="6">
        <f>ROUND((AD679-(AD679*BI679)),2)</f>
        <v>64.959999999999994</v>
      </c>
      <c r="AN679" s="6">
        <f>ROUND((AD679-(AD679*BJ679)),2)</f>
        <v>64.959999999999994</v>
      </c>
      <c r="AO679" s="6">
        <f>ROUND((AD679-(AD679*BK679)),2)</f>
        <v>66.97</v>
      </c>
      <c r="BG679" s="12">
        <v>0.01</v>
      </c>
      <c r="BH679" s="12">
        <v>0.02</v>
      </c>
      <c r="BI679" s="12">
        <v>0.03</v>
      </c>
      <c r="BJ679" s="12">
        <v>0.03</v>
      </c>
      <c r="CC679" s="3" t="str">
        <f>IF(B679&lt;&gt;"",CONCATENATE(SUBSTITUTE(B679," ","-"),".jpg"),"")</f>
        <v>Allied-Moulded-AMP884NL.jpg</v>
      </c>
      <c r="CD679" s="16" t="s">
        <v>111</v>
      </c>
      <c r="CE679" s="3"/>
      <c r="CF679" s="3"/>
      <c r="CG679" s="3" t="s">
        <v>112</v>
      </c>
      <c r="CI679" s="3" t="s">
        <v>97</v>
      </c>
      <c r="CJ679" s="3" t="s">
        <v>481</v>
      </c>
      <c r="CK679" s="3" t="s">
        <v>114</v>
      </c>
      <c r="CL679" s="3" t="s">
        <v>115</v>
      </c>
      <c r="CM679" s="3" t="s">
        <v>116</v>
      </c>
      <c r="CN679" t="s">
        <v>117</v>
      </c>
      <c r="CO679" s="3" t="s">
        <v>482</v>
      </c>
      <c r="CP679" s="3" t="s">
        <v>139</v>
      </c>
      <c r="CQ679" s="3" t="s">
        <v>120</v>
      </c>
      <c r="CR679" s="3" t="s">
        <v>140</v>
      </c>
      <c r="CS679" s="16" t="s">
        <v>122</v>
      </c>
      <c r="CT679" s="16" t="s">
        <v>385</v>
      </c>
      <c r="CU679" s="16" t="s">
        <v>385</v>
      </c>
      <c r="CV679" s="16" t="s">
        <v>657</v>
      </c>
    </row>
    <row r="680" spans="1:100" ht="15" customHeight="1">
      <c r="A680" t="s">
        <v>4379</v>
      </c>
      <c r="B680" s="3" t="s">
        <v>4380</v>
      </c>
      <c r="C680" s="16" t="s">
        <v>97</v>
      </c>
      <c r="D680" s="41" t="s">
        <v>4381</v>
      </c>
      <c r="E680" s="16" t="s">
        <v>97</v>
      </c>
      <c r="F680" s="131" t="s">
        <v>4382</v>
      </c>
      <c r="I680" s="100" t="s">
        <v>342</v>
      </c>
      <c r="J680" s="16" t="s">
        <v>101</v>
      </c>
      <c r="K680" s="16"/>
      <c r="L680" s="3" t="s">
        <v>102</v>
      </c>
      <c r="M680" s="3" t="s">
        <v>103</v>
      </c>
      <c r="N680" s="3" t="s">
        <v>104</v>
      </c>
      <c r="O680" s="16" t="s">
        <v>478</v>
      </c>
      <c r="P680" s="2" t="s">
        <v>4383</v>
      </c>
      <c r="Q680" s="2" t="s">
        <v>4383</v>
      </c>
      <c r="R680" s="2" t="s">
        <v>4383</v>
      </c>
      <c r="S680" s="107" t="s">
        <v>4379</v>
      </c>
      <c r="T680" s="134" t="s">
        <v>465</v>
      </c>
      <c r="U680" s="52">
        <v>3</v>
      </c>
      <c r="V680" s="54"/>
      <c r="W680" s="54"/>
      <c r="X680" s="59" t="s">
        <v>108</v>
      </c>
      <c r="Y680" s="93">
        <f>IF(AD680=0, 0, IF(OR(H680="", H680&lt;&gt;0), 1, 0))</f>
        <v>1</v>
      </c>
      <c r="Z680" s="3">
        <v>0</v>
      </c>
      <c r="AA680" s="3" t="s">
        <v>4384</v>
      </c>
      <c r="AD680" s="6">
        <f>ROUND((AG680*(1+AJ680)),2)</f>
        <v>70.5</v>
      </c>
      <c r="AE680" s="68">
        <v>80.333365349999994</v>
      </c>
      <c r="AF680" s="17">
        <f>(AE680*1)</f>
        <v>80.333365349999994</v>
      </c>
      <c r="AG680" s="6">
        <f>ROUND((AE680*AI680),2)</f>
        <v>52.22</v>
      </c>
      <c r="AH680" s="30" t="s">
        <v>110</v>
      </c>
      <c r="AI680" s="3">
        <v>0.65</v>
      </c>
      <c r="AJ680" s="18">
        <v>0.35</v>
      </c>
      <c r="AK680" s="6">
        <f>ROUND((AD680-(AD680*BG680)),2)</f>
        <v>69.8</v>
      </c>
      <c r="AL680" s="6">
        <f>ROUND((AD680-(AD680*BH680)),2)</f>
        <v>69.09</v>
      </c>
      <c r="AM680" s="6">
        <f>ROUND((AD680-(AD680*BI680)),2)</f>
        <v>68.39</v>
      </c>
      <c r="AN680" s="6">
        <f>ROUND((AD680-(AD680*BJ680)),2)</f>
        <v>68.39</v>
      </c>
      <c r="AO680" s="6">
        <f>ROUND((AD680-(AD680*BK680)),2)</f>
        <v>70.5</v>
      </c>
      <c r="BG680" s="12">
        <v>0.01</v>
      </c>
      <c r="BH680" s="12">
        <v>0.02</v>
      </c>
      <c r="BI680" s="12">
        <v>0.03</v>
      </c>
      <c r="BJ680" s="12">
        <v>0.03</v>
      </c>
      <c r="CC680" s="3" t="str">
        <f>IF(B680&lt;&gt;"",CONCATENATE(SUBSTITUTE(B680," ","-"),".jpg"),"")</f>
        <v>Allied-Moulded-AMP884NLF.jpg</v>
      </c>
      <c r="CD680" s="16" t="s">
        <v>111</v>
      </c>
      <c r="CE680" s="3"/>
      <c r="CF680" s="3"/>
      <c r="CG680" s="3" t="s">
        <v>112</v>
      </c>
      <c r="CI680" s="3" t="s">
        <v>97</v>
      </c>
      <c r="CJ680" s="3" t="s">
        <v>481</v>
      </c>
      <c r="CK680" s="3" t="s">
        <v>114</v>
      </c>
      <c r="CL680" s="3" t="s">
        <v>115</v>
      </c>
      <c r="CM680" s="3" t="s">
        <v>116</v>
      </c>
      <c r="CN680" t="s">
        <v>117</v>
      </c>
      <c r="CO680" s="3" t="s">
        <v>482</v>
      </c>
      <c r="CP680" s="3" t="s">
        <v>139</v>
      </c>
      <c r="CQ680" s="3" t="s">
        <v>120</v>
      </c>
      <c r="CR680" s="3" t="s">
        <v>140</v>
      </c>
      <c r="CS680" s="16" t="s">
        <v>122</v>
      </c>
      <c r="CT680" s="16" t="s">
        <v>385</v>
      </c>
      <c r="CU680" s="16" t="s">
        <v>385</v>
      </c>
      <c r="CV680" s="16" t="s">
        <v>657</v>
      </c>
    </row>
    <row r="681" spans="1:100" ht="15" customHeight="1">
      <c r="A681" t="s">
        <v>4385</v>
      </c>
      <c r="B681" s="3" t="s">
        <v>4386</v>
      </c>
      <c r="C681" s="16" t="s">
        <v>97</v>
      </c>
      <c r="D681" s="39" t="s">
        <v>4387</v>
      </c>
      <c r="E681" s="16" t="s">
        <v>97</v>
      </c>
      <c r="F681" s="131" t="s">
        <v>4388</v>
      </c>
      <c r="I681" s="100" t="s">
        <v>342</v>
      </c>
      <c r="J681" s="16" t="s">
        <v>101</v>
      </c>
      <c r="K681" s="16"/>
      <c r="L681" s="3" t="s">
        <v>102</v>
      </c>
      <c r="M681" s="3" t="s">
        <v>103</v>
      </c>
      <c r="N681" s="3" t="s">
        <v>104</v>
      </c>
      <c r="O681" s="16" t="s">
        <v>478</v>
      </c>
      <c r="P681" s="8" t="s">
        <v>4389</v>
      </c>
      <c r="Q681" s="8" t="s">
        <v>4389</v>
      </c>
      <c r="R681" s="8" t="s">
        <v>4389</v>
      </c>
      <c r="S681" s="106" t="s">
        <v>4385</v>
      </c>
      <c r="T681" s="135" t="s">
        <v>2582</v>
      </c>
      <c r="U681" s="50">
        <v>2</v>
      </c>
      <c r="V681" s="54"/>
      <c r="W681" s="54"/>
      <c r="X681" s="59" t="s">
        <v>108</v>
      </c>
      <c r="Y681" s="93">
        <f>IF(AD681=0, 0, IF(OR(H681="", H681&lt;&gt;0), 1, 0))</f>
        <v>1</v>
      </c>
      <c r="Z681" s="3">
        <v>0</v>
      </c>
      <c r="AA681" s="3" t="s">
        <v>4390</v>
      </c>
      <c r="AD681" s="6">
        <f>ROUND((AG681*(1+AJ681)),2)</f>
        <v>46.67</v>
      </c>
      <c r="AE681" s="69">
        <v>53.188083899999995</v>
      </c>
      <c r="AF681" s="17">
        <f>(AE681*1)</f>
        <v>53.188083899999995</v>
      </c>
      <c r="AG681" s="6">
        <f>ROUND((AE681*AI681),2)</f>
        <v>34.57</v>
      </c>
      <c r="AH681" s="30" t="s">
        <v>110</v>
      </c>
      <c r="AI681" s="3">
        <v>0.65</v>
      </c>
      <c r="AJ681" s="18">
        <v>0.35</v>
      </c>
      <c r="AK681" s="6">
        <f>ROUND((AD681-(AD681*BG681)),2)</f>
        <v>46.2</v>
      </c>
      <c r="AL681" s="6">
        <f>ROUND((AD681-(AD681*BH681)),2)</f>
        <v>45.74</v>
      </c>
      <c r="AM681" s="6">
        <f>ROUND((AD681-(AD681*BI681)),2)</f>
        <v>45.27</v>
      </c>
      <c r="AN681" s="6">
        <f>ROUND((AD681-(AD681*BJ681)),2)</f>
        <v>45.27</v>
      </c>
      <c r="AO681" s="6">
        <f>ROUND((AD681-(AD681*BK681)),2)</f>
        <v>46.67</v>
      </c>
      <c r="BG681" s="12">
        <v>0.01</v>
      </c>
      <c r="BH681" s="12">
        <v>0.02</v>
      </c>
      <c r="BI681" s="12">
        <v>0.03</v>
      </c>
      <c r="BJ681" s="12">
        <v>0.03</v>
      </c>
      <c r="CC681" s="3" t="str">
        <f>IF(B681&lt;&gt;"",CONCATENATE(SUBSTITUTE(B681," ","-"),".jpg"),"")</f>
        <v>Allied-Moulded-AMP443CCNL.jpg</v>
      </c>
      <c r="CD681" s="16" t="s">
        <v>111</v>
      </c>
      <c r="CE681" s="3"/>
      <c r="CF681" s="3"/>
      <c r="CG681" s="3" t="s">
        <v>112</v>
      </c>
      <c r="CI681" s="3" t="s">
        <v>97</v>
      </c>
      <c r="CJ681" s="3" t="s">
        <v>481</v>
      </c>
      <c r="CK681" s="3" t="s">
        <v>114</v>
      </c>
      <c r="CL681" s="3" t="s">
        <v>115</v>
      </c>
      <c r="CM681" s="3" t="s">
        <v>116</v>
      </c>
      <c r="CN681" t="s">
        <v>117</v>
      </c>
      <c r="CO681" s="3" t="s">
        <v>482</v>
      </c>
      <c r="CP681" s="3" t="s">
        <v>139</v>
      </c>
      <c r="CQ681" s="3" t="s">
        <v>120</v>
      </c>
      <c r="CR681" s="16" t="s">
        <v>121</v>
      </c>
      <c r="CS681" s="16" t="s">
        <v>122</v>
      </c>
    </row>
    <row r="682" spans="1:100" ht="15" customHeight="1">
      <c r="A682" s="206" t="s">
        <v>6162</v>
      </c>
      <c r="B682" t="s">
        <v>6224</v>
      </c>
      <c r="C682" s="16" t="s">
        <v>97</v>
      </c>
      <c r="D682" t="s">
        <v>6286</v>
      </c>
      <c r="E682" s="16" t="s">
        <v>97</v>
      </c>
      <c r="F682"/>
      <c r="I682" s="100" t="s">
        <v>342</v>
      </c>
      <c r="J682" s="16" t="s">
        <v>101</v>
      </c>
      <c r="L682" s="3" t="s">
        <v>102</v>
      </c>
      <c r="M682" s="3" t="s">
        <v>103</v>
      </c>
      <c r="N682" s="3" t="s">
        <v>104</v>
      </c>
      <c r="O682" s="16" t="s">
        <v>478</v>
      </c>
      <c r="P682" t="s">
        <v>6364</v>
      </c>
      <c r="Q682" t="s">
        <v>6364</v>
      </c>
      <c r="R682" t="s">
        <v>6364</v>
      </c>
      <c r="S682" s="206" t="s">
        <v>6162</v>
      </c>
      <c r="T682" t="s">
        <v>6488</v>
      </c>
      <c r="U682">
        <v>6</v>
      </c>
      <c r="X682" s="31"/>
      <c r="Y682" s="93">
        <f t="shared" ref="Y682:Y743" si="0">IF(AD682=0, 0, IF(OR(H682="", H682&lt;&gt;0), 1, 0))</f>
        <v>1</v>
      </c>
      <c r="Z682" s="3">
        <v>0</v>
      </c>
      <c r="AA682" s="3" t="s">
        <v>6426</v>
      </c>
      <c r="AD682" s="6">
        <f t="shared" ref="AD682:AD743" si="1">ROUND((AG682*(1+AJ682)),2)</f>
        <v>81.36</v>
      </c>
      <c r="AE682" s="265">
        <v>92.721000750000016</v>
      </c>
      <c r="AF682" s="17">
        <f t="shared" ref="AF682:AF743" si="2">(AE682*1)</f>
        <v>92.721000750000016</v>
      </c>
      <c r="AG682" s="6">
        <f t="shared" ref="AG682:AG743" si="3">ROUND((AE682*AI682),2)</f>
        <v>60.27</v>
      </c>
      <c r="AH682" s="31"/>
      <c r="AI682" s="11">
        <v>0.65</v>
      </c>
      <c r="AJ682" s="18">
        <v>0.35</v>
      </c>
      <c r="AK682" s="6">
        <f t="shared" ref="AK682:AK743" si="4">ROUND((AD682-(AD682*BG682)),2)</f>
        <v>80.55</v>
      </c>
      <c r="AL682" s="6">
        <f t="shared" ref="AL682:AL743" si="5">ROUND((AD682-(AD682*BH682)),2)</f>
        <v>79.73</v>
      </c>
      <c r="AM682" s="6">
        <f t="shared" ref="AM682:AM743" si="6">ROUND((AD682-(AD682*BI682)),2)</f>
        <v>78.92</v>
      </c>
      <c r="AN682" s="6">
        <f t="shared" ref="AN682:AN743" si="7">ROUND((AD682-(AD682*BJ682)),2)</f>
        <v>78.92</v>
      </c>
      <c r="AO682" s="6">
        <f t="shared" ref="AO682:AO743" si="8">ROUND((AD682-(AD682*BK682)),2)</f>
        <v>81.36</v>
      </c>
      <c r="BG682" s="12">
        <v>0.01</v>
      </c>
      <c r="BH682" s="12">
        <v>0.02</v>
      </c>
      <c r="BI682" s="12">
        <v>0.03</v>
      </c>
      <c r="BJ682" s="12">
        <v>0.03</v>
      </c>
      <c r="CC682" s="3" t="str">
        <f t="shared" ref="CC682:CC743" si="9">IF(B682&lt;&gt;"",CONCATENATE(SUBSTITUTE(B682," ","-"),".jpg"),"")</f>
        <v>Allied-Moulded-AMP1226.jpg</v>
      </c>
      <c r="CD682" s="16" t="s">
        <v>111</v>
      </c>
      <c r="CG682" s="3" t="s">
        <v>112</v>
      </c>
      <c r="CI682" s="3" t="s">
        <v>97</v>
      </c>
      <c r="CJ682" s="3" t="s">
        <v>481</v>
      </c>
      <c r="CK682" s="3" t="s">
        <v>114</v>
      </c>
      <c r="CL682" s="3" t="s">
        <v>115</v>
      </c>
      <c r="CO682" s="3" t="s">
        <v>482</v>
      </c>
      <c r="CQ682" s="3" t="s">
        <v>120</v>
      </c>
      <c r="CT682" t="s">
        <v>125</v>
      </c>
      <c r="CU682" t="s">
        <v>125</v>
      </c>
      <c r="CV682" t="s">
        <v>351</v>
      </c>
    </row>
    <row r="683" spans="1:100" ht="15" customHeight="1">
      <c r="A683" t="s">
        <v>6163</v>
      </c>
      <c r="B683" t="s">
        <v>6225</v>
      </c>
      <c r="C683" s="16" t="s">
        <v>97</v>
      </c>
      <c r="D683" t="s">
        <v>6287</v>
      </c>
      <c r="E683" s="16" t="s">
        <v>97</v>
      </c>
      <c r="F683"/>
      <c r="I683" s="100" t="s">
        <v>342</v>
      </c>
      <c r="J683" s="16" t="s">
        <v>101</v>
      </c>
      <c r="L683" s="3" t="s">
        <v>102</v>
      </c>
      <c r="M683" s="3" t="s">
        <v>103</v>
      </c>
      <c r="N683" s="3" t="s">
        <v>104</v>
      </c>
      <c r="O683" s="16" t="s">
        <v>478</v>
      </c>
      <c r="P683" t="s">
        <v>6365</v>
      </c>
      <c r="Q683" t="s">
        <v>6365</v>
      </c>
      <c r="R683" t="s">
        <v>6365</v>
      </c>
      <c r="S683" t="s">
        <v>6163</v>
      </c>
      <c r="T683" t="s">
        <v>6488</v>
      </c>
      <c r="U683">
        <v>6</v>
      </c>
      <c r="X683" s="31"/>
      <c r="Y683" s="93">
        <f t="shared" si="0"/>
        <v>1</v>
      </c>
      <c r="Z683" s="3">
        <v>0</v>
      </c>
      <c r="AA683" s="3" t="s">
        <v>6427</v>
      </c>
      <c r="AD683" s="6">
        <f t="shared" si="1"/>
        <v>88.8</v>
      </c>
      <c r="AE683" s="265">
        <v>101.20757745000002</v>
      </c>
      <c r="AF683" s="17">
        <f t="shared" si="2"/>
        <v>101.20757745000002</v>
      </c>
      <c r="AG683" s="6">
        <f t="shared" si="3"/>
        <v>65.78</v>
      </c>
      <c r="AH683" s="31"/>
      <c r="AI683" s="11">
        <v>0.65</v>
      </c>
      <c r="AJ683" s="18">
        <v>0.35</v>
      </c>
      <c r="AK683" s="6">
        <f t="shared" si="4"/>
        <v>87.91</v>
      </c>
      <c r="AL683" s="6">
        <f t="shared" si="5"/>
        <v>87.02</v>
      </c>
      <c r="AM683" s="6">
        <f t="shared" si="6"/>
        <v>86.14</v>
      </c>
      <c r="AN683" s="6">
        <f t="shared" si="7"/>
        <v>86.14</v>
      </c>
      <c r="AO683" s="6">
        <f t="shared" si="8"/>
        <v>88.8</v>
      </c>
      <c r="BG683" s="12">
        <v>0.01</v>
      </c>
      <c r="BH683" s="12">
        <v>0.02</v>
      </c>
      <c r="BI683" s="12">
        <v>0.03</v>
      </c>
      <c r="BJ683" s="12">
        <v>0.03</v>
      </c>
      <c r="CC683" s="3" t="str">
        <f t="shared" si="9"/>
        <v>Allied-Moulded-AMP1226CC.jpg</v>
      </c>
      <c r="CD683" s="16" t="s">
        <v>111</v>
      </c>
      <c r="CG683" s="3" t="s">
        <v>112</v>
      </c>
      <c r="CI683" s="3" t="s">
        <v>97</v>
      </c>
      <c r="CJ683" s="3" t="s">
        <v>481</v>
      </c>
      <c r="CK683" s="3" t="s">
        <v>114</v>
      </c>
      <c r="CL683" s="3" t="s">
        <v>115</v>
      </c>
      <c r="CO683" s="3" t="s">
        <v>482</v>
      </c>
      <c r="CQ683" s="3" t="s">
        <v>120</v>
      </c>
      <c r="CT683" t="s">
        <v>125</v>
      </c>
      <c r="CU683" t="s">
        <v>125</v>
      </c>
      <c r="CV683" t="s">
        <v>351</v>
      </c>
    </row>
    <row r="684" spans="1:100" ht="15" customHeight="1">
      <c r="A684" t="s">
        <v>6164</v>
      </c>
      <c r="B684" t="s">
        <v>6226</v>
      </c>
      <c r="C684" s="16" t="s">
        <v>97</v>
      </c>
      <c r="D684" t="s">
        <v>6288</v>
      </c>
      <c r="E684" s="16" t="s">
        <v>97</v>
      </c>
      <c r="F684"/>
      <c r="I684" s="100" t="s">
        <v>342</v>
      </c>
      <c r="J684" s="16" t="s">
        <v>101</v>
      </c>
      <c r="L684" s="3" t="s">
        <v>102</v>
      </c>
      <c r="M684" s="3" t="s">
        <v>103</v>
      </c>
      <c r="N684" s="3" t="s">
        <v>104</v>
      </c>
      <c r="O684" s="16" t="s">
        <v>478</v>
      </c>
      <c r="P684" t="s">
        <v>6366</v>
      </c>
      <c r="Q684" t="s">
        <v>6366</v>
      </c>
      <c r="R684" t="s">
        <v>6366</v>
      </c>
      <c r="S684" t="s">
        <v>6164</v>
      </c>
      <c r="T684" t="s">
        <v>6488</v>
      </c>
      <c r="U684">
        <v>6</v>
      </c>
      <c r="X684" s="31"/>
      <c r="Y684" s="93">
        <f t="shared" si="0"/>
        <v>1</v>
      </c>
      <c r="Z684" s="3">
        <v>0</v>
      </c>
      <c r="AA684" s="3" t="s">
        <v>6428</v>
      </c>
      <c r="AD684" s="6">
        <f t="shared" si="1"/>
        <v>93.24</v>
      </c>
      <c r="AE684" s="265">
        <v>106.2584124</v>
      </c>
      <c r="AF684" s="17">
        <f t="shared" si="2"/>
        <v>106.2584124</v>
      </c>
      <c r="AG684" s="6">
        <f t="shared" si="3"/>
        <v>69.069999999999993</v>
      </c>
      <c r="AH684" s="31"/>
      <c r="AI684" s="11">
        <v>0.65</v>
      </c>
      <c r="AJ684" s="18">
        <v>0.35</v>
      </c>
      <c r="AK684" s="6">
        <f t="shared" si="4"/>
        <v>92.31</v>
      </c>
      <c r="AL684" s="6">
        <f t="shared" si="5"/>
        <v>91.38</v>
      </c>
      <c r="AM684" s="6">
        <f t="shared" si="6"/>
        <v>90.44</v>
      </c>
      <c r="AN684" s="6">
        <f t="shared" si="7"/>
        <v>90.44</v>
      </c>
      <c r="AO684" s="6">
        <f t="shared" si="8"/>
        <v>93.24</v>
      </c>
      <c r="BG684" s="12">
        <v>0.01</v>
      </c>
      <c r="BH684" s="12">
        <v>0.02</v>
      </c>
      <c r="BI684" s="12">
        <v>0.03</v>
      </c>
      <c r="BJ684" s="12">
        <v>0.03</v>
      </c>
      <c r="CC684" s="3" t="str">
        <f t="shared" si="9"/>
        <v>Allied-Moulded-AMP1226CCF.jpg</v>
      </c>
      <c r="CD684" s="16" t="s">
        <v>111</v>
      </c>
      <c r="CG684" s="3" t="s">
        <v>112</v>
      </c>
      <c r="CI684" s="3" t="s">
        <v>97</v>
      </c>
      <c r="CJ684" s="3" t="s">
        <v>481</v>
      </c>
      <c r="CK684" s="3" t="s">
        <v>114</v>
      </c>
      <c r="CL684" s="3" t="s">
        <v>115</v>
      </c>
      <c r="CO684" s="3" t="s">
        <v>482</v>
      </c>
      <c r="CQ684" s="3" t="s">
        <v>120</v>
      </c>
      <c r="CT684" t="s">
        <v>125</v>
      </c>
      <c r="CU684" t="s">
        <v>125</v>
      </c>
      <c r="CV684" t="s">
        <v>351</v>
      </c>
    </row>
    <row r="685" spans="1:100" ht="15" customHeight="1">
      <c r="A685" t="s">
        <v>6165</v>
      </c>
      <c r="B685" t="s">
        <v>6227</v>
      </c>
      <c r="C685" s="16" t="s">
        <v>97</v>
      </c>
      <c r="D685" t="s">
        <v>6289</v>
      </c>
      <c r="E685" s="16" t="s">
        <v>97</v>
      </c>
      <c r="F685"/>
      <c r="I685" s="100" t="s">
        <v>342</v>
      </c>
      <c r="J685" s="16" t="s">
        <v>101</v>
      </c>
      <c r="L685" s="3" t="s">
        <v>102</v>
      </c>
      <c r="M685" s="3" t="s">
        <v>103</v>
      </c>
      <c r="N685" s="3" t="s">
        <v>104</v>
      </c>
      <c r="O685" s="16" t="s">
        <v>478</v>
      </c>
      <c r="P685" t="s">
        <v>6367</v>
      </c>
      <c r="Q685" t="s">
        <v>6367</v>
      </c>
      <c r="R685" t="s">
        <v>6367</v>
      </c>
      <c r="S685" t="s">
        <v>6165</v>
      </c>
      <c r="T685" t="s">
        <v>6488</v>
      </c>
      <c r="U685">
        <v>6</v>
      </c>
      <c r="X685" s="31"/>
      <c r="Y685" s="93">
        <f t="shared" si="0"/>
        <v>1</v>
      </c>
      <c r="Z685" s="3">
        <v>0</v>
      </c>
      <c r="AA685" s="3" t="s">
        <v>6429</v>
      </c>
      <c r="AD685" s="6">
        <f t="shared" si="1"/>
        <v>94.18</v>
      </c>
      <c r="AE685" s="265">
        <v>107.33024714999999</v>
      </c>
      <c r="AF685" s="17">
        <f t="shared" si="2"/>
        <v>107.33024714999999</v>
      </c>
      <c r="AG685" s="6">
        <f t="shared" si="3"/>
        <v>69.760000000000005</v>
      </c>
      <c r="AH685" s="31"/>
      <c r="AI685" s="11">
        <v>0.65</v>
      </c>
      <c r="AJ685" s="18">
        <v>0.35</v>
      </c>
      <c r="AK685" s="6">
        <f t="shared" si="4"/>
        <v>93.24</v>
      </c>
      <c r="AL685" s="6">
        <f t="shared" si="5"/>
        <v>92.3</v>
      </c>
      <c r="AM685" s="6">
        <f t="shared" si="6"/>
        <v>91.35</v>
      </c>
      <c r="AN685" s="6">
        <f t="shared" si="7"/>
        <v>91.35</v>
      </c>
      <c r="AO685" s="6">
        <f t="shared" si="8"/>
        <v>94.18</v>
      </c>
      <c r="BG685" s="12">
        <v>0.01</v>
      </c>
      <c r="BH685" s="12">
        <v>0.02</v>
      </c>
      <c r="BI685" s="12">
        <v>0.03</v>
      </c>
      <c r="BJ685" s="12">
        <v>0.03</v>
      </c>
      <c r="CC685" s="3" t="str">
        <f t="shared" si="9"/>
        <v>Allied-Moulded-AMP1226CCH.jpg</v>
      </c>
      <c r="CD685" s="16" t="s">
        <v>111</v>
      </c>
      <c r="CG685" s="3" t="s">
        <v>112</v>
      </c>
      <c r="CI685" s="3" t="s">
        <v>97</v>
      </c>
      <c r="CJ685" s="3" t="s">
        <v>481</v>
      </c>
      <c r="CK685" s="3" t="s">
        <v>114</v>
      </c>
      <c r="CL685" s="3" t="s">
        <v>115</v>
      </c>
      <c r="CO685" s="3" t="s">
        <v>482</v>
      </c>
      <c r="CQ685" s="3" t="s">
        <v>120</v>
      </c>
      <c r="CT685" t="s">
        <v>125</v>
      </c>
      <c r="CU685" t="s">
        <v>125</v>
      </c>
      <c r="CV685" t="s">
        <v>351</v>
      </c>
    </row>
    <row r="686" spans="1:100" ht="15" customHeight="1">
      <c r="A686" t="s">
        <v>6166</v>
      </c>
      <c r="B686" t="s">
        <v>6228</v>
      </c>
      <c r="C686" s="16" t="s">
        <v>97</v>
      </c>
      <c r="D686" t="s">
        <v>6290</v>
      </c>
      <c r="E686" s="16" t="s">
        <v>97</v>
      </c>
      <c r="F686"/>
      <c r="I686" s="100" t="s">
        <v>342</v>
      </c>
      <c r="J686" s="16" t="s">
        <v>101</v>
      </c>
      <c r="L686" s="3" t="s">
        <v>102</v>
      </c>
      <c r="M686" s="3" t="s">
        <v>103</v>
      </c>
      <c r="N686" s="3" t="s">
        <v>104</v>
      </c>
      <c r="O686" s="16" t="s">
        <v>478</v>
      </c>
      <c r="P686" t="s">
        <v>6368</v>
      </c>
      <c r="Q686" t="s">
        <v>6368</v>
      </c>
      <c r="R686" t="s">
        <v>6368</v>
      </c>
      <c r="S686" t="s">
        <v>6166</v>
      </c>
      <c r="T686" t="s">
        <v>6488</v>
      </c>
      <c r="U686">
        <v>6</v>
      </c>
      <c r="X686" s="31"/>
      <c r="Y686" s="93">
        <f t="shared" si="0"/>
        <v>1</v>
      </c>
      <c r="Z686" s="3">
        <v>0</v>
      </c>
      <c r="AA686" s="3" t="s">
        <v>6430</v>
      </c>
      <c r="AD686" s="6">
        <f t="shared" si="1"/>
        <v>98.9</v>
      </c>
      <c r="AE686" s="265">
        <v>112.70410095</v>
      </c>
      <c r="AF686" s="17">
        <f t="shared" si="2"/>
        <v>112.70410095</v>
      </c>
      <c r="AG686" s="6">
        <f t="shared" si="3"/>
        <v>73.260000000000005</v>
      </c>
      <c r="AH686" s="31"/>
      <c r="AI686" s="11">
        <v>0.65</v>
      </c>
      <c r="AJ686" s="18">
        <v>0.35</v>
      </c>
      <c r="AK686" s="6">
        <f t="shared" si="4"/>
        <v>97.91</v>
      </c>
      <c r="AL686" s="6">
        <f t="shared" si="5"/>
        <v>96.92</v>
      </c>
      <c r="AM686" s="6">
        <f t="shared" si="6"/>
        <v>95.93</v>
      </c>
      <c r="AN686" s="6">
        <f t="shared" si="7"/>
        <v>95.93</v>
      </c>
      <c r="AO686" s="6">
        <f t="shared" si="8"/>
        <v>98.9</v>
      </c>
      <c r="BG686" s="12">
        <v>0.01</v>
      </c>
      <c r="BH686" s="12">
        <v>0.02</v>
      </c>
      <c r="BI686" s="12">
        <v>0.03</v>
      </c>
      <c r="BJ686" s="12">
        <v>0.03</v>
      </c>
      <c r="CC686" s="3" t="str">
        <f t="shared" si="9"/>
        <v>Allied-Moulded-AMP1226CCHF.jpg</v>
      </c>
      <c r="CD686" s="16" t="s">
        <v>111</v>
      </c>
      <c r="CG686" s="3" t="s">
        <v>112</v>
      </c>
      <c r="CI686" s="3" t="s">
        <v>97</v>
      </c>
      <c r="CJ686" s="3" t="s">
        <v>481</v>
      </c>
      <c r="CK686" s="3" t="s">
        <v>114</v>
      </c>
      <c r="CL686" s="3" t="s">
        <v>115</v>
      </c>
      <c r="CO686" s="3" t="s">
        <v>482</v>
      </c>
      <c r="CQ686" s="3" t="s">
        <v>120</v>
      </c>
      <c r="CT686" t="s">
        <v>125</v>
      </c>
      <c r="CU686" t="s">
        <v>125</v>
      </c>
      <c r="CV686" t="s">
        <v>351</v>
      </c>
    </row>
    <row r="687" spans="1:100" ht="15" customHeight="1">
      <c r="A687" t="s">
        <v>6167</v>
      </c>
      <c r="B687" t="s">
        <v>6229</v>
      </c>
      <c r="C687" s="16" t="s">
        <v>97</v>
      </c>
      <c r="D687" t="s">
        <v>6291</v>
      </c>
      <c r="E687" s="16" t="s">
        <v>97</v>
      </c>
      <c r="F687"/>
      <c r="I687" s="100" t="s">
        <v>342</v>
      </c>
      <c r="J687" s="16" t="s">
        <v>101</v>
      </c>
      <c r="L687" s="3" t="s">
        <v>102</v>
      </c>
      <c r="M687" s="3" t="s">
        <v>103</v>
      </c>
      <c r="N687" s="3" t="s">
        <v>104</v>
      </c>
      <c r="O687" s="16" t="s">
        <v>478</v>
      </c>
      <c r="P687" t="s">
        <v>6369</v>
      </c>
      <c r="Q687" t="s">
        <v>6369</v>
      </c>
      <c r="R687" t="s">
        <v>6369</v>
      </c>
      <c r="S687" t="s">
        <v>6167</v>
      </c>
      <c r="T687" t="s">
        <v>6488</v>
      </c>
      <c r="U687">
        <v>6</v>
      </c>
      <c r="X687" s="31"/>
      <c r="Y687" s="93">
        <f t="shared" si="0"/>
        <v>1</v>
      </c>
      <c r="Z687" s="3">
        <v>0</v>
      </c>
      <c r="AA687" s="3" t="s">
        <v>6431</v>
      </c>
      <c r="AD687" s="6">
        <f t="shared" si="1"/>
        <v>108</v>
      </c>
      <c r="AE687" s="265">
        <v>123.07005900000001</v>
      </c>
      <c r="AF687" s="17">
        <f t="shared" si="2"/>
        <v>123.07005900000001</v>
      </c>
      <c r="AG687" s="6">
        <f t="shared" si="3"/>
        <v>80</v>
      </c>
      <c r="AH687" s="31"/>
      <c r="AI687" s="11">
        <v>0.65</v>
      </c>
      <c r="AJ687" s="18">
        <v>0.35</v>
      </c>
      <c r="AK687" s="6">
        <f t="shared" si="4"/>
        <v>106.92</v>
      </c>
      <c r="AL687" s="6">
        <f t="shared" si="5"/>
        <v>105.84</v>
      </c>
      <c r="AM687" s="6">
        <f t="shared" si="6"/>
        <v>104.76</v>
      </c>
      <c r="AN687" s="6">
        <f t="shared" si="7"/>
        <v>104.76</v>
      </c>
      <c r="AO687" s="6">
        <f t="shared" si="8"/>
        <v>108</v>
      </c>
      <c r="BG687" s="12">
        <v>0.01</v>
      </c>
      <c r="BH687" s="12">
        <v>0.02</v>
      </c>
      <c r="BI687" s="12">
        <v>0.03</v>
      </c>
      <c r="BJ687" s="12">
        <v>0.03</v>
      </c>
      <c r="CC687" s="3" t="str">
        <f t="shared" si="9"/>
        <v>Allied-Moulded-AMP1226CCL.jpg</v>
      </c>
      <c r="CD687" s="16" t="s">
        <v>111</v>
      </c>
      <c r="CG687" s="3" t="s">
        <v>112</v>
      </c>
      <c r="CI687" s="3" t="s">
        <v>97</v>
      </c>
      <c r="CJ687" s="3" t="s">
        <v>481</v>
      </c>
      <c r="CK687" s="3" t="s">
        <v>114</v>
      </c>
      <c r="CL687" s="3" t="s">
        <v>115</v>
      </c>
      <c r="CO687" s="3" t="s">
        <v>482</v>
      </c>
      <c r="CQ687" s="3" t="s">
        <v>120</v>
      </c>
      <c r="CT687" t="s">
        <v>125</v>
      </c>
      <c r="CU687" t="s">
        <v>125</v>
      </c>
      <c r="CV687" t="s">
        <v>351</v>
      </c>
    </row>
    <row r="688" spans="1:100" ht="15" customHeight="1">
      <c r="A688" t="s">
        <v>6168</v>
      </c>
      <c r="B688" t="s">
        <v>6230</v>
      </c>
      <c r="C688" s="16" t="s">
        <v>97</v>
      </c>
      <c r="D688" t="s">
        <v>6292</v>
      </c>
      <c r="E688" s="16" t="s">
        <v>97</v>
      </c>
      <c r="F688"/>
      <c r="I688" s="100" t="s">
        <v>342</v>
      </c>
      <c r="J688" s="16" t="s">
        <v>101</v>
      </c>
      <c r="L688" s="3" t="s">
        <v>102</v>
      </c>
      <c r="M688" s="3" t="s">
        <v>103</v>
      </c>
      <c r="N688" s="3" t="s">
        <v>104</v>
      </c>
      <c r="O688" s="16" t="s">
        <v>478</v>
      </c>
      <c r="P688" t="s">
        <v>6370</v>
      </c>
      <c r="Q688" t="s">
        <v>6370</v>
      </c>
      <c r="R688" t="s">
        <v>6370</v>
      </c>
      <c r="S688" t="s">
        <v>6168</v>
      </c>
      <c r="T688" t="s">
        <v>6488</v>
      </c>
      <c r="U688">
        <v>6</v>
      </c>
      <c r="X688" s="31"/>
      <c r="Y688" s="93">
        <f t="shared" si="0"/>
        <v>1</v>
      </c>
      <c r="Z688" s="3">
        <v>0</v>
      </c>
      <c r="AA688" s="3" t="s">
        <v>6432</v>
      </c>
      <c r="AD688" s="6">
        <f t="shared" si="1"/>
        <v>113.41</v>
      </c>
      <c r="AE688" s="265">
        <v>129.25145834999998</v>
      </c>
      <c r="AF688" s="17">
        <f t="shared" si="2"/>
        <v>129.25145834999998</v>
      </c>
      <c r="AG688" s="6">
        <f t="shared" si="3"/>
        <v>84.01</v>
      </c>
      <c r="AH688" s="31"/>
      <c r="AI688" s="11">
        <v>0.65</v>
      </c>
      <c r="AJ688" s="18">
        <v>0.35</v>
      </c>
      <c r="AK688" s="6">
        <f t="shared" si="4"/>
        <v>112.28</v>
      </c>
      <c r="AL688" s="6">
        <f t="shared" si="5"/>
        <v>111.14</v>
      </c>
      <c r="AM688" s="6">
        <f t="shared" si="6"/>
        <v>110.01</v>
      </c>
      <c r="AN688" s="6">
        <f t="shared" si="7"/>
        <v>110.01</v>
      </c>
      <c r="AO688" s="6">
        <f t="shared" si="8"/>
        <v>113.41</v>
      </c>
      <c r="BG688" s="12">
        <v>0.01</v>
      </c>
      <c r="BH688" s="12">
        <v>0.02</v>
      </c>
      <c r="BI688" s="12">
        <v>0.03</v>
      </c>
      <c r="BJ688" s="12">
        <v>0.03</v>
      </c>
      <c r="CC688" s="3" t="str">
        <f t="shared" si="9"/>
        <v>Allied-Moulded-AMP1226CCLF.jpg</v>
      </c>
      <c r="CD688" s="16" t="s">
        <v>111</v>
      </c>
      <c r="CG688" s="3" t="s">
        <v>112</v>
      </c>
      <c r="CI688" s="3" t="s">
        <v>97</v>
      </c>
      <c r="CJ688" s="3" t="s">
        <v>481</v>
      </c>
      <c r="CK688" s="3" t="s">
        <v>114</v>
      </c>
      <c r="CL688" s="3" t="s">
        <v>115</v>
      </c>
      <c r="CO688" s="3" t="s">
        <v>482</v>
      </c>
      <c r="CQ688" s="3" t="s">
        <v>120</v>
      </c>
      <c r="CT688" t="s">
        <v>125</v>
      </c>
      <c r="CU688" t="s">
        <v>125</v>
      </c>
      <c r="CV688" t="s">
        <v>351</v>
      </c>
    </row>
    <row r="689" spans="1:100" ht="15" customHeight="1">
      <c r="A689" t="s">
        <v>6169</v>
      </c>
      <c r="B689" t="s">
        <v>6231</v>
      </c>
      <c r="C689" s="16" t="s">
        <v>97</v>
      </c>
      <c r="D689" t="s">
        <v>6293</v>
      </c>
      <c r="E689" s="16" t="s">
        <v>97</v>
      </c>
      <c r="F689"/>
      <c r="I689" s="100" t="s">
        <v>342</v>
      </c>
      <c r="J689" s="16" t="s">
        <v>101</v>
      </c>
      <c r="L689" s="3" t="s">
        <v>102</v>
      </c>
      <c r="M689" s="3" t="s">
        <v>103</v>
      </c>
      <c r="N689" s="3" t="s">
        <v>104</v>
      </c>
      <c r="O689" s="16" t="s">
        <v>478</v>
      </c>
      <c r="P689" t="s">
        <v>6371</v>
      </c>
      <c r="Q689" t="s">
        <v>6371</v>
      </c>
      <c r="R689" t="s">
        <v>6371</v>
      </c>
      <c r="S689" t="s">
        <v>6169</v>
      </c>
      <c r="T689" t="s">
        <v>6488</v>
      </c>
      <c r="U689">
        <v>6</v>
      </c>
      <c r="X689" s="31"/>
      <c r="Y689" s="93">
        <f t="shared" si="0"/>
        <v>1</v>
      </c>
      <c r="Z689" s="3">
        <v>0</v>
      </c>
      <c r="AA689" s="3" t="s">
        <v>6433</v>
      </c>
      <c r="AD689" s="6">
        <f t="shared" si="1"/>
        <v>102.72</v>
      </c>
      <c r="AE689" s="265">
        <v>117.06485070000001</v>
      </c>
      <c r="AF689" s="17">
        <f t="shared" si="2"/>
        <v>117.06485070000001</v>
      </c>
      <c r="AG689" s="6">
        <f t="shared" si="3"/>
        <v>76.09</v>
      </c>
      <c r="AH689" s="31"/>
      <c r="AI689" s="11">
        <v>0.65</v>
      </c>
      <c r="AJ689" s="18">
        <v>0.35</v>
      </c>
      <c r="AK689" s="6">
        <f t="shared" si="4"/>
        <v>101.69</v>
      </c>
      <c r="AL689" s="6">
        <f t="shared" si="5"/>
        <v>100.67</v>
      </c>
      <c r="AM689" s="6">
        <f t="shared" si="6"/>
        <v>99.64</v>
      </c>
      <c r="AN689" s="6">
        <f t="shared" si="7"/>
        <v>99.64</v>
      </c>
      <c r="AO689" s="6">
        <f t="shared" si="8"/>
        <v>102.72</v>
      </c>
      <c r="BG689" s="12">
        <v>0.01</v>
      </c>
      <c r="BH689" s="12">
        <v>0.02</v>
      </c>
      <c r="BI689" s="12">
        <v>0.03</v>
      </c>
      <c r="BJ689" s="12">
        <v>0.03</v>
      </c>
      <c r="CC689" s="3" t="str">
        <f t="shared" si="9"/>
        <v>Allied-Moulded-AMP1226CCNL.jpg</v>
      </c>
      <c r="CD689" s="16" t="s">
        <v>111</v>
      </c>
      <c r="CG689" s="3" t="s">
        <v>112</v>
      </c>
      <c r="CI689" s="3" t="s">
        <v>97</v>
      </c>
      <c r="CJ689" s="3" t="s">
        <v>481</v>
      </c>
      <c r="CK689" s="3" t="s">
        <v>114</v>
      </c>
      <c r="CL689" s="3" t="s">
        <v>115</v>
      </c>
      <c r="CO689" s="3" t="s">
        <v>482</v>
      </c>
      <c r="CQ689" s="3" t="s">
        <v>120</v>
      </c>
      <c r="CT689" t="s">
        <v>125</v>
      </c>
      <c r="CU689" t="s">
        <v>125</v>
      </c>
      <c r="CV689" t="s">
        <v>351</v>
      </c>
    </row>
    <row r="690" spans="1:100" ht="15" customHeight="1">
      <c r="A690" t="s">
        <v>6170</v>
      </c>
      <c r="B690" t="s">
        <v>6232</v>
      </c>
      <c r="C690" s="16" t="s">
        <v>97</v>
      </c>
      <c r="D690" t="s">
        <v>6294</v>
      </c>
      <c r="E690" s="16" t="s">
        <v>97</v>
      </c>
      <c r="F690"/>
      <c r="I690" s="100" t="s">
        <v>342</v>
      </c>
      <c r="J690" s="16" t="s">
        <v>101</v>
      </c>
      <c r="L690" s="3" t="s">
        <v>102</v>
      </c>
      <c r="M690" s="3" t="s">
        <v>103</v>
      </c>
      <c r="N690" s="3" t="s">
        <v>104</v>
      </c>
      <c r="O690" s="16" t="s">
        <v>478</v>
      </c>
      <c r="P690" t="s">
        <v>6372</v>
      </c>
      <c r="Q690" t="s">
        <v>6372</v>
      </c>
      <c r="R690" t="s">
        <v>6372</v>
      </c>
      <c r="S690" t="s">
        <v>6170</v>
      </c>
      <c r="T690" t="s">
        <v>6488</v>
      </c>
      <c r="U690">
        <v>6</v>
      </c>
      <c r="X690" s="31"/>
      <c r="Y690" s="93">
        <f t="shared" si="0"/>
        <v>1</v>
      </c>
      <c r="Z690" s="3">
        <v>0</v>
      </c>
      <c r="AA690" s="3" t="s">
        <v>6434</v>
      </c>
      <c r="AD690" s="6">
        <f t="shared" si="1"/>
        <v>107.88</v>
      </c>
      <c r="AE690" s="265">
        <v>122.93791440000001</v>
      </c>
      <c r="AF690" s="17">
        <f t="shared" si="2"/>
        <v>122.93791440000001</v>
      </c>
      <c r="AG690" s="6">
        <f t="shared" si="3"/>
        <v>79.91</v>
      </c>
      <c r="AH690" s="31"/>
      <c r="AI690" s="11">
        <v>0.65</v>
      </c>
      <c r="AJ690" s="18">
        <v>0.35</v>
      </c>
      <c r="AK690" s="6">
        <f t="shared" si="4"/>
        <v>106.8</v>
      </c>
      <c r="AL690" s="6">
        <f t="shared" si="5"/>
        <v>105.72</v>
      </c>
      <c r="AM690" s="6">
        <f t="shared" si="6"/>
        <v>104.64</v>
      </c>
      <c r="AN690" s="6">
        <f t="shared" si="7"/>
        <v>104.64</v>
      </c>
      <c r="AO690" s="6">
        <f t="shared" si="8"/>
        <v>107.88</v>
      </c>
      <c r="BG690" s="12">
        <v>0.01</v>
      </c>
      <c r="BH690" s="12">
        <v>0.02</v>
      </c>
      <c r="BI690" s="12">
        <v>0.03</v>
      </c>
      <c r="BJ690" s="12">
        <v>0.03</v>
      </c>
      <c r="CC690" s="3" t="str">
        <f t="shared" si="9"/>
        <v>Allied-Moulded-AMP1226CCNLF.jpg</v>
      </c>
      <c r="CD690" s="16" t="s">
        <v>111</v>
      </c>
      <c r="CG690" s="3" t="s">
        <v>112</v>
      </c>
      <c r="CI690" s="3" t="s">
        <v>97</v>
      </c>
      <c r="CJ690" s="3" t="s">
        <v>481</v>
      </c>
      <c r="CK690" s="3" t="s">
        <v>114</v>
      </c>
      <c r="CL690" s="3" t="s">
        <v>115</v>
      </c>
      <c r="CO690" s="3" t="s">
        <v>482</v>
      </c>
      <c r="CQ690" s="3" t="s">
        <v>120</v>
      </c>
      <c r="CT690" t="s">
        <v>125</v>
      </c>
      <c r="CU690" t="s">
        <v>125</v>
      </c>
      <c r="CV690" t="s">
        <v>351</v>
      </c>
    </row>
    <row r="691" spans="1:100" ht="15" customHeight="1">
      <c r="A691" t="s">
        <v>6171</v>
      </c>
      <c r="B691" t="s">
        <v>6233</v>
      </c>
      <c r="C691" s="16" t="s">
        <v>97</v>
      </c>
      <c r="D691" t="s">
        <v>6295</v>
      </c>
      <c r="E691" s="16" t="s">
        <v>97</v>
      </c>
      <c r="F691"/>
      <c r="I691" s="100" t="s">
        <v>342</v>
      </c>
      <c r="J691" s="16" t="s">
        <v>101</v>
      </c>
      <c r="L691" s="3" t="s">
        <v>102</v>
      </c>
      <c r="M691" s="3" t="s">
        <v>103</v>
      </c>
      <c r="N691" s="3" t="s">
        <v>104</v>
      </c>
      <c r="O691" s="16" t="s">
        <v>478</v>
      </c>
      <c r="P691" t="s">
        <v>6373</v>
      </c>
      <c r="Q691" t="s">
        <v>6373</v>
      </c>
      <c r="R691" t="s">
        <v>6373</v>
      </c>
      <c r="S691" t="s">
        <v>6171</v>
      </c>
      <c r="T691" t="s">
        <v>6488</v>
      </c>
      <c r="U691">
        <v>6</v>
      </c>
      <c r="X691" s="31"/>
      <c r="Y691" s="93">
        <f t="shared" si="0"/>
        <v>1</v>
      </c>
      <c r="Z691" s="3">
        <v>0</v>
      </c>
      <c r="AA691" s="3" t="s">
        <v>6435</v>
      </c>
      <c r="AD691" s="6">
        <f t="shared" si="1"/>
        <v>85.41</v>
      </c>
      <c r="AE691" s="265">
        <v>97.331355450000004</v>
      </c>
      <c r="AF691" s="17">
        <f t="shared" si="2"/>
        <v>97.331355450000004</v>
      </c>
      <c r="AG691" s="6">
        <f t="shared" si="3"/>
        <v>63.27</v>
      </c>
      <c r="AH691" s="31"/>
      <c r="AI691" s="11">
        <v>0.65</v>
      </c>
      <c r="AJ691" s="18">
        <v>0.35</v>
      </c>
      <c r="AK691" s="6">
        <f t="shared" si="4"/>
        <v>84.56</v>
      </c>
      <c r="AL691" s="6">
        <f t="shared" si="5"/>
        <v>83.7</v>
      </c>
      <c r="AM691" s="6">
        <f t="shared" si="6"/>
        <v>82.85</v>
      </c>
      <c r="AN691" s="6">
        <f t="shared" si="7"/>
        <v>82.85</v>
      </c>
      <c r="AO691" s="6">
        <f t="shared" si="8"/>
        <v>85.41</v>
      </c>
      <c r="BG691" s="12">
        <v>0.01</v>
      </c>
      <c r="BH691" s="12">
        <v>0.02</v>
      </c>
      <c r="BI691" s="12">
        <v>0.03</v>
      </c>
      <c r="BJ691" s="12">
        <v>0.03</v>
      </c>
      <c r="CC691" s="3" t="str">
        <f t="shared" si="9"/>
        <v>Allied-Moulded-AMP1226F.jpg</v>
      </c>
      <c r="CD691" s="16" t="s">
        <v>111</v>
      </c>
      <c r="CG691" s="3" t="s">
        <v>112</v>
      </c>
      <c r="CI691" s="3" t="s">
        <v>97</v>
      </c>
      <c r="CJ691" s="3" t="s">
        <v>481</v>
      </c>
      <c r="CK691" s="3" t="s">
        <v>114</v>
      </c>
      <c r="CL691" s="3" t="s">
        <v>115</v>
      </c>
      <c r="CO691" s="3" t="s">
        <v>482</v>
      </c>
      <c r="CQ691" s="3" t="s">
        <v>120</v>
      </c>
      <c r="CT691" t="s">
        <v>125</v>
      </c>
      <c r="CU691" t="s">
        <v>125</v>
      </c>
      <c r="CV691" t="s">
        <v>351</v>
      </c>
    </row>
    <row r="692" spans="1:100" ht="15" customHeight="1">
      <c r="A692" t="s">
        <v>6172</v>
      </c>
      <c r="B692" t="s">
        <v>6234</v>
      </c>
      <c r="C692" s="16" t="s">
        <v>97</v>
      </c>
      <c r="D692" t="s">
        <v>6296</v>
      </c>
      <c r="E692" s="16" t="s">
        <v>97</v>
      </c>
      <c r="F692"/>
      <c r="I692" s="100" t="s">
        <v>342</v>
      </c>
      <c r="J692" s="16" t="s">
        <v>101</v>
      </c>
      <c r="L692" s="3" t="s">
        <v>102</v>
      </c>
      <c r="M692" s="3" t="s">
        <v>103</v>
      </c>
      <c r="N692" s="3" t="s">
        <v>104</v>
      </c>
      <c r="O692" s="16" t="s">
        <v>478</v>
      </c>
      <c r="P692" t="s">
        <v>6374</v>
      </c>
      <c r="Q692" t="s">
        <v>6374</v>
      </c>
      <c r="R692" t="s">
        <v>6374</v>
      </c>
      <c r="S692" t="s">
        <v>6172</v>
      </c>
      <c r="T692" t="s">
        <v>6488</v>
      </c>
      <c r="U692">
        <v>6</v>
      </c>
      <c r="X692" s="31"/>
      <c r="Y692" s="93">
        <f t="shared" si="0"/>
        <v>1</v>
      </c>
      <c r="Z692" s="3">
        <v>0</v>
      </c>
      <c r="AA692" s="3" t="s">
        <v>6436</v>
      </c>
      <c r="AD692" s="6">
        <f t="shared" si="1"/>
        <v>86.27</v>
      </c>
      <c r="AE692" s="265">
        <v>98.30041095</v>
      </c>
      <c r="AF692" s="17">
        <f t="shared" si="2"/>
        <v>98.30041095</v>
      </c>
      <c r="AG692" s="6">
        <f t="shared" si="3"/>
        <v>63.9</v>
      </c>
      <c r="AH692" s="31"/>
      <c r="AI692" s="11">
        <v>0.65</v>
      </c>
      <c r="AJ692" s="18">
        <v>0.35</v>
      </c>
      <c r="AK692" s="6">
        <f t="shared" si="4"/>
        <v>85.41</v>
      </c>
      <c r="AL692" s="6">
        <f t="shared" si="5"/>
        <v>84.54</v>
      </c>
      <c r="AM692" s="6">
        <f t="shared" si="6"/>
        <v>83.68</v>
      </c>
      <c r="AN692" s="6">
        <f t="shared" si="7"/>
        <v>83.68</v>
      </c>
      <c r="AO692" s="6">
        <f t="shared" si="8"/>
        <v>86.27</v>
      </c>
      <c r="BG692" s="12">
        <v>0.01</v>
      </c>
      <c r="BH692" s="12">
        <v>0.02</v>
      </c>
      <c r="BI692" s="12">
        <v>0.03</v>
      </c>
      <c r="BJ692" s="12">
        <v>0.03</v>
      </c>
      <c r="CC692" s="3" t="str">
        <f t="shared" si="9"/>
        <v>Allied-Moulded-AMP1226H.jpg</v>
      </c>
      <c r="CD692" s="16" t="s">
        <v>111</v>
      </c>
      <c r="CG692" s="3" t="s">
        <v>112</v>
      </c>
      <c r="CI692" s="3" t="s">
        <v>97</v>
      </c>
      <c r="CJ692" s="3" t="s">
        <v>481</v>
      </c>
      <c r="CK692" s="3" t="s">
        <v>114</v>
      </c>
      <c r="CL692" s="3" t="s">
        <v>115</v>
      </c>
      <c r="CO692" s="3" t="s">
        <v>482</v>
      </c>
      <c r="CQ692" s="3" t="s">
        <v>120</v>
      </c>
      <c r="CT692" t="s">
        <v>125</v>
      </c>
      <c r="CU692" t="s">
        <v>125</v>
      </c>
      <c r="CV692" t="s">
        <v>351</v>
      </c>
    </row>
    <row r="693" spans="1:100" ht="15" customHeight="1">
      <c r="A693" t="s">
        <v>6173</v>
      </c>
      <c r="B693" t="s">
        <v>6235</v>
      </c>
      <c r="C693" s="16" t="s">
        <v>97</v>
      </c>
      <c r="D693" t="s">
        <v>6297</v>
      </c>
      <c r="E693" s="16" t="s">
        <v>97</v>
      </c>
      <c r="F693"/>
      <c r="I693" s="100" t="s">
        <v>342</v>
      </c>
      <c r="J693" s="16" t="s">
        <v>101</v>
      </c>
      <c r="L693" s="3" t="s">
        <v>102</v>
      </c>
      <c r="M693" s="3" t="s">
        <v>103</v>
      </c>
      <c r="N693" s="3" t="s">
        <v>104</v>
      </c>
      <c r="O693" s="16" t="s">
        <v>478</v>
      </c>
      <c r="P693" t="s">
        <v>6375</v>
      </c>
      <c r="Q693" t="s">
        <v>6375</v>
      </c>
      <c r="R693" t="s">
        <v>6375</v>
      </c>
      <c r="S693" t="s">
        <v>6173</v>
      </c>
      <c r="T693" t="s">
        <v>6488</v>
      </c>
      <c r="U693">
        <v>6</v>
      </c>
      <c r="X693" s="31"/>
      <c r="Y693" s="93">
        <f t="shared" si="0"/>
        <v>1</v>
      </c>
      <c r="Z693" s="3">
        <v>0</v>
      </c>
      <c r="AA693" s="3" t="s">
        <v>6437</v>
      </c>
      <c r="AD693" s="6">
        <f t="shared" si="1"/>
        <v>90.56</v>
      </c>
      <c r="AE693" s="265">
        <v>103.20441915000001</v>
      </c>
      <c r="AF693" s="17">
        <f t="shared" si="2"/>
        <v>103.20441915000001</v>
      </c>
      <c r="AG693" s="6">
        <f t="shared" si="3"/>
        <v>67.08</v>
      </c>
      <c r="AH693" s="31"/>
      <c r="AI693" s="11">
        <v>0.65</v>
      </c>
      <c r="AJ693" s="18">
        <v>0.35</v>
      </c>
      <c r="AK693" s="6">
        <f t="shared" si="4"/>
        <v>89.65</v>
      </c>
      <c r="AL693" s="6">
        <f t="shared" si="5"/>
        <v>88.75</v>
      </c>
      <c r="AM693" s="6">
        <f t="shared" si="6"/>
        <v>87.84</v>
      </c>
      <c r="AN693" s="6">
        <f t="shared" si="7"/>
        <v>87.84</v>
      </c>
      <c r="AO693" s="6">
        <f t="shared" si="8"/>
        <v>90.56</v>
      </c>
      <c r="BG693" s="12">
        <v>0.01</v>
      </c>
      <c r="BH693" s="12">
        <v>0.02</v>
      </c>
      <c r="BI693" s="12">
        <v>0.03</v>
      </c>
      <c r="BJ693" s="12">
        <v>0.03</v>
      </c>
      <c r="CC693" s="3" t="str">
        <f t="shared" si="9"/>
        <v>Allied-Moulded-AMP1226HF.jpg</v>
      </c>
      <c r="CD693" s="16" t="s">
        <v>111</v>
      </c>
      <c r="CG693" s="3" t="s">
        <v>112</v>
      </c>
      <c r="CI693" s="3" t="s">
        <v>97</v>
      </c>
      <c r="CJ693" s="3" t="s">
        <v>481</v>
      </c>
      <c r="CK693" s="3" t="s">
        <v>114</v>
      </c>
      <c r="CL693" s="3" t="s">
        <v>115</v>
      </c>
      <c r="CO693" s="3" t="s">
        <v>482</v>
      </c>
      <c r="CQ693" s="3" t="s">
        <v>120</v>
      </c>
      <c r="CT693" t="s">
        <v>125</v>
      </c>
      <c r="CU693" t="s">
        <v>125</v>
      </c>
      <c r="CV693" t="s">
        <v>351</v>
      </c>
    </row>
    <row r="694" spans="1:100" ht="15" customHeight="1">
      <c r="A694" t="s">
        <v>6174</v>
      </c>
      <c r="B694" t="s">
        <v>6236</v>
      </c>
      <c r="C694" s="16" t="s">
        <v>97</v>
      </c>
      <c r="D694" t="s">
        <v>6298</v>
      </c>
      <c r="E694" s="16" t="s">
        <v>97</v>
      </c>
      <c r="F694"/>
      <c r="I694" s="100" t="s">
        <v>342</v>
      </c>
      <c r="J694" s="16" t="s">
        <v>101</v>
      </c>
      <c r="L694" s="3" t="s">
        <v>102</v>
      </c>
      <c r="M694" s="3" t="s">
        <v>103</v>
      </c>
      <c r="N694" s="3" t="s">
        <v>104</v>
      </c>
      <c r="O694" s="16" t="s">
        <v>478</v>
      </c>
      <c r="P694" t="s">
        <v>6376</v>
      </c>
      <c r="Q694" t="s">
        <v>6376</v>
      </c>
      <c r="R694" t="s">
        <v>6376</v>
      </c>
      <c r="S694" t="s">
        <v>6174</v>
      </c>
      <c r="T694" t="s">
        <v>6488</v>
      </c>
      <c r="U694">
        <v>6</v>
      </c>
      <c r="X694" s="31"/>
      <c r="Y694" s="93">
        <f t="shared" si="0"/>
        <v>1</v>
      </c>
      <c r="Z694" s="3">
        <v>0</v>
      </c>
      <c r="AA694" s="3" t="s">
        <v>6438</v>
      </c>
      <c r="AD694" s="6">
        <f t="shared" si="1"/>
        <v>98.89</v>
      </c>
      <c r="AE694" s="265">
        <v>112.6894188</v>
      </c>
      <c r="AF694" s="17">
        <f t="shared" si="2"/>
        <v>112.6894188</v>
      </c>
      <c r="AG694" s="6">
        <f t="shared" si="3"/>
        <v>73.25</v>
      </c>
      <c r="AH694" s="31"/>
      <c r="AI694" s="11">
        <v>0.65</v>
      </c>
      <c r="AJ694" s="18">
        <v>0.35</v>
      </c>
      <c r="AK694" s="6">
        <f t="shared" si="4"/>
        <v>97.9</v>
      </c>
      <c r="AL694" s="6">
        <f t="shared" si="5"/>
        <v>96.91</v>
      </c>
      <c r="AM694" s="6">
        <f t="shared" si="6"/>
        <v>95.92</v>
      </c>
      <c r="AN694" s="6">
        <f t="shared" si="7"/>
        <v>95.92</v>
      </c>
      <c r="AO694" s="6">
        <f t="shared" si="8"/>
        <v>98.89</v>
      </c>
      <c r="BG694" s="12">
        <v>0.01</v>
      </c>
      <c r="BH694" s="12">
        <v>0.02</v>
      </c>
      <c r="BI694" s="12">
        <v>0.03</v>
      </c>
      <c r="BJ694" s="12">
        <v>0.03</v>
      </c>
      <c r="CC694" s="3" t="str">
        <f t="shared" si="9"/>
        <v>Allied-Moulded-AMP1226L.jpg</v>
      </c>
      <c r="CD694" s="16" t="s">
        <v>111</v>
      </c>
      <c r="CG694" s="3" t="s">
        <v>112</v>
      </c>
      <c r="CI694" s="3" t="s">
        <v>97</v>
      </c>
      <c r="CJ694" s="3" t="s">
        <v>481</v>
      </c>
      <c r="CK694" s="3" t="s">
        <v>114</v>
      </c>
      <c r="CL694" s="3" t="s">
        <v>115</v>
      </c>
      <c r="CO694" s="3" t="s">
        <v>482</v>
      </c>
      <c r="CQ694" s="3" t="s">
        <v>120</v>
      </c>
      <c r="CT694" t="s">
        <v>125</v>
      </c>
      <c r="CU694" t="s">
        <v>125</v>
      </c>
      <c r="CV694" t="s">
        <v>351</v>
      </c>
    </row>
    <row r="695" spans="1:100" ht="15" customHeight="1">
      <c r="A695" t="s">
        <v>6175</v>
      </c>
      <c r="B695" t="s">
        <v>6237</v>
      </c>
      <c r="C695" s="16" t="s">
        <v>97</v>
      </c>
      <c r="D695" t="s">
        <v>6299</v>
      </c>
      <c r="E695" s="16" t="s">
        <v>97</v>
      </c>
      <c r="F695"/>
      <c r="I695" s="100" t="s">
        <v>342</v>
      </c>
      <c r="J695" s="16" t="s">
        <v>101</v>
      </c>
      <c r="L695" s="3" t="s">
        <v>102</v>
      </c>
      <c r="M695" s="3" t="s">
        <v>103</v>
      </c>
      <c r="N695" s="3" t="s">
        <v>104</v>
      </c>
      <c r="O695" s="16" t="s">
        <v>478</v>
      </c>
      <c r="P695" t="s">
        <v>6377</v>
      </c>
      <c r="Q695" t="s">
        <v>6377</v>
      </c>
      <c r="R695" t="s">
        <v>6377</v>
      </c>
      <c r="S695" t="s">
        <v>6175</v>
      </c>
      <c r="T695" t="s">
        <v>6488</v>
      </c>
      <c r="U695">
        <v>6</v>
      </c>
      <c r="X695" s="31"/>
      <c r="Y695" s="93">
        <f t="shared" si="0"/>
        <v>1</v>
      </c>
      <c r="Z695" s="3">
        <v>0</v>
      </c>
      <c r="AA695" s="3" t="s">
        <v>6439</v>
      </c>
      <c r="AD695" s="6">
        <f t="shared" si="1"/>
        <v>103.84</v>
      </c>
      <c r="AE695" s="265">
        <v>118.34224184999999</v>
      </c>
      <c r="AF695" s="17">
        <f t="shared" si="2"/>
        <v>118.34224184999999</v>
      </c>
      <c r="AG695" s="6">
        <f t="shared" si="3"/>
        <v>76.92</v>
      </c>
      <c r="AH695" s="31"/>
      <c r="AI695" s="11">
        <v>0.65</v>
      </c>
      <c r="AJ695" s="18">
        <v>0.35</v>
      </c>
      <c r="AK695" s="6">
        <f t="shared" si="4"/>
        <v>102.8</v>
      </c>
      <c r="AL695" s="6">
        <f t="shared" si="5"/>
        <v>101.76</v>
      </c>
      <c r="AM695" s="6">
        <f t="shared" si="6"/>
        <v>100.72</v>
      </c>
      <c r="AN695" s="6">
        <f t="shared" si="7"/>
        <v>100.72</v>
      </c>
      <c r="AO695" s="6">
        <f t="shared" si="8"/>
        <v>103.84</v>
      </c>
      <c r="BG695" s="12">
        <v>0.01</v>
      </c>
      <c r="BH695" s="12">
        <v>0.02</v>
      </c>
      <c r="BI695" s="12">
        <v>0.03</v>
      </c>
      <c r="BJ695" s="12">
        <v>0.03</v>
      </c>
      <c r="CC695" s="3" t="str">
        <f t="shared" si="9"/>
        <v>Allied-Moulded-AMP1226LF.jpg</v>
      </c>
      <c r="CD695" s="16" t="s">
        <v>111</v>
      </c>
      <c r="CG695" s="3" t="s">
        <v>112</v>
      </c>
      <c r="CI695" s="3" t="s">
        <v>97</v>
      </c>
      <c r="CJ695" s="3" t="s">
        <v>481</v>
      </c>
      <c r="CK695" s="3" t="s">
        <v>114</v>
      </c>
      <c r="CL695" s="3" t="s">
        <v>115</v>
      </c>
      <c r="CO695" s="3" t="s">
        <v>482</v>
      </c>
      <c r="CQ695" s="3" t="s">
        <v>120</v>
      </c>
      <c r="CT695" t="s">
        <v>125</v>
      </c>
      <c r="CU695" t="s">
        <v>125</v>
      </c>
      <c r="CV695" t="s">
        <v>351</v>
      </c>
    </row>
    <row r="696" spans="1:100" ht="15" customHeight="1">
      <c r="A696" t="s">
        <v>6176</v>
      </c>
      <c r="B696" t="s">
        <v>6238</v>
      </c>
      <c r="C696" s="16" t="s">
        <v>97</v>
      </c>
      <c r="D696" t="s">
        <v>6300</v>
      </c>
      <c r="E696" s="16" t="s">
        <v>97</v>
      </c>
      <c r="F696"/>
      <c r="I696" s="100" t="s">
        <v>342</v>
      </c>
      <c r="J696" s="16" t="s">
        <v>101</v>
      </c>
      <c r="L696" s="3" t="s">
        <v>102</v>
      </c>
      <c r="M696" s="3" t="s">
        <v>103</v>
      </c>
      <c r="N696" s="3" t="s">
        <v>104</v>
      </c>
      <c r="O696" s="16" t="s">
        <v>478</v>
      </c>
      <c r="P696" t="s">
        <v>6378</v>
      </c>
      <c r="Q696" t="s">
        <v>6378</v>
      </c>
      <c r="R696" t="s">
        <v>6378</v>
      </c>
      <c r="S696" t="s">
        <v>6176</v>
      </c>
      <c r="T696" t="s">
        <v>6488</v>
      </c>
      <c r="U696">
        <v>6</v>
      </c>
      <c r="X696" s="31"/>
      <c r="Y696" s="93">
        <f t="shared" si="0"/>
        <v>1</v>
      </c>
      <c r="Z696" s="3">
        <v>0</v>
      </c>
      <c r="AA696" s="3" t="s">
        <v>6440</v>
      </c>
      <c r="AD696" s="6">
        <f t="shared" si="1"/>
        <v>94.08</v>
      </c>
      <c r="AE696" s="265">
        <v>107.21278575000001</v>
      </c>
      <c r="AF696" s="17">
        <f t="shared" si="2"/>
        <v>107.21278575000001</v>
      </c>
      <c r="AG696" s="6">
        <f t="shared" si="3"/>
        <v>69.69</v>
      </c>
      <c r="AH696" s="31"/>
      <c r="AI696" s="11">
        <v>0.65</v>
      </c>
      <c r="AJ696" s="18">
        <v>0.35</v>
      </c>
      <c r="AK696" s="6">
        <f t="shared" si="4"/>
        <v>93.14</v>
      </c>
      <c r="AL696" s="6">
        <f t="shared" si="5"/>
        <v>92.2</v>
      </c>
      <c r="AM696" s="6">
        <f t="shared" si="6"/>
        <v>91.26</v>
      </c>
      <c r="AN696" s="6">
        <f t="shared" si="7"/>
        <v>91.26</v>
      </c>
      <c r="AO696" s="6">
        <f t="shared" si="8"/>
        <v>94.08</v>
      </c>
      <c r="BG696" s="12">
        <v>0.01</v>
      </c>
      <c r="BH696" s="12">
        <v>0.02</v>
      </c>
      <c r="BI696" s="12">
        <v>0.03</v>
      </c>
      <c r="BJ696" s="12">
        <v>0.03</v>
      </c>
      <c r="CC696" s="3" t="str">
        <f t="shared" si="9"/>
        <v>Allied-Moulded-AMP1226NL.jpg</v>
      </c>
      <c r="CD696" s="16" t="s">
        <v>111</v>
      </c>
      <c r="CG696" s="3" t="s">
        <v>112</v>
      </c>
      <c r="CI696" s="3" t="s">
        <v>97</v>
      </c>
      <c r="CJ696" s="3" t="s">
        <v>481</v>
      </c>
      <c r="CK696" s="3" t="s">
        <v>114</v>
      </c>
      <c r="CL696" s="3" t="s">
        <v>115</v>
      </c>
      <c r="CO696" s="3" t="s">
        <v>482</v>
      </c>
      <c r="CQ696" s="3" t="s">
        <v>120</v>
      </c>
      <c r="CT696" t="s">
        <v>125</v>
      </c>
      <c r="CU696" t="s">
        <v>125</v>
      </c>
      <c r="CV696" t="s">
        <v>351</v>
      </c>
    </row>
    <row r="697" spans="1:100" ht="15" customHeight="1">
      <c r="A697" t="s">
        <v>6177</v>
      </c>
      <c r="B697" t="s">
        <v>6239</v>
      </c>
      <c r="C697" s="16" t="s">
        <v>97</v>
      </c>
      <c r="D697" t="s">
        <v>6301</v>
      </c>
      <c r="E697" s="16" t="s">
        <v>97</v>
      </c>
      <c r="F697"/>
      <c r="I697" s="100" t="s">
        <v>342</v>
      </c>
      <c r="J697" s="16" t="s">
        <v>101</v>
      </c>
      <c r="L697" s="3" t="s">
        <v>102</v>
      </c>
      <c r="M697" s="3" t="s">
        <v>103</v>
      </c>
      <c r="N697" s="3" t="s">
        <v>104</v>
      </c>
      <c r="O697" s="16" t="s">
        <v>478</v>
      </c>
      <c r="P697" t="s">
        <v>6379</v>
      </c>
      <c r="Q697" t="s">
        <v>6379</v>
      </c>
      <c r="R697" t="s">
        <v>6379</v>
      </c>
      <c r="S697" t="s">
        <v>6177</v>
      </c>
      <c r="T697" t="s">
        <v>6488</v>
      </c>
      <c r="U697">
        <v>6</v>
      </c>
      <c r="X697" s="31"/>
      <c r="Y697" s="93">
        <f t="shared" si="0"/>
        <v>1</v>
      </c>
      <c r="Z697" s="3">
        <v>0</v>
      </c>
      <c r="AA697" s="3" t="s">
        <v>6441</v>
      </c>
      <c r="AD697" s="6">
        <f t="shared" si="1"/>
        <v>98.78</v>
      </c>
      <c r="AE697" s="265">
        <v>112.57195635000001</v>
      </c>
      <c r="AF697" s="17">
        <f t="shared" si="2"/>
        <v>112.57195635000001</v>
      </c>
      <c r="AG697" s="6">
        <f t="shared" si="3"/>
        <v>73.17</v>
      </c>
      <c r="AH697" s="31"/>
      <c r="AI697" s="11">
        <v>0.65</v>
      </c>
      <c r="AJ697" s="18">
        <v>0.35</v>
      </c>
      <c r="AK697" s="6">
        <f t="shared" si="4"/>
        <v>97.79</v>
      </c>
      <c r="AL697" s="6">
        <f t="shared" si="5"/>
        <v>96.8</v>
      </c>
      <c r="AM697" s="6">
        <f t="shared" si="6"/>
        <v>95.82</v>
      </c>
      <c r="AN697" s="6">
        <f t="shared" si="7"/>
        <v>95.82</v>
      </c>
      <c r="AO697" s="6">
        <f t="shared" si="8"/>
        <v>98.78</v>
      </c>
      <c r="BG697" s="12">
        <v>0.01</v>
      </c>
      <c r="BH697" s="12">
        <v>0.02</v>
      </c>
      <c r="BI697" s="12">
        <v>0.03</v>
      </c>
      <c r="BJ697" s="12">
        <v>0.03</v>
      </c>
      <c r="CC697" s="3" t="str">
        <f t="shared" si="9"/>
        <v>Allied-Moulded-AMP1226NLF.jpg</v>
      </c>
      <c r="CD697" s="16" t="s">
        <v>111</v>
      </c>
      <c r="CG697" s="3" t="s">
        <v>112</v>
      </c>
      <c r="CI697" s="3" t="s">
        <v>97</v>
      </c>
      <c r="CJ697" s="3" t="s">
        <v>481</v>
      </c>
      <c r="CK697" s="3" t="s">
        <v>114</v>
      </c>
      <c r="CL697" s="3" t="s">
        <v>115</v>
      </c>
      <c r="CO697" s="3" t="s">
        <v>482</v>
      </c>
      <c r="CQ697" s="3" t="s">
        <v>120</v>
      </c>
      <c r="CT697" t="s">
        <v>125</v>
      </c>
      <c r="CU697" t="s">
        <v>125</v>
      </c>
      <c r="CV697" t="s">
        <v>351</v>
      </c>
    </row>
    <row r="698" spans="1:100" ht="15" customHeight="1">
      <c r="A698" t="s">
        <v>6178</v>
      </c>
      <c r="B698" t="s">
        <v>6240</v>
      </c>
      <c r="C698" s="16" t="s">
        <v>97</v>
      </c>
      <c r="D698" t="s">
        <v>6302</v>
      </c>
      <c r="E698" s="16" t="s">
        <v>97</v>
      </c>
      <c r="F698" t="s">
        <v>6348</v>
      </c>
      <c r="I698" s="100" t="s">
        <v>342</v>
      </c>
      <c r="J698" s="16" t="s">
        <v>101</v>
      </c>
      <c r="L698" s="3" t="s">
        <v>102</v>
      </c>
      <c r="M698" s="3" t="s">
        <v>103</v>
      </c>
      <c r="N698" s="3" t="s">
        <v>104</v>
      </c>
      <c r="O698" s="16" t="s">
        <v>478</v>
      </c>
      <c r="P698" t="s">
        <v>6380</v>
      </c>
      <c r="Q698" t="s">
        <v>6380</v>
      </c>
      <c r="R698" t="s">
        <v>6380</v>
      </c>
      <c r="S698" t="s">
        <v>6178</v>
      </c>
      <c r="T698" t="s">
        <v>6488</v>
      </c>
      <c r="U698">
        <v>16</v>
      </c>
      <c r="X698" s="31"/>
      <c r="Y698" s="93">
        <f t="shared" si="0"/>
        <v>1</v>
      </c>
      <c r="Z698" s="3">
        <v>0</v>
      </c>
      <c r="AA698" s="3" t="s">
        <v>6442</v>
      </c>
      <c r="AD698" s="6">
        <f t="shared" si="1"/>
        <v>213.34</v>
      </c>
      <c r="AE698" s="265">
        <v>243.13017225000004</v>
      </c>
      <c r="AF698" s="17">
        <f t="shared" si="2"/>
        <v>243.13017225000004</v>
      </c>
      <c r="AG698" s="6">
        <f t="shared" si="3"/>
        <v>158.03</v>
      </c>
      <c r="AH698" s="31"/>
      <c r="AI698" s="11">
        <v>0.65</v>
      </c>
      <c r="AJ698" s="18">
        <v>0.35</v>
      </c>
      <c r="AK698" s="6">
        <f t="shared" si="4"/>
        <v>211.21</v>
      </c>
      <c r="AL698" s="6">
        <f t="shared" si="5"/>
        <v>209.07</v>
      </c>
      <c r="AM698" s="6">
        <f t="shared" si="6"/>
        <v>206.94</v>
      </c>
      <c r="AN698" s="6">
        <f t="shared" si="7"/>
        <v>206.94</v>
      </c>
      <c r="AO698" s="6">
        <f t="shared" si="8"/>
        <v>213.34</v>
      </c>
      <c r="BG698" s="12">
        <v>0.01</v>
      </c>
      <c r="BH698" s="12">
        <v>0.02</v>
      </c>
      <c r="BI698" s="12">
        <v>0.03</v>
      </c>
      <c r="BJ698" s="12">
        <v>0.03</v>
      </c>
      <c r="CC698" s="3" t="str">
        <f t="shared" si="9"/>
        <v>Allied-Moulded-AMP2060.jpg</v>
      </c>
      <c r="CD698" s="16" t="s">
        <v>111</v>
      </c>
      <c r="CG698" s="3" t="s">
        <v>112</v>
      </c>
      <c r="CI698" s="3" t="s">
        <v>97</v>
      </c>
      <c r="CJ698" s="3" t="s">
        <v>481</v>
      </c>
      <c r="CK698" s="3" t="s">
        <v>114</v>
      </c>
      <c r="CL698" s="3" t="s">
        <v>115</v>
      </c>
      <c r="CO698" s="3" t="s">
        <v>482</v>
      </c>
      <c r="CQ698" s="3" t="s">
        <v>120</v>
      </c>
      <c r="CT698" t="s">
        <v>2145</v>
      </c>
      <c r="CU698" t="s">
        <v>242</v>
      </c>
      <c r="CV698" t="s">
        <v>167</v>
      </c>
    </row>
    <row r="699" spans="1:100" ht="15" customHeight="1">
      <c r="A699" t="s">
        <v>6179</v>
      </c>
      <c r="B699" t="s">
        <v>6241</v>
      </c>
      <c r="C699" s="16" t="s">
        <v>97</v>
      </c>
      <c r="D699" t="s">
        <v>6303</v>
      </c>
      <c r="E699" s="16" t="s">
        <v>97</v>
      </c>
      <c r="F699" t="s">
        <v>6349</v>
      </c>
      <c r="I699" s="100" t="s">
        <v>342</v>
      </c>
      <c r="J699" s="16" t="s">
        <v>101</v>
      </c>
      <c r="L699" s="3" t="s">
        <v>102</v>
      </c>
      <c r="M699" s="3" t="s">
        <v>103</v>
      </c>
      <c r="N699" s="3" t="s">
        <v>104</v>
      </c>
      <c r="O699" s="16" t="s">
        <v>478</v>
      </c>
      <c r="P699" t="s">
        <v>6381</v>
      </c>
      <c r="Q699" t="s">
        <v>6381</v>
      </c>
      <c r="R699" t="s">
        <v>6381</v>
      </c>
      <c r="S699" t="s">
        <v>6179</v>
      </c>
      <c r="T699" t="s">
        <v>6488</v>
      </c>
      <c r="U699">
        <v>17</v>
      </c>
      <c r="X699" s="31"/>
      <c r="Y699" s="93">
        <f t="shared" si="0"/>
        <v>1</v>
      </c>
      <c r="Z699" s="3">
        <v>0</v>
      </c>
      <c r="AA699" s="3" t="s">
        <v>6443</v>
      </c>
      <c r="AD699" s="6">
        <f t="shared" si="1"/>
        <v>225.11</v>
      </c>
      <c r="AE699" s="265">
        <v>256.53544140000002</v>
      </c>
      <c r="AF699" s="17">
        <f t="shared" si="2"/>
        <v>256.53544140000002</v>
      </c>
      <c r="AG699" s="6">
        <f t="shared" si="3"/>
        <v>166.75</v>
      </c>
      <c r="AH699" s="31"/>
      <c r="AI699" s="11">
        <v>0.65</v>
      </c>
      <c r="AJ699" s="18">
        <v>0.35</v>
      </c>
      <c r="AK699" s="6">
        <f t="shared" si="4"/>
        <v>222.86</v>
      </c>
      <c r="AL699" s="6">
        <f t="shared" si="5"/>
        <v>220.61</v>
      </c>
      <c r="AM699" s="6">
        <f t="shared" si="6"/>
        <v>218.36</v>
      </c>
      <c r="AN699" s="6">
        <f t="shared" si="7"/>
        <v>218.36</v>
      </c>
      <c r="AO699" s="6">
        <f t="shared" si="8"/>
        <v>225.11</v>
      </c>
      <c r="BG699" s="12">
        <v>0.01</v>
      </c>
      <c r="BH699" s="12">
        <v>0.02</v>
      </c>
      <c r="BI699" s="12">
        <v>0.03</v>
      </c>
      <c r="BJ699" s="12">
        <v>0.03</v>
      </c>
      <c r="CC699" s="3" t="str">
        <f t="shared" si="9"/>
        <v>Allied-Moulded-AMP2060CC.jpg</v>
      </c>
      <c r="CD699" s="16" t="s">
        <v>111</v>
      </c>
      <c r="CG699" s="3" t="s">
        <v>112</v>
      </c>
      <c r="CI699" s="3" t="s">
        <v>97</v>
      </c>
      <c r="CJ699" s="3" t="s">
        <v>481</v>
      </c>
      <c r="CK699" s="3" t="s">
        <v>114</v>
      </c>
      <c r="CL699" s="3" t="s">
        <v>115</v>
      </c>
      <c r="CO699" s="3" t="s">
        <v>482</v>
      </c>
      <c r="CQ699" s="3" t="s">
        <v>120</v>
      </c>
      <c r="CT699" t="s">
        <v>2145</v>
      </c>
      <c r="CU699" t="s">
        <v>242</v>
      </c>
      <c r="CV699" t="s">
        <v>167</v>
      </c>
    </row>
    <row r="700" spans="1:100" ht="15" customHeight="1">
      <c r="A700" t="s">
        <v>6180</v>
      </c>
      <c r="B700" t="s">
        <v>6242</v>
      </c>
      <c r="C700" s="16" t="s">
        <v>97</v>
      </c>
      <c r="D700" t="s">
        <v>6304</v>
      </c>
      <c r="E700" s="16" t="s">
        <v>97</v>
      </c>
      <c r="F700" t="s">
        <v>6350</v>
      </c>
      <c r="I700" s="100" t="s">
        <v>342</v>
      </c>
      <c r="J700" s="16" t="s">
        <v>101</v>
      </c>
      <c r="L700" s="3" t="s">
        <v>102</v>
      </c>
      <c r="M700" s="3" t="s">
        <v>103</v>
      </c>
      <c r="N700" s="3" t="s">
        <v>104</v>
      </c>
      <c r="O700" s="16" t="s">
        <v>478</v>
      </c>
      <c r="P700" t="s">
        <v>6382</v>
      </c>
      <c r="Q700" t="s">
        <v>6382</v>
      </c>
      <c r="R700" t="s">
        <v>6382</v>
      </c>
      <c r="S700" t="s">
        <v>6180</v>
      </c>
      <c r="T700" t="s">
        <v>6488</v>
      </c>
      <c r="U700">
        <v>16</v>
      </c>
      <c r="X700" s="31"/>
      <c r="Y700" s="93">
        <f t="shared" si="0"/>
        <v>1</v>
      </c>
      <c r="Z700" s="3">
        <v>0</v>
      </c>
      <c r="AA700" s="3" t="s">
        <v>6444</v>
      </c>
      <c r="AD700" s="6">
        <f t="shared" si="1"/>
        <v>232.44</v>
      </c>
      <c r="AE700" s="265">
        <v>264.88987455</v>
      </c>
      <c r="AF700" s="17">
        <f t="shared" si="2"/>
        <v>264.88987455</v>
      </c>
      <c r="AG700" s="6">
        <f t="shared" si="3"/>
        <v>172.18</v>
      </c>
      <c r="AH700" s="31"/>
      <c r="AI700" s="11">
        <v>0.65</v>
      </c>
      <c r="AJ700" s="18">
        <v>0.35</v>
      </c>
      <c r="AK700" s="6">
        <f t="shared" si="4"/>
        <v>230.12</v>
      </c>
      <c r="AL700" s="6">
        <f t="shared" si="5"/>
        <v>227.79</v>
      </c>
      <c r="AM700" s="6">
        <f t="shared" si="6"/>
        <v>225.47</v>
      </c>
      <c r="AN700" s="6">
        <f t="shared" si="7"/>
        <v>225.47</v>
      </c>
      <c r="AO700" s="6">
        <f t="shared" si="8"/>
        <v>232.44</v>
      </c>
      <c r="BG700" s="12">
        <v>0.01</v>
      </c>
      <c r="BH700" s="12">
        <v>0.02</v>
      </c>
      <c r="BI700" s="12">
        <v>0.03</v>
      </c>
      <c r="BJ700" s="12">
        <v>0.03</v>
      </c>
      <c r="CC700" s="3" t="str">
        <f t="shared" si="9"/>
        <v>Allied-Moulded-AMP2060CCF.jpg</v>
      </c>
      <c r="CD700" s="16" t="s">
        <v>111</v>
      </c>
      <c r="CG700" s="3" t="s">
        <v>112</v>
      </c>
      <c r="CI700" s="3" t="s">
        <v>97</v>
      </c>
      <c r="CJ700" s="3" t="s">
        <v>481</v>
      </c>
      <c r="CK700" s="3" t="s">
        <v>114</v>
      </c>
      <c r="CL700" s="3" t="s">
        <v>115</v>
      </c>
      <c r="CO700" s="3" t="s">
        <v>482</v>
      </c>
      <c r="CQ700" s="3" t="s">
        <v>120</v>
      </c>
      <c r="CT700" t="s">
        <v>2145</v>
      </c>
      <c r="CU700" t="s">
        <v>242</v>
      </c>
      <c r="CV700" t="s">
        <v>167</v>
      </c>
    </row>
    <row r="701" spans="1:100" ht="15" customHeight="1">
      <c r="A701" t="s">
        <v>6181</v>
      </c>
      <c r="B701" t="s">
        <v>6243</v>
      </c>
      <c r="C701" s="16" t="s">
        <v>97</v>
      </c>
      <c r="D701" t="s">
        <v>6305</v>
      </c>
      <c r="E701" s="16" t="s">
        <v>97</v>
      </c>
      <c r="F701" t="s">
        <v>6351</v>
      </c>
      <c r="I701" s="100" t="s">
        <v>342</v>
      </c>
      <c r="J701" s="16" t="s">
        <v>101</v>
      </c>
      <c r="L701" s="3" t="s">
        <v>102</v>
      </c>
      <c r="M701" s="3" t="s">
        <v>103</v>
      </c>
      <c r="N701" s="3" t="s">
        <v>104</v>
      </c>
      <c r="O701" s="16" t="s">
        <v>478</v>
      </c>
      <c r="P701" t="s">
        <v>6383</v>
      </c>
      <c r="Q701" t="s">
        <v>6383</v>
      </c>
      <c r="R701" t="s">
        <v>6383</v>
      </c>
      <c r="S701" t="s">
        <v>6181</v>
      </c>
      <c r="T701" t="s">
        <v>6488</v>
      </c>
      <c r="U701">
        <v>17</v>
      </c>
      <c r="X701" s="31"/>
      <c r="Y701" s="93">
        <f t="shared" si="0"/>
        <v>1</v>
      </c>
      <c r="Z701" s="3">
        <v>0</v>
      </c>
      <c r="AA701" s="3" t="s">
        <v>6445</v>
      </c>
      <c r="AD701" s="6">
        <f t="shared" si="1"/>
        <v>228.72</v>
      </c>
      <c r="AE701" s="265">
        <v>260.6465862</v>
      </c>
      <c r="AF701" s="17">
        <f t="shared" si="2"/>
        <v>260.6465862</v>
      </c>
      <c r="AG701" s="6">
        <f t="shared" si="3"/>
        <v>169.42</v>
      </c>
      <c r="AH701" s="31"/>
      <c r="AI701" s="11">
        <v>0.65</v>
      </c>
      <c r="AJ701" s="18">
        <v>0.35</v>
      </c>
      <c r="AK701" s="6">
        <f t="shared" si="4"/>
        <v>226.43</v>
      </c>
      <c r="AL701" s="6">
        <f t="shared" si="5"/>
        <v>224.15</v>
      </c>
      <c r="AM701" s="6">
        <f t="shared" si="6"/>
        <v>221.86</v>
      </c>
      <c r="AN701" s="6">
        <f t="shared" si="7"/>
        <v>221.86</v>
      </c>
      <c r="AO701" s="6">
        <f t="shared" si="8"/>
        <v>228.72</v>
      </c>
      <c r="BG701" s="12">
        <v>0.01</v>
      </c>
      <c r="BH701" s="12">
        <v>0.02</v>
      </c>
      <c r="BI701" s="12">
        <v>0.03</v>
      </c>
      <c r="BJ701" s="12">
        <v>0.03</v>
      </c>
      <c r="CC701" s="3" t="str">
        <f t="shared" si="9"/>
        <v>Allied-Moulded-AMP2060CCH.jpg</v>
      </c>
      <c r="CD701" s="16" t="s">
        <v>111</v>
      </c>
      <c r="CG701" s="3" t="s">
        <v>112</v>
      </c>
      <c r="CI701" s="3" t="s">
        <v>97</v>
      </c>
      <c r="CJ701" s="3" t="s">
        <v>481</v>
      </c>
      <c r="CK701" s="3" t="s">
        <v>114</v>
      </c>
      <c r="CL701" s="3" t="s">
        <v>115</v>
      </c>
      <c r="CO701" s="3" t="s">
        <v>482</v>
      </c>
      <c r="CQ701" s="3" t="s">
        <v>120</v>
      </c>
      <c r="CT701" t="s">
        <v>2145</v>
      </c>
      <c r="CU701" t="s">
        <v>242</v>
      </c>
      <c r="CV701" t="s">
        <v>167</v>
      </c>
    </row>
    <row r="702" spans="1:100" ht="15" customHeight="1">
      <c r="A702" t="s">
        <v>6182</v>
      </c>
      <c r="B702" t="s">
        <v>6244</v>
      </c>
      <c r="C702" s="16" t="s">
        <v>97</v>
      </c>
      <c r="D702" t="s">
        <v>6306</v>
      </c>
      <c r="E702" s="16" t="s">
        <v>97</v>
      </c>
      <c r="F702" t="s">
        <v>6352</v>
      </c>
      <c r="I702" s="100" t="s">
        <v>342</v>
      </c>
      <c r="J702" s="16" t="s">
        <v>101</v>
      </c>
      <c r="L702" s="3" t="s">
        <v>102</v>
      </c>
      <c r="M702" s="3" t="s">
        <v>103</v>
      </c>
      <c r="N702" s="3" t="s">
        <v>104</v>
      </c>
      <c r="O702" s="16" t="s">
        <v>478</v>
      </c>
      <c r="P702" t="s">
        <v>6384</v>
      </c>
      <c r="Q702" t="s">
        <v>6384</v>
      </c>
      <c r="R702" t="s">
        <v>6384</v>
      </c>
      <c r="S702" t="s">
        <v>6182</v>
      </c>
      <c r="T702" t="s">
        <v>6488</v>
      </c>
      <c r="U702">
        <v>16</v>
      </c>
      <c r="X702" s="31"/>
      <c r="Y702" s="93">
        <f t="shared" si="0"/>
        <v>1</v>
      </c>
      <c r="Z702" s="3">
        <v>0</v>
      </c>
      <c r="AA702" s="3" t="s">
        <v>6446</v>
      </c>
      <c r="AD702" s="6">
        <f t="shared" si="1"/>
        <v>236.09</v>
      </c>
      <c r="AE702" s="265">
        <v>269.04506684999996</v>
      </c>
      <c r="AF702" s="17">
        <f t="shared" si="2"/>
        <v>269.04506684999996</v>
      </c>
      <c r="AG702" s="6">
        <f t="shared" si="3"/>
        <v>174.88</v>
      </c>
      <c r="AH702" s="31"/>
      <c r="AI702" s="11">
        <v>0.65</v>
      </c>
      <c r="AJ702" s="18">
        <v>0.35</v>
      </c>
      <c r="AK702" s="6">
        <f t="shared" si="4"/>
        <v>233.73</v>
      </c>
      <c r="AL702" s="6">
        <f t="shared" si="5"/>
        <v>231.37</v>
      </c>
      <c r="AM702" s="6">
        <f t="shared" si="6"/>
        <v>229.01</v>
      </c>
      <c r="AN702" s="6">
        <f t="shared" si="7"/>
        <v>229.01</v>
      </c>
      <c r="AO702" s="6">
        <f t="shared" si="8"/>
        <v>236.09</v>
      </c>
      <c r="BG702" s="12">
        <v>0.01</v>
      </c>
      <c r="BH702" s="12">
        <v>0.02</v>
      </c>
      <c r="BI702" s="12">
        <v>0.03</v>
      </c>
      <c r="BJ702" s="12">
        <v>0.03</v>
      </c>
      <c r="CC702" s="3" t="str">
        <f t="shared" si="9"/>
        <v>Allied-Moulded-AMP2060CCHF.jpg</v>
      </c>
      <c r="CD702" s="16" t="s">
        <v>111</v>
      </c>
      <c r="CG702" s="3" t="s">
        <v>112</v>
      </c>
      <c r="CI702" s="3" t="s">
        <v>97</v>
      </c>
      <c r="CJ702" s="3" t="s">
        <v>481</v>
      </c>
      <c r="CK702" s="3" t="s">
        <v>114</v>
      </c>
      <c r="CL702" s="3" t="s">
        <v>115</v>
      </c>
      <c r="CO702" s="3" t="s">
        <v>482</v>
      </c>
      <c r="CQ702" s="3" t="s">
        <v>120</v>
      </c>
      <c r="CT702" t="s">
        <v>2145</v>
      </c>
      <c r="CU702" t="s">
        <v>242</v>
      </c>
      <c r="CV702" t="s">
        <v>167</v>
      </c>
    </row>
    <row r="703" spans="1:100" ht="15" customHeight="1">
      <c r="A703" t="s">
        <v>6183</v>
      </c>
      <c r="B703" t="s">
        <v>6245</v>
      </c>
      <c r="C703" s="16" t="s">
        <v>97</v>
      </c>
      <c r="D703" t="s">
        <v>6307</v>
      </c>
      <c r="E703" s="16" t="s">
        <v>97</v>
      </c>
      <c r="F703" t="s">
        <v>6353</v>
      </c>
      <c r="I703" s="100" t="s">
        <v>342</v>
      </c>
      <c r="J703" s="16" t="s">
        <v>101</v>
      </c>
      <c r="L703" s="3" t="s">
        <v>102</v>
      </c>
      <c r="M703" s="3" t="s">
        <v>103</v>
      </c>
      <c r="N703" s="3" t="s">
        <v>104</v>
      </c>
      <c r="O703" s="16" t="s">
        <v>478</v>
      </c>
      <c r="P703" t="s">
        <v>6385</v>
      </c>
      <c r="Q703" t="s">
        <v>6385</v>
      </c>
      <c r="R703" t="s">
        <v>6385</v>
      </c>
      <c r="S703" t="s">
        <v>6183</v>
      </c>
      <c r="T703" t="s">
        <v>6488</v>
      </c>
      <c r="U703">
        <v>17</v>
      </c>
      <c r="X703" s="31"/>
      <c r="Y703" s="93">
        <f t="shared" si="0"/>
        <v>1</v>
      </c>
      <c r="Z703" s="3">
        <v>0</v>
      </c>
      <c r="AA703" s="3" t="s">
        <v>6447</v>
      </c>
      <c r="AD703" s="6">
        <f t="shared" si="1"/>
        <v>254.75</v>
      </c>
      <c r="AE703" s="265">
        <v>290.30556030000002</v>
      </c>
      <c r="AF703" s="17">
        <f t="shared" si="2"/>
        <v>290.30556030000002</v>
      </c>
      <c r="AG703" s="6">
        <f t="shared" si="3"/>
        <v>188.7</v>
      </c>
      <c r="AH703" s="31"/>
      <c r="AI703" s="11">
        <v>0.65</v>
      </c>
      <c r="AJ703" s="18">
        <v>0.35</v>
      </c>
      <c r="AK703" s="6">
        <f t="shared" si="4"/>
        <v>252.2</v>
      </c>
      <c r="AL703" s="6">
        <f t="shared" si="5"/>
        <v>249.66</v>
      </c>
      <c r="AM703" s="6">
        <f t="shared" si="6"/>
        <v>247.11</v>
      </c>
      <c r="AN703" s="6">
        <f t="shared" si="7"/>
        <v>247.11</v>
      </c>
      <c r="AO703" s="6">
        <f t="shared" si="8"/>
        <v>254.75</v>
      </c>
      <c r="BG703" s="12">
        <v>0.01</v>
      </c>
      <c r="BH703" s="12">
        <v>0.02</v>
      </c>
      <c r="BI703" s="12">
        <v>0.03</v>
      </c>
      <c r="BJ703" s="12">
        <v>0.03</v>
      </c>
      <c r="CC703" s="3" t="str">
        <f t="shared" si="9"/>
        <v>Allied-Moulded-AMP2060CCL.jpg</v>
      </c>
      <c r="CD703" s="16" t="s">
        <v>111</v>
      </c>
      <c r="CG703" s="3" t="s">
        <v>112</v>
      </c>
      <c r="CI703" s="3" t="s">
        <v>97</v>
      </c>
      <c r="CJ703" s="3" t="s">
        <v>481</v>
      </c>
      <c r="CK703" s="3" t="s">
        <v>114</v>
      </c>
      <c r="CL703" s="3" t="s">
        <v>115</v>
      </c>
      <c r="CO703" s="3" t="s">
        <v>482</v>
      </c>
      <c r="CQ703" s="3" t="s">
        <v>120</v>
      </c>
      <c r="CT703" t="s">
        <v>2145</v>
      </c>
      <c r="CU703" t="s">
        <v>242</v>
      </c>
      <c r="CV703" t="s">
        <v>167</v>
      </c>
    </row>
    <row r="704" spans="1:100" ht="15" customHeight="1">
      <c r="A704" t="s">
        <v>6184</v>
      </c>
      <c r="B704" t="s">
        <v>6246</v>
      </c>
      <c r="C704" s="16" t="s">
        <v>97</v>
      </c>
      <c r="D704" t="s">
        <v>6308</v>
      </c>
      <c r="E704" s="16" t="s">
        <v>97</v>
      </c>
      <c r="F704" t="s">
        <v>6354</v>
      </c>
      <c r="I704" s="100" t="s">
        <v>342</v>
      </c>
      <c r="J704" s="16" t="s">
        <v>101</v>
      </c>
      <c r="L704" s="3" t="s">
        <v>102</v>
      </c>
      <c r="M704" s="3" t="s">
        <v>103</v>
      </c>
      <c r="N704" s="3" t="s">
        <v>104</v>
      </c>
      <c r="O704" s="16" t="s">
        <v>478</v>
      </c>
      <c r="P704" t="s">
        <v>6386</v>
      </c>
      <c r="Q704" t="s">
        <v>6386</v>
      </c>
      <c r="R704" t="s">
        <v>6386</v>
      </c>
      <c r="S704" t="s">
        <v>6184</v>
      </c>
      <c r="T704" t="s">
        <v>6488</v>
      </c>
      <c r="U704">
        <v>16</v>
      </c>
      <c r="X704" s="31"/>
      <c r="Y704" s="93">
        <f t="shared" si="0"/>
        <v>1</v>
      </c>
      <c r="Z704" s="3">
        <v>0</v>
      </c>
      <c r="AA704" s="3" t="s">
        <v>6448</v>
      </c>
      <c r="AD704" s="6">
        <f t="shared" si="1"/>
        <v>263.43</v>
      </c>
      <c r="AE704" s="265">
        <v>300.20167275</v>
      </c>
      <c r="AF704" s="17">
        <f t="shared" si="2"/>
        <v>300.20167275</v>
      </c>
      <c r="AG704" s="6">
        <f t="shared" si="3"/>
        <v>195.13</v>
      </c>
      <c r="AH704" s="31"/>
      <c r="AI704" s="11">
        <v>0.65</v>
      </c>
      <c r="AJ704" s="18">
        <v>0.35</v>
      </c>
      <c r="AK704" s="6">
        <f t="shared" si="4"/>
        <v>260.8</v>
      </c>
      <c r="AL704" s="6">
        <f t="shared" si="5"/>
        <v>258.16000000000003</v>
      </c>
      <c r="AM704" s="6">
        <f t="shared" si="6"/>
        <v>255.53</v>
      </c>
      <c r="AN704" s="6">
        <f t="shared" si="7"/>
        <v>255.53</v>
      </c>
      <c r="AO704" s="6">
        <f t="shared" si="8"/>
        <v>263.43</v>
      </c>
      <c r="BG704" s="12">
        <v>0.01</v>
      </c>
      <c r="BH704" s="12">
        <v>0.02</v>
      </c>
      <c r="BI704" s="12">
        <v>0.03</v>
      </c>
      <c r="BJ704" s="12">
        <v>0.03</v>
      </c>
      <c r="CC704" s="3" t="str">
        <f t="shared" si="9"/>
        <v>Allied-Moulded-AMP2060CCLF.jpg</v>
      </c>
      <c r="CD704" s="16" t="s">
        <v>111</v>
      </c>
      <c r="CG704" s="3" t="s">
        <v>112</v>
      </c>
      <c r="CI704" s="3" t="s">
        <v>97</v>
      </c>
      <c r="CJ704" s="3" t="s">
        <v>481</v>
      </c>
      <c r="CK704" s="3" t="s">
        <v>114</v>
      </c>
      <c r="CL704" s="3" t="s">
        <v>115</v>
      </c>
      <c r="CO704" s="3" t="s">
        <v>482</v>
      </c>
      <c r="CQ704" s="3" t="s">
        <v>120</v>
      </c>
      <c r="CT704" t="s">
        <v>2145</v>
      </c>
      <c r="CU704" t="s">
        <v>242</v>
      </c>
      <c r="CV704" t="s">
        <v>167</v>
      </c>
    </row>
    <row r="705" spans="1:100" ht="15" customHeight="1">
      <c r="A705" t="s">
        <v>6185</v>
      </c>
      <c r="B705" t="s">
        <v>6247</v>
      </c>
      <c r="C705" s="16" t="s">
        <v>97</v>
      </c>
      <c r="D705" t="s">
        <v>6309</v>
      </c>
      <c r="E705" s="16" t="s">
        <v>97</v>
      </c>
      <c r="F705" t="s">
        <v>6355</v>
      </c>
      <c r="I705" s="100" t="s">
        <v>342</v>
      </c>
      <c r="J705" s="16" t="s">
        <v>101</v>
      </c>
      <c r="L705" s="3" t="s">
        <v>102</v>
      </c>
      <c r="M705" s="3" t="s">
        <v>103</v>
      </c>
      <c r="N705" s="3" t="s">
        <v>104</v>
      </c>
      <c r="O705" s="16" t="s">
        <v>478</v>
      </c>
      <c r="P705" t="s">
        <v>6387</v>
      </c>
      <c r="Q705" t="s">
        <v>6387</v>
      </c>
      <c r="R705" t="s">
        <v>6387</v>
      </c>
      <c r="S705" t="s">
        <v>6185</v>
      </c>
      <c r="T705" t="s">
        <v>6488</v>
      </c>
      <c r="U705">
        <v>17</v>
      </c>
      <c r="X705" s="31"/>
      <c r="Y705" s="93">
        <f t="shared" si="0"/>
        <v>1</v>
      </c>
      <c r="Z705" s="3">
        <v>0</v>
      </c>
      <c r="AA705" s="3" t="s">
        <v>6449</v>
      </c>
      <c r="AD705" s="6">
        <f t="shared" si="1"/>
        <v>245.9</v>
      </c>
      <c r="AE705" s="265">
        <v>280.23325470000003</v>
      </c>
      <c r="AF705" s="17">
        <f t="shared" si="2"/>
        <v>280.23325470000003</v>
      </c>
      <c r="AG705" s="6">
        <f t="shared" si="3"/>
        <v>182.15</v>
      </c>
      <c r="AH705" s="31"/>
      <c r="AI705" s="11">
        <v>0.65</v>
      </c>
      <c r="AJ705" s="18">
        <v>0.35</v>
      </c>
      <c r="AK705" s="6">
        <f t="shared" si="4"/>
        <v>243.44</v>
      </c>
      <c r="AL705" s="6">
        <f t="shared" si="5"/>
        <v>240.98</v>
      </c>
      <c r="AM705" s="6">
        <f t="shared" si="6"/>
        <v>238.52</v>
      </c>
      <c r="AN705" s="6">
        <f t="shared" si="7"/>
        <v>238.52</v>
      </c>
      <c r="AO705" s="6">
        <f t="shared" si="8"/>
        <v>245.9</v>
      </c>
      <c r="BG705" s="12">
        <v>0.01</v>
      </c>
      <c r="BH705" s="12">
        <v>0.02</v>
      </c>
      <c r="BI705" s="12">
        <v>0.03</v>
      </c>
      <c r="BJ705" s="12">
        <v>0.03</v>
      </c>
      <c r="CC705" s="3" t="str">
        <f t="shared" si="9"/>
        <v>Allied-Moulded-AMP2060CCNL.jpg</v>
      </c>
      <c r="CD705" s="16" t="s">
        <v>111</v>
      </c>
      <c r="CG705" s="3" t="s">
        <v>112</v>
      </c>
      <c r="CI705" s="3" t="s">
        <v>97</v>
      </c>
      <c r="CJ705" s="3" t="s">
        <v>481</v>
      </c>
      <c r="CK705" s="3" t="s">
        <v>114</v>
      </c>
      <c r="CL705" s="3" t="s">
        <v>115</v>
      </c>
      <c r="CO705" s="3" t="s">
        <v>482</v>
      </c>
      <c r="CQ705" s="3" t="s">
        <v>120</v>
      </c>
      <c r="CT705" t="s">
        <v>2145</v>
      </c>
      <c r="CU705" t="s">
        <v>242</v>
      </c>
      <c r="CV705" t="s">
        <v>167</v>
      </c>
    </row>
    <row r="706" spans="1:100" ht="15" customHeight="1">
      <c r="A706" t="s">
        <v>6186</v>
      </c>
      <c r="B706" t="s">
        <v>6248</v>
      </c>
      <c r="C706" s="16" t="s">
        <v>97</v>
      </c>
      <c r="D706" t="s">
        <v>6310</v>
      </c>
      <c r="E706" s="16" t="s">
        <v>97</v>
      </c>
      <c r="F706" t="s">
        <v>6356</v>
      </c>
      <c r="I706" s="100" t="s">
        <v>342</v>
      </c>
      <c r="J706" s="16" t="s">
        <v>101</v>
      </c>
      <c r="L706" s="3" t="s">
        <v>102</v>
      </c>
      <c r="M706" s="3" t="s">
        <v>103</v>
      </c>
      <c r="N706" s="3" t="s">
        <v>104</v>
      </c>
      <c r="O706" s="16" t="s">
        <v>478</v>
      </c>
      <c r="P706" t="s">
        <v>6388</v>
      </c>
      <c r="Q706" t="s">
        <v>6388</v>
      </c>
      <c r="R706" t="s">
        <v>6388</v>
      </c>
      <c r="S706" t="s">
        <v>6186</v>
      </c>
      <c r="T706" t="s">
        <v>6488</v>
      </c>
      <c r="U706">
        <v>16</v>
      </c>
      <c r="X706" s="31"/>
      <c r="Y706" s="93">
        <f t="shared" si="0"/>
        <v>1</v>
      </c>
      <c r="Z706" s="3">
        <v>0</v>
      </c>
      <c r="AA706" s="3" t="s">
        <v>6450</v>
      </c>
      <c r="AD706" s="6">
        <f t="shared" si="1"/>
        <v>254.14</v>
      </c>
      <c r="AE706" s="265">
        <v>289.61547509999997</v>
      </c>
      <c r="AF706" s="17">
        <f t="shared" si="2"/>
        <v>289.61547509999997</v>
      </c>
      <c r="AG706" s="6">
        <f t="shared" si="3"/>
        <v>188.25</v>
      </c>
      <c r="AH706" s="31"/>
      <c r="AI706" s="11">
        <v>0.65</v>
      </c>
      <c r="AJ706" s="18">
        <v>0.35</v>
      </c>
      <c r="AK706" s="6">
        <f t="shared" si="4"/>
        <v>251.6</v>
      </c>
      <c r="AL706" s="6">
        <f t="shared" si="5"/>
        <v>249.06</v>
      </c>
      <c r="AM706" s="6">
        <f t="shared" si="6"/>
        <v>246.52</v>
      </c>
      <c r="AN706" s="6">
        <f t="shared" si="7"/>
        <v>246.52</v>
      </c>
      <c r="AO706" s="6">
        <f t="shared" si="8"/>
        <v>254.14</v>
      </c>
      <c r="BG706" s="12">
        <v>0.01</v>
      </c>
      <c r="BH706" s="12">
        <v>0.02</v>
      </c>
      <c r="BI706" s="12">
        <v>0.03</v>
      </c>
      <c r="BJ706" s="12">
        <v>0.03</v>
      </c>
      <c r="CC706" s="3" t="str">
        <f t="shared" si="9"/>
        <v>Allied-Moulded-AMP2060CCNLF.jpg</v>
      </c>
      <c r="CD706" s="16" t="s">
        <v>111</v>
      </c>
      <c r="CG706" s="3" t="s">
        <v>112</v>
      </c>
      <c r="CI706" s="3" t="s">
        <v>97</v>
      </c>
      <c r="CJ706" s="3" t="s">
        <v>481</v>
      </c>
      <c r="CK706" s="3" t="s">
        <v>114</v>
      </c>
      <c r="CL706" s="3" t="s">
        <v>115</v>
      </c>
      <c r="CO706" s="3" t="s">
        <v>482</v>
      </c>
      <c r="CQ706" s="3" t="s">
        <v>120</v>
      </c>
      <c r="CT706" t="s">
        <v>2145</v>
      </c>
      <c r="CU706" t="s">
        <v>242</v>
      </c>
      <c r="CV706" t="s">
        <v>167</v>
      </c>
    </row>
    <row r="707" spans="1:100" ht="15" customHeight="1">
      <c r="A707" t="s">
        <v>6187</v>
      </c>
      <c r="B707" t="s">
        <v>6249</v>
      </c>
      <c r="C707" s="16" t="s">
        <v>97</v>
      </c>
      <c r="D707" t="s">
        <v>6311</v>
      </c>
      <c r="E707" s="16" t="s">
        <v>97</v>
      </c>
      <c r="F707" t="s">
        <v>6357</v>
      </c>
      <c r="I707" s="100" t="s">
        <v>342</v>
      </c>
      <c r="J707" s="16" t="s">
        <v>101</v>
      </c>
      <c r="L707" s="3" t="s">
        <v>102</v>
      </c>
      <c r="M707" s="3" t="s">
        <v>103</v>
      </c>
      <c r="N707" s="3" t="s">
        <v>104</v>
      </c>
      <c r="O707" s="16" t="s">
        <v>478</v>
      </c>
      <c r="P707" t="s">
        <v>6389</v>
      </c>
      <c r="Q707" t="s">
        <v>6389</v>
      </c>
      <c r="R707" t="s">
        <v>6389</v>
      </c>
      <c r="S707" t="s">
        <v>6187</v>
      </c>
      <c r="T707" t="s">
        <v>6488</v>
      </c>
      <c r="U707">
        <v>17</v>
      </c>
      <c r="X707" s="31"/>
      <c r="Y707" s="93">
        <f t="shared" si="0"/>
        <v>1</v>
      </c>
      <c r="Z707" s="3">
        <v>0</v>
      </c>
      <c r="AA707" s="3" t="s">
        <v>6451</v>
      </c>
      <c r="AD707" s="6">
        <f t="shared" si="1"/>
        <v>219.96</v>
      </c>
      <c r="AE707" s="265">
        <v>250.66237665</v>
      </c>
      <c r="AF707" s="17">
        <f t="shared" si="2"/>
        <v>250.66237665</v>
      </c>
      <c r="AG707" s="6">
        <f t="shared" si="3"/>
        <v>162.93</v>
      </c>
      <c r="AH707" s="31"/>
      <c r="AI707" s="11">
        <v>0.65</v>
      </c>
      <c r="AJ707" s="18">
        <v>0.35</v>
      </c>
      <c r="AK707" s="6">
        <f t="shared" si="4"/>
        <v>217.76</v>
      </c>
      <c r="AL707" s="6">
        <f t="shared" si="5"/>
        <v>215.56</v>
      </c>
      <c r="AM707" s="6">
        <f t="shared" si="6"/>
        <v>213.36</v>
      </c>
      <c r="AN707" s="6">
        <f t="shared" si="7"/>
        <v>213.36</v>
      </c>
      <c r="AO707" s="6">
        <f t="shared" si="8"/>
        <v>219.96</v>
      </c>
      <c r="BG707" s="12">
        <v>0.01</v>
      </c>
      <c r="BH707" s="12">
        <v>0.02</v>
      </c>
      <c r="BI707" s="12">
        <v>0.03</v>
      </c>
      <c r="BJ707" s="12">
        <v>0.03</v>
      </c>
      <c r="CC707" s="3" t="str">
        <f t="shared" si="9"/>
        <v>Allied-Moulded-AMP2060F.jpg</v>
      </c>
      <c r="CD707" s="16" t="s">
        <v>111</v>
      </c>
      <c r="CG707" s="3" t="s">
        <v>112</v>
      </c>
      <c r="CI707" s="3" t="s">
        <v>97</v>
      </c>
      <c r="CJ707" s="3" t="s">
        <v>481</v>
      </c>
      <c r="CK707" s="3" t="s">
        <v>114</v>
      </c>
      <c r="CL707" s="3" t="s">
        <v>115</v>
      </c>
      <c r="CO707" s="3" t="s">
        <v>482</v>
      </c>
      <c r="CQ707" s="3" t="s">
        <v>120</v>
      </c>
      <c r="CT707" t="s">
        <v>2145</v>
      </c>
      <c r="CU707" t="s">
        <v>242</v>
      </c>
      <c r="CV707" t="s">
        <v>167</v>
      </c>
    </row>
    <row r="708" spans="1:100" ht="15" customHeight="1">
      <c r="A708" t="s">
        <v>6188</v>
      </c>
      <c r="B708" t="s">
        <v>6250</v>
      </c>
      <c r="C708" s="16" t="s">
        <v>97</v>
      </c>
      <c r="D708" t="s">
        <v>6312</v>
      </c>
      <c r="E708" s="16" t="s">
        <v>97</v>
      </c>
      <c r="F708" t="s">
        <v>6358</v>
      </c>
      <c r="I708" s="100" t="s">
        <v>342</v>
      </c>
      <c r="J708" s="16" t="s">
        <v>101</v>
      </c>
      <c r="L708" s="3" t="s">
        <v>102</v>
      </c>
      <c r="M708" s="3" t="s">
        <v>103</v>
      </c>
      <c r="N708" s="3" t="s">
        <v>104</v>
      </c>
      <c r="O708" s="16" t="s">
        <v>478</v>
      </c>
      <c r="P708" t="s">
        <v>6390</v>
      </c>
      <c r="Q708" t="s">
        <v>6390</v>
      </c>
      <c r="R708" t="s">
        <v>6390</v>
      </c>
      <c r="S708" t="s">
        <v>6188</v>
      </c>
      <c r="T708" t="s">
        <v>6488</v>
      </c>
      <c r="U708">
        <v>16</v>
      </c>
      <c r="X708" s="31"/>
      <c r="Y708" s="93">
        <f t="shared" si="0"/>
        <v>1</v>
      </c>
      <c r="Z708" s="3">
        <v>0</v>
      </c>
      <c r="AA708" s="3" t="s">
        <v>6452</v>
      </c>
      <c r="AD708" s="6">
        <f t="shared" si="1"/>
        <v>216.53</v>
      </c>
      <c r="AE708" s="265">
        <v>246.75678930000001</v>
      </c>
      <c r="AF708" s="17">
        <f t="shared" si="2"/>
        <v>246.75678930000001</v>
      </c>
      <c r="AG708" s="6">
        <f t="shared" si="3"/>
        <v>160.38999999999999</v>
      </c>
      <c r="AH708" s="31"/>
      <c r="AI708" s="11">
        <v>0.65</v>
      </c>
      <c r="AJ708" s="18">
        <v>0.35</v>
      </c>
      <c r="AK708" s="6">
        <f t="shared" si="4"/>
        <v>214.36</v>
      </c>
      <c r="AL708" s="6">
        <f t="shared" si="5"/>
        <v>212.2</v>
      </c>
      <c r="AM708" s="6">
        <f t="shared" si="6"/>
        <v>210.03</v>
      </c>
      <c r="AN708" s="6">
        <f t="shared" si="7"/>
        <v>210.03</v>
      </c>
      <c r="AO708" s="6">
        <f t="shared" si="8"/>
        <v>216.53</v>
      </c>
      <c r="BG708" s="12">
        <v>0.01</v>
      </c>
      <c r="BH708" s="12">
        <v>0.02</v>
      </c>
      <c r="BI708" s="12">
        <v>0.03</v>
      </c>
      <c r="BJ708" s="12">
        <v>0.03</v>
      </c>
      <c r="CC708" s="3" t="str">
        <f t="shared" si="9"/>
        <v>Allied-Moulded-AMP2060H.jpg</v>
      </c>
      <c r="CD708" s="16" t="s">
        <v>111</v>
      </c>
      <c r="CG708" s="3" t="s">
        <v>112</v>
      </c>
      <c r="CI708" s="3" t="s">
        <v>97</v>
      </c>
      <c r="CJ708" s="3" t="s">
        <v>481</v>
      </c>
      <c r="CK708" s="3" t="s">
        <v>114</v>
      </c>
      <c r="CL708" s="3" t="s">
        <v>115</v>
      </c>
      <c r="CO708" s="3" t="s">
        <v>482</v>
      </c>
      <c r="CQ708" s="3" t="s">
        <v>120</v>
      </c>
      <c r="CT708" t="s">
        <v>2145</v>
      </c>
      <c r="CU708" t="s">
        <v>242</v>
      </c>
      <c r="CV708" t="s">
        <v>167</v>
      </c>
    </row>
    <row r="709" spans="1:100" ht="15" customHeight="1">
      <c r="A709" t="s">
        <v>6189</v>
      </c>
      <c r="B709" t="s">
        <v>6251</v>
      </c>
      <c r="C709" s="16" t="s">
        <v>97</v>
      </c>
      <c r="D709" t="s">
        <v>6313</v>
      </c>
      <c r="E709" s="16" t="s">
        <v>97</v>
      </c>
      <c r="F709" t="s">
        <v>6359</v>
      </c>
      <c r="I709" s="100" t="s">
        <v>342</v>
      </c>
      <c r="J709" s="16" t="s">
        <v>101</v>
      </c>
      <c r="L709" s="3" t="s">
        <v>102</v>
      </c>
      <c r="M709" s="3" t="s">
        <v>103</v>
      </c>
      <c r="N709" s="3" t="s">
        <v>104</v>
      </c>
      <c r="O709" s="16" t="s">
        <v>478</v>
      </c>
      <c r="P709" t="s">
        <v>6391</v>
      </c>
      <c r="Q709" t="s">
        <v>6391</v>
      </c>
      <c r="R709" t="s">
        <v>6391</v>
      </c>
      <c r="S709" t="s">
        <v>6189</v>
      </c>
      <c r="T709" t="s">
        <v>6488</v>
      </c>
      <c r="U709">
        <v>17</v>
      </c>
      <c r="X709" s="31"/>
      <c r="Y709" s="93">
        <f t="shared" si="0"/>
        <v>1</v>
      </c>
      <c r="Z709" s="3">
        <v>0</v>
      </c>
      <c r="AA709" s="3" t="s">
        <v>6453</v>
      </c>
      <c r="AD709" s="6">
        <f t="shared" si="1"/>
        <v>223.29</v>
      </c>
      <c r="AE709" s="265">
        <v>254.4651858</v>
      </c>
      <c r="AF709" s="17">
        <f t="shared" si="2"/>
        <v>254.4651858</v>
      </c>
      <c r="AG709" s="6">
        <f t="shared" si="3"/>
        <v>165.4</v>
      </c>
      <c r="AH709" s="31"/>
      <c r="AI709" s="11">
        <v>0.65</v>
      </c>
      <c r="AJ709" s="18">
        <v>0.35</v>
      </c>
      <c r="AK709" s="6">
        <f t="shared" si="4"/>
        <v>221.06</v>
      </c>
      <c r="AL709" s="6">
        <f t="shared" si="5"/>
        <v>218.82</v>
      </c>
      <c r="AM709" s="6">
        <f t="shared" si="6"/>
        <v>216.59</v>
      </c>
      <c r="AN709" s="6">
        <f t="shared" si="7"/>
        <v>216.59</v>
      </c>
      <c r="AO709" s="6">
        <f t="shared" si="8"/>
        <v>223.29</v>
      </c>
      <c r="BG709" s="12">
        <v>0.01</v>
      </c>
      <c r="BH709" s="12">
        <v>0.02</v>
      </c>
      <c r="BI709" s="12">
        <v>0.03</v>
      </c>
      <c r="BJ709" s="12">
        <v>0.03</v>
      </c>
      <c r="CC709" s="3" t="str">
        <f t="shared" si="9"/>
        <v>Allied-Moulded-AMP2060HF.jpg</v>
      </c>
      <c r="CD709" s="16" t="s">
        <v>111</v>
      </c>
      <c r="CG709" s="3" t="s">
        <v>112</v>
      </c>
      <c r="CI709" s="3" t="s">
        <v>97</v>
      </c>
      <c r="CJ709" s="3" t="s">
        <v>481</v>
      </c>
      <c r="CK709" s="3" t="s">
        <v>114</v>
      </c>
      <c r="CL709" s="3" t="s">
        <v>115</v>
      </c>
      <c r="CO709" s="3" t="s">
        <v>482</v>
      </c>
      <c r="CQ709" s="3" t="s">
        <v>120</v>
      </c>
      <c r="CT709" t="s">
        <v>2145</v>
      </c>
      <c r="CU709" t="s">
        <v>242</v>
      </c>
      <c r="CV709" t="s">
        <v>167</v>
      </c>
    </row>
    <row r="710" spans="1:100" ht="15" customHeight="1">
      <c r="A710" t="s">
        <v>6190</v>
      </c>
      <c r="B710" t="s">
        <v>6252</v>
      </c>
      <c r="C710" s="16" t="s">
        <v>97</v>
      </c>
      <c r="D710" t="s">
        <v>6314</v>
      </c>
      <c r="E710" s="16" t="s">
        <v>97</v>
      </c>
      <c r="F710" t="s">
        <v>6360</v>
      </c>
      <c r="I710" s="100" t="s">
        <v>342</v>
      </c>
      <c r="J710" s="16" t="s">
        <v>101</v>
      </c>
      <c r="L710" s="3" t="s">
        <v>102</v>
      </c>
      <c r="M710" s="3" t="s">
        <v>103</v>
      </c>
      <c r="N710" s="3" t="s">
        <v>104</v>
      </c>
      <c r="O710" s="16" t="s">
        <v>478</v>
      </c>
      <c r="P710" t="s">
        <v>6392</v>
      </c>
      <c r="Q710" t="s">
        <v>6392</v>
      </c>
      <c r="R710" t="s">
        <v>6392</v>
      </c>
      <c r="S710" t="s">
        <v>6190</v>
      </c>
      <c r="T710" t="s">
        <v>6488</v>
      </c>
      <c r="U710">
        <v>16</v>
      </c>
      <c r="X710" s="31"/>
      <c r="Y710" s="93">
        <f t="shared" si="0"/>
        <v>1</v>
      </c>
      <c r="Z710" s="3">
        <v>0</v>
      </c>
      <c r="AA710" s="3" t="s">
        <v>6454</v>
      </c>
      <c r="AD710" s="6">
        <f t="shared" si="1"/>
        <v>240.42</v>
      </c>
      <c r="AE710" s="265">
        <v>273.97844144999999</v>
      </c>
      <c r="AF710" s="17">
        <f t="shared" si="2"/>
        <v>273.97844144999999</v>
      </c>
      <c r="AG710" s="6">
        <f t="shared" si="3"/>
        <v>178.09</v>
      </c>
      <c r="AH710" s="31"/>
      <c r="AI710" s="11">
        <v>0.65</v>
      </c>
      <c r="AJ710" s="18">
        <v>0.35</v>
      </c>
      <c r="AK710" s="6">
        <f t="shared" si="4"/>
        <v>238.02</v>
      </c>
      <c r="AL710" s="6">
        <f t="shared" si="5"/>
        <v>235.61</v>
      </c>
      <c r="AM710" s="6">
        <f t="shared" si="6"/>
        <v>233.21</v>
      </c>
      <c r="AN710" s="6">
        <f t="shared" si="7"/>
        <v>233.21</v>
      </c>
      <c r="AO710" s="6">
        <f t="shared" si="8"/>
        <v>240.42</v>
      </c>
      <c r="BG710" s="12">
        <v>0.01</v>
      </c>
      <c r="BH710" s="12">
        <v>0.02</v>
      </c>
      <c r="BI710" s="12">
        <v>0.03</v>
      </c>
      <c r="BJ710" s="12">
        <v>0.03</v>
      </c>
      <c r="CC710" s="3" t="str">
        <f t="shared" si="9"/>
        <v>Allied-Moulded-AMP2060L.jpg</v>
      </c>
      <c r="CD710" s="16" t="s">
        <v>111</v>
      </c>
      <c r="CG710" s="3" t="s">
        <v>112</v>
      </c>
      <c r="CI710" s="3" t="s">
        <v>97</v>
      </c>
      <c r="CJ710" s="3" t="s">
        <v>481</v>
      </c>
      <c r="CK710" s="3" t="s">
        <v>114</v>
      </c>
      <c r="CL710" s="3" t="s">
        <v>115</v>
      </c>
      <c r="CO710" s="3" t="s">
        <v>482</v>
      </c>
      <c r="CQ710" s="3" t="s">
        <v>120</v>
      </c>
      <c r="CT710" t="s">
        <v>2145</v>
      </c>
      <c r="CU710" t="s">
        <v>242</v>
      </c>
      <c r="CV710" t="s">
        <v>167</v>
      </c>
    </row>
    <row r="711" spans="1:100" ht="15" customHeight="1">
      <c r="A711" t="s">
        <v>6191</v>
      </c>
      <c r="B711" t="s">
        <v>6253</v>
      </c>
      <c r="C711" s="16" t="s">
        <v>97</v>
      </c>
      <c r="D711" t="s">
        <v>6315</v>
      </c>
      <c r="E711" s="16" t="s">
        <v>97</v>
      </c>
      <c r="F711" t="s">
        <v>6361</v>
      </c>
      <c r="I711" s="100" t="s">
        <v>342</v>
      </c>
      <c r="J711" s="16" t="s">
        <v>101</v>
      </c>
      <c r="L711" s="3" t="s">
        <v>102</v>
      </c>
      <c r="M711" s="3" t="s">
        <v>103</v>
      </c>
      <c r="N711" s="3" t="s">
        <v>104</v>
      </c>
      <c r="O711" s="16" t="s">
        <v>478</v>
      </c>
      <c r="P711" t="s">
        <v>6393</v>
      </c>
      <c r="Q711" t="s">
        <v>6393</v>
      </c>
      <c r="R711" t="s">
        <v>6393</v>
      </c>
      <c r="S711" t="s">
        <v>6191</v>
      </c>
      <c r="T711" t="s">
        <v>6488</v>
      </c>
      <c r="U711">
        <v>17</v>
      </c>
      <c r="X711" s="31"/>
      <c r="Y711" s="93">
        <f t="shared" si="0"/>
        <v>1</v>
      </c>
      <c r="Z711" s="3">
        <v>0</v>
      </c>
      <c r="AA711" s="3" t="s">
        <v>6455</v>
      </c>
      <c r="AD711" s="6">
        <f t="shared" si="1"/>
        <v>248.37</v>
      </c>
      <c r="AE711" s="265">
        <v>283.05232515</v>
      </c>
      <c r="AF711" s="17">
        <f t="shared" si="2"/>
        <v>283.05232515</v>
      </c>
      <c r="AG711" s="6">
        <f t="shared" si="3"/>
        <v>183.98</v>
      </c>
      <c r="AH711" s="31"/>
      <c r="AI711" s="11">
        <v>0.65</v>
      </c>
      <c r="AJ711" s="18">
        <v>0.35</v>
      </c>
      <c r="AK711" s="6">
        <f t="shared" si="4"/>
        <v>245.89</v>
      </c>
      <c r="AL711" s="6">
        <f t="shared" si="5"/>
        <v>243.4</v>
      </c>
      <c r="AM711" s="6">
        <f t="shared" si="6"/>
        <v>240.92</v>
      </c>
      <c r="AN711" s="6">
        <f t="shared" si="7"/>
        <v>240.92</v>
      </c>
      <c r="AO711" s="6">
        <f t="shared" si="8"/>
        <v>248.37</v>
      </c>
      <c r="BG711" s="12">
        <v>0.01</v>
      </c>
      <c r="BH711" s="12">
        <v>0.02</v>
      </c>
      <c r="BI711" s="12">
        <v>0.03</v>
      </c>
      <c r="BJ711" s="12">
        <v>0.03</v>
      </c>
      <c r="CC711" s="3" t="str">
        <f t="shared" si="9"/>
        <v>Allied-Moulded-AMP2060LF.jpg</v>
      </c>
      <c r="CD711" s="16" t="s">
        <v>111</v>
      </c>
      <c r="CG711" s="3" t="s">
        <v>112</v>
      </c>
      <c r="CI711" s="3" t="s">
        <v>97</v>
      </c>
      <c r="CJ711" s="3" t="s">
        <v>481</v>
      </c>
      <c r="CK711" s="3" t="s">
        <v>114</v>
      </c>
      <c r="CL711" s="3" t="s">
        <v>115</v>
      </c>
      <c r="CO711" s="3" t="s">
        <v>482</v>
      </c>
      <c r="CQ711" s="3" t="s">
        <v>120</v>
      </c>
      <c r="CT711" t="s">
        <v>2145</v>
      </c>
      <c r="CU711" t="s">
        <v>242</v>
      </c>
      <c r="CV711" t="s">
        <v>167</v>
      </c>
    </row>
    <row r="712" spans="1:100" ht="15" customHeight="1">
      <c r="A712" t="s">
        <v>6192</v>
      </c>
      <c r="B712" t="s">
        <v>6254</v>
      </c>
      <c r="C712" s="16" t="s">
        <v>97</v>
      </c>
      <c r="D712" t="s">
        <v>6316</v>
      </c>
      <c r="E712" s="16" t="s">
        <v>97</v>
      </c>
      <c r="F712" t="s">
        <v>6362</v>
      </c>
      <c r="I712" s="100" t="s">
        <v>342</v>
      </c>
      <c r="J712" s="16" t="s">
        <v>101</v>
      </c>
      <c r="L712" s="3" t="s">
        <v>102</v>
      </c>
      <c r="M712" s="3" t="s">
        <v>103</v>
      </c>
      <c r="N712" s="3" t="s">
        <v>104</v>
      </c>
      <c r="O712" s="16" t="s">
        <v>478</v>
      </c>
      <c r="P712" t="s">
        <v>6394</v>
      </c>
      <c r="Q712" t="s">
        <v>6394</v>
      </c>
      <c r="R712" t="s">
        <v>6394</v>
      </c>
      <c r="S712" t="s">
        <v>6192</v>
      </c>
      <c r="T712" t="s">
        <v>6488</v>
      </c>
      <c r="U712">
        <v>16</v>
      </c>
      <c r="X712" s="31"/>
      <c r="Y712" s="93">
        <f t="shared" si="0"/>
        <v>1</v>
      </c>
      <c r="Z712" s="3">
        <v>0</v>
      </c>
      <c r="AA712" s="3" t="s">
        <v>6456</v>
      </c>
      <c r="AD712" s="6">
        <f t="shared" si="1"/>
        <v>232.28</v>
      </c>
      <c r="AE712" s="265">
        <v>264.71368245000002</v>
      </c>
      <c r="AF712" s="17">
        <f t="shared" si="2"/>
        <v>264.71368245000002</v>
      </c>
      <c r="AG712" s="6">
        <f t="shared" si="3"/>
        <v>172.06</v>
      </c>
      <c r="AH712" s="31"/>
      <c r="AI712" s="11">
        <v>0.65</v>
      </c>
      <c r="AJ712" s="18">
        <v>0.35</v>
      </c>
      <c r="AK712" s="6">
        <f t="shared" si="4"/>
        <v>229.96</v>
      </c>
      <c r="AL712" s="6">
        <f t="shared" si="5"/>
        <v>227.63</v>
      </c>
      <c r="AM712" s="6">
        <f t="shared" si="6"/>
        <v>225.31</v>
      </c>
      <c r="AN712" s="6">
        <f t="shared" si="7"/>
        <v>225.31</v>
      </c>
      <c r="AO712" s="6">
        <f t="shared" si="8"/>
        <v>232.28</v>
      </c>
      <c r="BG712" s="12">
        <v>0.01</v>
      </c>
      <c r="BH712" s="12">
        <v>0.02</v>
      </c>
      <c r="BI712" s="12">
        <v>0.03</v>
      </c>
      <c r="BJ712" s="12">
        <v>0.03</v>
      </c>
      <c r="CC712" s="3" t="str">
        <f t="shared" si="9"/>
        <v>Allied-Moulded-AMP2060NL.jpg</v>
      </c>
      <c r="CD712" s="16" t="s">
        <v>111</v>
      </c>
      <c r="CG712" s="3" t="s">
        <v>112</v>
      </c>
      <c r="CI712" s="3" t="s">
        <v>97</v>
      </c>
      <c r="CJ712" s="3" t="s">
        <v>481</v>
      </c>
      <c r="CK712" s="3" t="s">
        <v>114</v>
      </c>
      <c r="CL712" s="3" t="s">
        <v>115</v>
      </c>
      <c r="CO712" s="3" t="s">
        <v>482</v>
      </c>
      <c r="CQ712" s="3" t="s">
        <v>120</v>
      </c>
      <c r="CT712" t="s">
        <v>2145</v>
      </c>
      <c r="CU712" t="s">
        <v>242</v>
      </c>
      <c r="CV712" t="s">
        <v>167</v>
      </c>
    </row>
    <row r="713" spans="1:100" ht="15" customHeight="1">
      <c r="A713" t="s">
        <v>6193</v>
      </c>
      <c r="B713" t="s">
        <v>6255</v>
      </c>
      <c r="C713" s="16" t="s">
        <v>97</v>
      </c>
      <c r="D713" t="s">
        <v>6317</v>
      </c>
      <c r="E713" s="16" t="s">
        <v>97</v>
      </c>
      <c r="F713" t="s">
        <v>6363</v>
      </c>
      <c r="I713" s="100" t="s">
        <v>342</v>
      </c>
      <c r="J713" s="16" t="s">
        <v>101</v>
      </c>
      <c r="L713" s="3" t="s">
        <v>102</v>
      </c>
      <c r="M713" s="3" t="s">
        <v>103</v>
      </c>
      <c r="N713" s="3" t="s">
        <v>104</v>
      </c>
      <c r="O713" s="16" t="s">
        <v>478</v>
      </c>
      <c r="P713" t="s">
        <v>6395</v>
      </c>
      <c r="Q713" t="s">
        <v>6395</v>
      </c>
      <c r="R713" t="s">
        <v>6395</v>
      </c>
      <c r="S713" t="s">
        <v>6193</v>
      </c>
      <c r="T713" t="s">
        <v>6488</v>
      </c>
      <c r="U713">
        <v>17</v>
      </c>
      <c r="X713" s="31"/>
      <c r="Y713" s="93">
        <f t="shared" si="0"/>
        <v>1</v>
      </c>
      <c r="Z713" s="3">
        <v>0</v>
      </c>
      <c r="AA713" s="3" t="s">
        <v>6457</v>
      </c>
      <c r="AD713" s="6">
        <f t="shared" si="1"/>
        <v>239.85</v>
      </c>
      <c r="AE713" s="265">
        <v>273.33240480000001</v>
      </c>
      <c r="AF713" s="17">
        <f t="shared" si="2"/>
        <v>273.33240480000001</v>
      </c>
      <c r="AG713" s="6">
        <f t="shared" si="3"/>
        <v>177.67</v>
      </c>
      <c r="AH713" s="31"/>
      <c r="AI713" s="11">
        <v>0.65</v>
      </c>
      <c r="AJ713" s="18">
        <v>0.35</v>
      </c>
      <c r="AK713" s="6">
        <f t="shared" si="4"/>
        <v>237.45</v>
      </c>
      <c r="AL713" s="6">
        <f t="shared" si="5"/>
        <v>235.05</v>
      </c>
      <c r="AM713" s="6">
        <f t="shared" si="6"/>
        <v>232.65</v>
      </c>
      <c r="AN713" s="6">
        <f t="shared" si="7"/>
        <v>232.65</v>
      </c>
      <c r="AO713" s="6">
        <f t="shared" si="8"/>
        <v>239.85</v>
      </c>
      <c r="BG713" s="12">
        <v>0.01</v>
      </c>
      <c r="BH713" s="12">
        <v>0.02</v>
      </c>
      <c r="BI713" s="12">
        <v>0.03</v>
      </c>
      <c r="BJ713" s="12">
        <v>0.03</v>
      </c>
      <c r="CC713" s="3" t="str">
        <f t="shared" si="9"/>
        <v>Allied-Moulded-AMP2060NLF.jpg</v>
      </c>
      <c r="CD713" s="16" t="s">
        <v>111</v>
      </c>
      <c r="CG713" s="3" t="s">
        <v>112</v>
      </c>
      <c r="CI713" s="3" t="s">
        <v>97</v>
      </c>
      <c r="CJ713" s="3" t="s">
        <v>481</v>
      </c>
      <c r="CK713" s="3" t="s">
        <v>114</v>
      </c>
      <c r="CL713" s="3" t="s">
        <v>115</v>
      </c>
      <c r="CO713" s="3" t="s">
        <v>482</v>
      </c>
      <c r="CQ713" s="3" t="s">
        <v>120</v>
      </c>
      <c r="CT713" t="s">
        <v>2145</v>
      </c>
      <c r="CU713" t="s">
        <v>242</v>
      </c>
      <c r="CV713" t="s">
        <v>167</v>
      </c>
    </row>
    <row r="714" spans="1:100" ht="15" customHeight="1">
      <c r="A714" t="s">
        <v>6194</v>
      </c>
      <c r="B714" t="s">
        <v>6256</v>
      </c>
      <c r="C714" s="16" t="s">
        <v>97</v>
      </c>
      <c r="D714" t="s">
        <v>6318</v>
      </c>
      <c r="E714" s="16" t="s">
        <v>97</v>
      </c>
      <c r="F714"/>
      <c r="I714" s="100" t="s">
        <v>342</v>
      </c>
      <c r="J714" s="16" t="s">
        <v>101</v>
      </c>
      <c r="L714" s="3" t="s">
        <v>102</v>
      </c>
      <c r="M714" s="3" t="s">
        <v>103</v>
      </c>
      <c r="N714" s="3" t="s">
        <v>104</v>
      </c>
      <c r="O714" s="16" t="s">
        <v>105</v>
      </c>
      <c r="P714" t="s">
        <v>6396</v>
      </c>
      <c r="Q714" t="s">
        <v>6396</v>
      </c>
      <c r="R714" t="s">
        <v>6396</v>
      </c>
      <c r="S714" t="s">
        <v>6194</v>
      </c>
      <c r="T714" t="s">
        <v>6488</v>
      </c>
      <c r="U714">
        <v>5</v>
      </c>
      <c r="X714" s="31"/>
      <c r="Y714" s="93">
        <f t="shared" si="0"/>
        <v>1</v>
      </c>
      <c r="Z714" s="3">
        <v>0</v>
      </c>
      <c r="AA714" s="3" t="s">
        <v>6458</v>
      </c>
      <c r="AD714" s="6">
        <f t="shared" si="1"/>
        <v>88.44</v>
      </c>
      <c r="AE714" s="265">
        <v>100.7855</v>
      </c>
      <c r="AF714" s="17">
        <f t="shared" si="2"/>
        <v>100.7855</v>
      </c>
      <c r="AG714" s="6">
        <f t="shared" si="3"/>
        <v>65.510000000000005</v>
      </c>
      <c r="AH714" s="31"/>
      <c r="AI714" s="11">
        <v>0.65</v>
      </c>
      <c r="AJ714" s="18">
        <v>0.35</v>
      </c>
      <c r="AK714" s="6">
        <f t="shared" si="4"/>
        <v>87.56</v>
      </c>
      <c r="AL714" s="6">
        <f t="shared" si="5"/>
        <v>86.67</v>
      </c>
      <c r="AM714" s="6">
        <f t="shared" si="6"/>
        <v>85.79</v>
      </c>
      <c r="AN714" s="6">
        <f t="shared" si="7"/>
        <v>85.79</v>
      </c>
      <c r="AO714" s="6">
        <f t="shared" si="8"/>
        <v>88.44</v>
      </c>
      <c r="BG714" s="12">
        <v>0.01</v>
      </c>
      <c r="BH714" s="12">
        <v>0.02</v>
      </c>
      <c r="BI714" s="12">
        <v>0.03</v>
      </c>
      <c r="BJ714" s="12">
        <v>0.03</v>
      </c>
      <c r="CC714" s="3" t="str">
        <f t="shared" si="9"/>
        <v>Allied-Moulded-AMU884.jpg</v>
      </c>
      <c r="CD714" s="16" t="s">
        <v>111</v>
      </c>
      <c r="CG714" s="3" t="s">
        <v>112</v>
      </c>
      <c r="CI714" s="3" t="s">
        <v>97</v>
      </c>
      <c r="CJ714" s="3" t="s">
        <v>467</v>
      </c>
      <c r="CK714" s="3" t="s">
        <v>114</v>
      </c>
      <c r="CL714" s="3" t="s">
        <v>115</v>
      </c>
      <c r="CO714" s="3" t="s">
        <v>118</v>
      </c>
      <c r="CQ714" s="3" t="s">
        <v>120</v>
      </c>
      <c r="CT714" t="s">
        <v>385</v>
      </c>
      <c r="CU714" t="s">
        <v>385</v>
      </c>
      <c r="CV714" t="s">
        <v>657</v>
      </c>
    </row>
    <row r="715" spans="1:100" ht="15" customHeight="1">
      <c r="A715" t="s">
        <v>6195</v>
      </c>
      <c r="B715" t="s">
        <v>6257</v>
      </c>
      <c r="C715" s="16" t="s">
        <v>97</v>
      </c>
      <c r="D715" t="s">
        <v>6319</v>
      </c>
      <c r="E715" s="16" t="s">
        <v>97</v>
      </c>
      <c r="F715"/>
      <c r="I715" s="100" t="s">
        <v>342</v>
      </c>
      <c r="J715" s="16" t="s">
        <v>101</v>
      </c>
      <c r="L715" s="3" t="s">
        <v>102</v>
      </c>
      <c r="M715" s="3" t="s">
        <v>103</v>
      </c>
      <c r="N715" s="3" t="s">
        <v>104</v>
      </c>
      <c r="O715" s="16" t="s">
        <v>105</v>
      </c>
      <c r="P715" t="s">
        <v>6397</v>
      </c>
      <c r="Q715" t="s">
        <v>6397</v>
      </c>
      <c r="R715" t="s">
        <v>6397</v>
      </c>
      <c r="S715" t="s">
        <v>6195</v>
      </c>
      <c r="T715" t="s">
        <v>6488</v>
      </c>
      <c r="U715">
        <v>5</v>
      </c>
      <c r="X715" s="31"/>
      <c r="Y715" s="93">
        <f t="shared" si="0"/>
        <v>1</v>
      </c>
      <c r="Z715" s="3">
        <v>0</v>
      </c>
      <c r="AA715" s="3" t="s">
        <v>6459</v>
      </c>
      <c r="AD715" s="6">
        <f t="shared" si="1"/>
        <v>98.98</v>
      </c>
      <c r="AE715" s="265">
        <v>112.79530000000001</v>
      </c>
      <c r="AF715" s="17">
        <f t="shared" si="2"/>
        <v>112.79530000000001</v>
      </c>
      <c r="AG715" s="6">
        <f t="shared" si="3"/>
        <v>73.319999999999993</v>
      </c>
      <c r="AH715" s="31"/>
      <c r="AI715" s="11">
        <v>0.65</v>
      </c>
      <c r="AJ715" s="18">
        <v>0.35</v>
      </c>
      <c r="AK715" s="6">
        <f t="shared" si="4"/>
        <v>97.99</v>
      </c>
      <c r="AL715" s="6">
        <f t="shared" si="5"/>
        <v>97</v>
      </c>
      <c r="AM715" s="6">
        <f t="shared" si="6"/>
        <v>96.01</v>
      </c>
      <c r="AN715" s="6">
        <f t="shared" si="7"/>
        <v>96.01</v>
      </c>
      <c r="AO715" s="6">
        <f t="shared" si="8"/>
        <v>98.98</v>
      </c>
      <c r="BG715" s="12">
        <v>0.01</v>
      </c>
      <c r="BH715" s="12">
        <v>0.02</v>
      </c>
      <c r="BI715" s="12">
        <v>0.03</v>
      </c>
      <c r="BJ715" s="12">
        <v>0.03</v>
      </c>
      <c r="CC715" s="3" t="str">
        <f t="shared" si="9"/>
        <v>Allied-Moulded-AMU884CC.jpg</v>
      </c>
      <c r="CD715" s="16" t="s">
        <v>111</v>
      </c>
      <c r="CG715" s="3" t="s">
        <v>112</v>
      </c>
      <c r="CI715" s="3" t="s">
        <v>97</v>
      </c>
      <c r="CJ715" s="3" t="s">
        <v>467</v>
      </c>
      <c r="CK715" s="3" t="s">
        <v>114</v>
      </c>
      <c r="CL715" s="3" t="s">
        <v>115</v>
      </c>
      <c r="CO715" s="3" t="s">
        <v>118</v>
      </c>
      <c r="CQ715" s="3" t="s">
        <v>120</v>
      </c>
      <c r="CT715" t="s">
        <v>385</v>
      </c>
      <c r="CU715" t="s">
        <v>385</v>
      </c>
      <c r="CV715" t="s">
        <v>657</v>
      </c>
    </row>
    <row r="716" spans="1:100" ht="15" customHeight="1">
      <c r="A716" t="s">
        <v>6196</v>
      </c>
      <c r="B716" t="s">
        <v>6258</v>
      </c>
      <c r="C716" s="16" t="s">
        <v>97</v>
      </c>
      <c r="D716" t="s">
        <v>6320</v>
      </c>
      <c r="E716" s="16" t="s">
        <v>97</v>
      </c>
      <c r="F716"/>
      <c r="I716" s="100" t="s">
        <v>342</v>
      </c>
      <c r="J716" s="16" t="s">
        <v>101</v>
      </c>
      <c r="L716" s="3" t="s">
        <v>102</v>
      </c>
      <c r="M716" s="3" t="s">
        <v>103</v>
      </c>
      <c r="N716" s="3" t="s">
        <v>104</v>
      </c>
      <c r="O716" s="16" t="s">
        <v>105</v>
      </c>
      <c r="P716" t="s">
        <v>6398</v>
      </c>
      <c r="Q716" t="s">
        <v>6398</v>
      </c>
      <c r="R716" t="s">
        <v>6398</v>
      </c>
      <c r="S716" t="s">
        <v>6196</v>
      </c>
      <c r="T716" t="s">
        <v>6488</v>
      </c>
      <c r="U716">
        <v>5</v>
      </c>
      <c r="X716" s="31"/>
      <c r="Y716" s="93">
        <f t="shared" si="0"/>
        <v>1</v>
      </c>
      <c r="Z716" s="3">
        <v>0</v>
      </c>
      <c r="AA716" s="3" t="s">
        <v>6460</v>
      </c>
      <c r="AD716" s="6">
        <f t="shared" si="1"/>
        <v>100.52</v>
      </c>
      <c r="AE716" s="265">
        <v>114.5566</v>
      </c>
      <c r="AF716" s="17">
        <f t="shared" si="2"/>
        <v>114.5566</v>
      </c>
      <c r="AG716" s="6">
        <f t="shared" si="3"/>
        <v>74.459999999999994</v>
      </c>
      <c r="AH716" s="31"/>
      <c r="AI716" s="11">
        <v>0.65</v>
      </c>
      <c r="AJ716" s="18">
        <v>0.35</v>
      </c>
      <c r="AK716" s="6">
        <f t="shared" si="4"/>
        <v>99.51</v>
      </c>
      <c r="AL716" s="6">
        <f t="shared" si="5"/>
        <v>98.51</v>
      </c>
      <c r="AM716" s="6">
        <f t="shared" si="6"/>
        <v>97.5</v>
      </c>
      <c r="AN716" s="6">
        <f t="shared" si="7"/>
        <v>97.5</v>
      </c>
      <c r="AO716" s="6">
        <f t="shared" si="8"/>
        <v>100.52</v>
      </c>
      <c r="BG716" s="12">
        <v>0.01</v>
      </c>
      <c r="BH716" s="12">
        <v>0.02</v>
      </c>
      <c r="BI716" s="12">
        <v>0.03</v>
      </c>
      <c r="BJ716" s="12">
        <v>0.03</v>
      </c>
      <c r="CC716" s="3" t="str">
        <f t="shared" si="9"/>
        <v>Allied-Moulded-AMU884CCF.jpg</v>
      </c>
      <c r="CD716" s="16" t="s">
        <v>111</v>
      </c>
      <c r="CG716" s="3" t="s">
        <v>112</v>
      </c>
      <c r="CI716" s="3" t="s">
        <v>97</v>
      </c>
      <c r="CJ716" s="3" t="s">
        <v>467</v>
      </c>
      <c r="CK716" s="3" t="s">
        <v>114</v>
      </c>
      <c r="CL716" s="3" t="s">
        <v>115</v>
      </c>
      <c r="CO716" s="3" t="s">
        <v>118</v>
      </c>
      <c r="CQ716" s="3" t="s">
        <v>120</v>
      </c>
      <c r="CT716" t="s">
        <v>385</v>
      </c>
      <c r="CU716" t="s">
        <v>385</v>
      </c>
      <c r="CV716" t="s">
        <v>657</v>
      </c>
    </row>
    <row r="717" spans="1:100" ht="15" customHeight="1">
      <c r="A717" t="s">
        <v>6197</v>
      </c>
      <c r="B717" t="s">
        <v>6259</v>
      </c>
      <c r="C717" s="16" t="s">
        <v>97</v>
      </c>
      <c r="D717" t="s">
        <v>6321</v>
      </c>
      <c r="E717" s="16" t="s">
        <v>97</v>
      </c>
      <c r="F717"/>
      <c r="I717" s="100" t="s">
        <v>342</v>
      </c>
      <c r="J717" s="16" t="s">
        <v>101</v>
      </c>
      <c r="L717" s="3" t="s">
        <v>102</v>
      </c>
      <c r="M717" s="3" t="s">
        <v>103</v>
      </c>
      <c r="N717" s="3" t="s">
        <v>104</v>
      </c>
      <c r="O717" s="16" t="s">
        <v>105</v>
      </c>
      <c r="P717" t="s">
        <v>6399</v>
      </c>
      <c r="Q717" t="s">
        <v>6399</v>
      </c>
      <c r="R717" t="s">
        <v>6399</v>
      </c>
      <c r="S717" t="s">
        <v>6197</v>
      </c>
      <c r="T717" t="s">
        <v>6488</v>
      </c>
      <c r="U717">
        <v>5</v>
      </c>
      <c r="X717" s="31"/>
      <c r="Y717" s="93">
        <f t="shared" si="0"/>
        <v>1</v>
      </c>
      <c r="Z717" s="3">
        <v>0</v>
      </c>
      <c r="AA717" s="3" t="s">
        <v>6461</v>
      </c>
      <c r="AD717" s="6">
        <f t="shared" si="1"/>
        <v>105.31</v>
      </c>
      <c r="AE717" s="265">
        <v>120.01559999999999</v>
      </c>
      <c r="AF717" s="17">
        <f t="shared" si="2"/>
        <v>120.01559999999999</v>
      </c>
      <c r="AG717" s="6">
        <f t="shared" si="3"/>
        <v>78.010000000000005</v>
      </c>
      <c r="AH717" s="31"/>
      <c r="AI717" s="11">
        <v>0.65</v>
      </c>
      <c r="AJ717" s="18">
        <v>0.35</v>
      </c>
      <c r="AK717" s="6">
        <f t="shared" si="4"/>
        <v>104.26</v>
      </c>
      <c r="AL717" s="6">
        <f t="shared" si="5"/>
        <v>103.2</v>
      </c>
      <c r="AM717" s="6">
        <f t="shared" si="6"/>
        <v>102.15</v>
      </c>
      <c r="AN717" s="6">
        <f t="shared" si="7"/>
        <v>102.15</v>
      </c>
      <c r="AO717" s="6">
        <f t="shared" si="8"/>
        <v>105.31</v>
      </c>
      <c r="BG717" s="12">
        <v>0.01</v>
      </c>
      <c r="BH717" s="12">
        <v>0.02</v>
      </c>
      <c r="BI717" s="12">
        <v>0.03</v>
      </c>
      <c r="BJ717" s="12">
        <v>0.03</v>
      </c>
      <c r="CC717" s="3" t="str">
        <f t="shared" si="9"/>
        <v>Allied-Moulded-AMU884CCH.jpg</v>
      </c>
      <c r="CD717" s="16" t="s">
        <v>111</v>
      </c>
      <c r="CG717" s="3" t="s">
        <v>112</v>
      </c>
      <c r="CI717" s="3" t="s">
        <v>97</v>
      </c>
      <c r="CJ717" s="3" t="s">
        <v>467</v>
      </c>
      <c r="CK717" s="3" t="s">
        <v>114</v>
      </c>
      <c r="CL717" s="3" t="s">
        <v>115</v>
      </c>
      <c r="CO717" s="3" t="s">
        <v>118</v>
      </c>
      <c r="CQ717" s="3" t="s">
        <v>120</v>
      </c>
      <c r="CT717" t="s">
        <v>385</v>
      </c>
      <c r="CU717" t="s">
        <v>385</v>
      </c>
      <c r="CV717" t="s">
        <v>657</v>
      </c>
    </row>
    <row r="718" spans="1:100" ht="15" customHeight="1">
      <c r="A718" t="s">
        <v>6198</v>
      </c>
      <c r="B718" t="s">
        <v>6260</v>
      </c>
      <c r="C718" s="16" t="s">
        <v>97</v>
      </c>
      <c r="D718" t="s">
        <v>6322</v>
      </c>
      <c r="E718" s="16" t="s">
        <v>97</v>
      </c>
      <c r="F718"/>
      <c r="I718" s="100" t="s">
        <v>342</v>
      </c>
      <c r="J718" s="16" t="s">
        <v>101</v>
      </c>
      <c r="L718" s="3" t="s">
        <v>102</v>
      </c>
      <c r="M718" s="3" t="s">
        <v>103</v>
      </c>
      <c r="N718" s="3" t="s">
        <v>104</v>
      </c>
      <c r="O718" s="16" t="s">
        <v>105</v>
      </c>
      <c r="P718" t="s">
        <v>6400</v>
      </c>
      <c r="Q718" t="s">
        <v>6400</v>
      </c>
      <c r="R718" t="s">
        <v>6400</v>
      </c>
      <c r="S718" t="s">
        <v>6198</v>
      </c>
      <c r="T718" t="s">
        <v>6488</v>
      </c>
      <c r="U718">
        <v>5</v>
      </c>
      <c r="X718" s="31"/>
      <c r="Y718" s="93">
        <f t="shared" si="0"/>
        <v>1</v>
      </c>
      <c r="Z718" s="3">
        <v>0</v>
      </c>
      <c r="AA718" s="3" t="s">
        <v>6462</v>
      </c>
      <c r="AD718" s="6">
        <f t="shared" si="1"/>
        <v>107.66</v>
      </c>
      <c r="AE718" s="265">
        <v>122.6936</v>
      </c>
      <c r="AF718" s="17">
        <f t="shared" si="2"/>
        <v>122.6936</v>
      </c>
      <c r="AG718" s="6">
        <f t="shared" si="3"/>
        <v>79.75</v>
      </c>
      <c r="AH718" s="31"/>
      <c r="AI718" s="11">
        <v>0.65</v>
      </c>
      <c r="AJ718" s="18">
        <v>0.35</v>
      </c>
      <c r="AK718" s="6">
        <f t="shared" si="4"/>
        <v>106.58</v>
      </c>
      <c r="AL718" s="6">
        <f t="shared" si="5"/>
        <v>105.51</v>
      </c>
      <c r="AM718" s="6">
        <f t="shared" si="6"/>
        <v>104.43</v>
      </c>
      <c r="AN718" s="6">
        <f t="shared" si="7"/>
        <v>104.43</v>
      </c>
      <c r="AO718" s="6">
        <f t="shared" si="8"/>
        <v>107.66</v>
      </c>
      <c r="BG718" s="12">
        <v>0.01</v>
      </c>
      <c r="BH718" s="12">
        <v>0.02</v>
      </c>
      <c r="BI718" s="12">
        <v>0.03</v>
      </c>
      <c r="BJ718" s="12">
        <v>0.03</v>
      </c>
      <c r="CC718" s="3" t="str">
        <f t="shared" si="9"/>
        <v>Allied-Moulded-AMU884CCHF.jpg</v>
      </c>
      <c r="CD718" s="16" t="s">
        <v>111</v>
      </c>
      <c r="CG718" s="3" t="s">
        <v>112</v>
      </c>
      <c r="CI718" s="3" t="s">
        <v>97</v>
      </c>
      <c r="CJ718" s="3" t="s">
        <v>467</v>
      </c>
      <c r="CK718" s="3" t="s">
        <v>114</v>
      </c>
      <c r="CL718" s="3" t="s">
        <v>115</v>
      </c>
      <c r="CO718" s="3" t="s">
        <v>118</v>
      </c>
      <c r="CQ718" s="3" t="s">
        <v>120</v>
      </c>
      <c r="CT718" t="s">
        <v>385</v>
      </c>
      <c r="CU718" t="s">
        <v>385</v>
      </c>
      <c r="CV718" t="s">
        <v>657</v>
      </c>
    </row>
    <row r="719" spans="1:100" ht="15" customHeight="1">
      <c r="A719" t="s">
        <v>6199</v>
      </c>
      <c r="B719" t="s">
        <v>6261</v>
      </c>
      <c r="C719" s="16" t="s">
        <v>97</v>
      </c>
      <c r="D719" t="s">
        <v>6323</v>
      </c>
      <c r="E719" s="16" t="s">
        <v>97</v>
      </c>
      <c r="F719"/>
      <c r="I719" s="100" t="s">
        <v>342</v>
      </c>
      <c r="J719" s="16" t="s">
        <v>101</v>
      </c>
      <c r="L719" s="3" t="s">
        <v>102</v>
      </c>
      <c r="M719" s="3" t="s">
        <v>103</v>
      </c>
      <c r="N719" s="3" t="s">
        <v>104</v>
      </c>
      <c r="O719" s="16" t="s">
        <v>105</v>
      </c>
      <c r="P719" t="s">
        <v>6401</v>
      </c>
      <c r="Q719" t="s">
        <v>6401</v>
      </c>
      <c r="R719" t="s">
        <v>6401</v>
      </c>
      <c r="S719" t="s">
        <v>6199</v>
      </c>
      <c r="T719" t="s">
        <v>6488</v>
      </c>
      <c r="U719">
        <v>5</v>
      </c>
      <c r="X719" s="31"/>
      <c r="Y719" s="93">
        <f t="shared" si="0"/>
        <v>1</v>
      </c>
      <c r="Z719" s="3">
        <v>0</v>
      </c>
      <c r="AA719" s="3" t="s">
        <v>6463</v>
      </c>
      <c r="AD719" s="6">
        <f t="shared" si="1"/>
        <v>127.26</v>
      </c>
      <c r="AE719" s="265">
        <v>145.02400000000003</v>
      </c>
      <c r="AF719" s="17">
        <f t="shared" si="2"/>
        <v>145.02400000000003</v>
      </c>
      <c r="AG719" s="6">
        <f t="shared" si="3"/>
        <v>94.27</v>
      </c>
      <c r="AH719" s="31"/>
      <c r="AI719" s="11">
        <v>0.65</v>
      </c>
      <c r="AJ719" s="18">
        <v>0.35</v>
      </c>
      <c r="AK719" s="6">
        <f t="shared" si="4"/>
        <v>125.99</v>
      </c>
      <c r="AL719" s="6">
        <f t="shared" si="5"/>
        <v>124.71</v>
      </c>
      <c r="AM719" s="6">
        <f t="shared" si="6"/>
        <v>123.44</v>
      </c>
      <c r="AN719" s="6">
        <f t="shared" si="7"/>
        <v>123.44</v>
      </c>
      <c r="AO719" s="6">
        <f t="shared" si="8"/>
        <v>127.26</v>
      </c>
      <c r="BG719" s="12">
        <v>0.01</v>
      </c>
      <c r="BH719" s="12">
        <v>0.02</v>
      </c>
      <c r="BI719" s="12">
        <v>0.03</v>
      </c>
      <c r="BJ719" s="12">
        <v>0.03</v>
      </c>
      <c r="CC719" s="3" t="str">
        <f t="shared" si="9"/>
        <v>Allied-Moulded-AMU884CCL.jpg</v>
      </c>
      <c r="CD719" s="16" t="s">
        <v>111</v>
      </c>
      <c r="CG719" s="3" t="s">
        <v>112</v>
      </c>
      <c r="CI719" s="3" t="s">
        <v>97</v>
      </c>
      <c r="CJ719" s="3" t="s">
        <v>467</v>
      </c>
      <c r="CK719" s="3" t="s">
        <v>114</v>
      </c>
      <c r="CL719" s="3" t="s">
        <v>115</v>
      </c>
      <c r="CO719" s="3" t="s">
        <v>118</v>
      </c>
      <c r="CQ719" s="3" t="s">
        <v>120</v>
      </c>
      <c r="CT719" t="s">
        <v>385</v>
      </c>
      <c r="CU719" t="s">
        <v>385</v>
      </c>
      <c r="CV719" t="s">
        <v>657</v>
      </c>
    </row>
    <row r="720" spans="1:100" ht="15" customHeight="1">
      <c r="A720" t="s">
        <v>6200</v>
      </c>
      <c r="B720" t="s">
        <v>6262</v>
      </c>
      <c r="C720" s="16" t="s">
        <v>97</v>
      </c>
      <c r="D720" t="s">
        <v>6324</v>
      </c>
      <c r="E720" s="16" t="s">
        <v>97</v>
      </c>
      <c r="F720"/>
      <c r="I720" s="100" t="s">
        <v>342</v>
      </c>
      <c r="J720" s="16" t="s">
        <v>101</v>
      </c>
      <c r="L720" s="3" t="s">
        <v>102</v>
      </c>
      <c r="M720" s="3" t="s">
        <v>103</v>
      </c>
      <c r="N720" s="3" t="s">
        <v>104</v>
      </c>
      <c r="O720" s="16" t="s">
        <v>105</v>
      </c>
      <c r="P720" t="s">
        <v>6402</v>
      </c>
      <c r="Q720" t="s">
        <v>6402</v>
      </c>
      <c r="R720" t="s">
        <v>6402</v>
      </c>
      <c r="S720" t="s">
        <v>6200</v>
      </c>
      <c r="T720" t="s">
        <v>6488</v>
      </c>
      <c r="U720">
        <v>5</v>
      </c>
      <c r="X720" s="31"/>
      <c r="Y720" s="93">
        <f t="shared" si="0"/>
        <v>1</v>
      </c>
      <c r="Z720" s="3">
        <v>0</v>
      </c>
      <c r="AA720" s="3" t="s">
        <v>6464</v>
      </c>
      <c r="AD720" s="6">
        <f t="shared" si="1"/>
        <v>130.18</v>
      </c>
      <c r="AE720" s="265">
        <v>148.3509</v>
      </c>
      <c r="AF720" s="17">
        <f t="shared" si="2"/>
        <v>148.3509</v>
      </c>
      <c r="AG720" s="6">
        <f t="shared" si="3"/>
        <v>96.43</v>
      </c>
      <c r="AH720" s="31"/>
      <c r="AI720" s="11">
        <v>0.65</v>
      </c>
      <c r="AJ720" s="18">
        <v>0.35</v>
      </c>
      <c r="AK720" s="6">
        <f t="shared" si="4"/>
        <v>128.88</v>
      </c>
      <c r="AL720" s="6">
        <f t="shared" si="5"/>
        <v>127.58</v>
      </c>
      <c r="AM720" s="6">
        <f t="shared" si="6"/>
        <v>126.27</v>
      </c>
      <c r="AN720" s="6">
        <f t="shared" si="7"/>
        <v>126.27</v>
      </c>
      <c r="AO720" s="6">
        <f t="shared" si="8"/>
        <v>130.18</v>
      </c>
      <c r="BG720" s="12">
        <v>0.01</v>
      </c>
      <c r="BH720" s="12">
        <v>0.02</v>
      </c>
      <c r="BI720" s="12">
        <v>0.03</v>
      </c>
      <c r="BJ720" s="12">
        <v>0.03</v>
      </c>
      <c r="CC720" s="3" t="str">
        <f t="shared" si="9"/>
        <v>Allied-Moulded-AMU884CCLF.jpg</v>
      </c>
      <c r="CD720" s="16" t="s">
        <v>111</v>
      </c>
      <c r="CG720" s="3" t="s">
        <v>112</v>
      </c>
      <c r="CI720" s="3" t="s">
        <v>97</v>
      </c>
      <c r="CJ720" s="3" t="s">
        <v>467</v>
      </c>
      <c r="CK720" s="3" t="s">
        <v>114</v>
      </c>
      <c r="CL720" s="3" t="s">
        <v>115</v>
      </c>
      <c r="CO720" s="3" t="s">
        <v>118</v>
      </c>
      <c r="CQ720" s="3" t="s">
        <v>120</v>
      </c>
      <c r="CT720" t="s">
        <v>385</v>
      </c>
      <c r="CU720" t="s">
        <v>385</v>
      </c>
      <c r="CV720" t="s">
        <v>657</v>
      </c>
    </row>
    <row r="721" spans="1:100" ht="15" customHeight="1">
      <c r="A721" t="s">
        <v>6201</v>
      </c>
      <c r="B721" t="s">
        <v>6263</v>
      </c>
      <c r="C721" s="16" t="s">
        <v>97</v>
      </c>
      <c r="D721" t="s">
        <v>6325</v>
      </c>
      <c r="E721" s="16" t="s">
        <v>97</v>
      </c>
      <c r="F721"/>
      <c r="I721" s="100" t="s">
        <v>342</v>
      </c>
      <c r="J721" s="16" t="s">
        <v>101</v>
      </c>
      <c r="L721" s="3" t="s">
        <v>102</v>
      </c>
      <c r="M721" s="3" t="s">
        <v>103</v>
      </c>
      <c r="N721" s="3" t="s">
        <v>104</v>
      </c>
      <c r="O721" s="16" t="s">
        <v>105</v>
      </c>
      <c r="P721" t="s">
        <v>6403</v>
      </c>
      <c r="Q721" t="s">
        <v>6403</v>
      </c>
      <c r="R721" t="s">
        <v>6403</v>
      </c>
      <c r="S721" t="s">
        <v>6201</v>
      </c>
      <c r="T721" t="s">
        <v>6488</v>
      </c>
      <c r="U721">
        <v>5</v>
      </c>
      <c r="X721" s="31"/>
      <c r="Y721" s="93">
        <f t="shared" si="0"/>
        <v>1</v>
      </c>
      <c r="Z721" s="3">
        <v>0</v>
      </c>
      <c r="AA721" s="3" t="s">
        <v>6465</v>
      </c>
      <c r="AD721" s="6">
        <f t="shared" si="1"/>
        <v>120.93</v>
      </c>
      <c r="AE721" s="265">
        <v>137.81400000000002</v>
      </c>
      <c r="AF721" s="17">
        <f t="shared" si="2"/>
        <v>137.81400000000002</v>
      </c>
      <c r="AG721" s="6">
        <f t="shared" si="3"/>
        <v>89.58</v>
      </c>
      <c r="AH721" s="31"/>
      <c r="AI721" s="11">
        <v>0.65</v>
      </c>
      <c r="AJ721" s="18">
        <v>0.35</v>
      </c>
      <c r="AK721" s="6">
        <f t="shared" si="4"/>
        <v>119.72</v>
      </c>
      <c r="AL721" s="6">
        <f t="shared" si="5"/>
        <v>118.51</v>
      </c>
      <c r="AM721" s="6">
        <f t="shared" si="6"/>
        <v>117.3</v>
      </c>
      <c r="AN721" s="6">
        <f t="shared" si="7"/>
        <v>117.3</v>
      </c>
      <c r="AO721" s="6">
        <f t="shared" si="8"/>
        <v>120.93</v>
      </c>
      <c r="BG721" s="12">
        <v>0.01</v>
      </c>
      <c r="BH721" s="12">
        <v>0.02</v>
      </c>
      <c r="BI721" s="12">
        <v>0.03</v>
      </c>
      <c r="BJ721" s="12">
        <v>0.03</v>
      </c>
      <c r="CC721" s="3" t="str">
        <f t="shared" si="9"/>
        <v>Allied-Moulded-AMU884CCNL.jpg</v>
      </c>
      <c r="CD721" s="16" t="s">
        <v>111</v>
      </c>
      <c r="CG721" s="3" t="s">
        <v>112</v>
      </c>
      <c r="CI721" s="3" t="s">
        <v>97</v>
      </c>
      <c r="CJ721" s="3" t="s">
        <v>467</v>
      </c>
      <c r="CK721" s="3" t="s">
        <v>114</v>
      </c>
      <c r="CL721" s="3" t="s">
        <v>115</v>
      </c>
      <c r="CO721" s="3" t="s">
        <v>118</v>
      </c>
      <c r="CQ721" s="3" t="s">
        <v>120</v>
      </c>
      <c r="CT721" t="s">
        <v>385</v>
      </c>
      <c r="CU721" t="s">
        <v>385</v>
      </c>
      <c r="CV721" t="s">
        <v>657</v>
      </c>
    </row>
    <row r="722" spans="1:100" ht="15" customHeight="1">
      <c r="A722" t="s">
        <v>6202</v>
      </c>
      <c r="B722" t="s">
        <v>6264</v>
      </c>
      <c r="C722" s="16" t="s">
        <v>97</v>
      </c>
      <c r="D722" t="s">
        <v>6326</v>
      </c>
      <c r="E722" s="16" t="s">
        <v>97</v>
      </c>
      <c r="F722"/>
      <c r="I722" s="100" t="s">
        <v>342</v>
      </c>
      <c r="J722" s="16" t="s">
        <v>101</v>
      </c>
      <c r="L722" s="3" t="s">
        <v>102</v>
      </c>
      <c r="M722" s="3" t="s">
        <v>103</v>
      </c>
      <c r="N722" s="3" t="s">
        <v>104</v>
      </c>
      <c r="O722" s="16" t="s">
        <v>105</v>
      </c>
      <c r="P722" t="s">
        <v>6404</v>
      </c>
      <c r="Q722" t="s">
        <v>6404</v>
      </c>
      <c r="R722" t="s">
        <v>6404</v>
      </c>
      <c r="S722" t="s">
        <v>6202</v>
      </c>
      <c r="T722" t="s">
        <v>6488</v>
      </c>
      <c r="U722">
        <v>5</v>
      </c>
      <c r="X722" s="31"/>
      <c r="Y722" s="93">
        <f t="shared" si="0"/>
        <v>1</v>
      </c>
      <c r="Z722" s="3">
        <v>0</v>
      </c>
      <c r="AA722" s="3" t="s">
        <v>6466</v>
      </c>
      <c r="AD722" s="6">
        <f t="shared" si="1"/>
        <v>123.66</v>
      </c>
      <c r="AE722" s="265">
        <v>140.9246</v>
      </c>
      <c r="AF722" s="17">
        <f t="shared" si="2"/>
        <v>140.9246</v>
      </c>
      <c r="AG722" s="6">
        <f t="shared" si="3"/>
        <v>91.6</v>
      </c>
      <c r="AH722" s="31"/>
      <c r="AI722" s="11">
        <v>0.65</v>
      </c>
      <c r="AJ722" s="18">
        <v>0.35</v>
      </c>
      <c r="AK722" s="6">
        <f t="shared" si="4"/>
        <v>122.42</v>
      </c>
      <c r="AL722" s="6">
        <f t="shared" si="5"/>
        <v>121.19</v>
      </c>
      <c r="AM722" s="6">
        <f t="shared" si="6"/>
        <v>119.95</v>
      </c>
      <c r="AN722" s="6">
        <f t="shared" si="7"/>
        <v>119.95</v>
      </c>
      <c r="AO722" s="6">
        <f t="shared" si="8"/>
        <v>123.66</v>
      </c>
      <c r="BG722" s="12">
        <v>0.01</v>
      </c>
      <c r="BH722" s="12">
        <v>0.02</v>
      </c>
      <c r="BI722" s="12">
        <v>0.03</v>
      </c>
      <c r="BJ722" s="12">
        <v>0.03</v>
      </c>
      <c r="CC722" s="3" t="str">
        <f t="shared" si="9"/>
        <v>Allied-Moulded-AMU884CCNLF.jpg</v>
      </c>
      <c r="CD722" s="16" t="s">
        <v>111</v>
      </c>
      <c r="CG722" s="3" t="s">
        <v>112</v>
      </c>
      <c r="CI722" s="3" t="s">
        <v>97</v>
      </c>
      <c r="CJ722" s="3" t="s">
        <v>467</v>
      </c>
      <c r="CK722" s="3" t="s">
        <v>114</v>
      </c>
      <c r="CL722" s="3" t="s">
        <v>115</v>
      </c>
      <c r="CO722" s="3" t="s">
        <v>118</v>
      </c>
      <c r="CQ722" s="3" t="s">
        <v>120</v>
      </c>
      <c r="CT722" t="s">
        <v>385</v>
      </c>
      <c r="CU722" t="s">
        <v>385</v>
      </c>
      <c r="CV722" t="s">
        <v>657</v>
      </c>
    </row>
    <row r="723" spans="1:100" ht="15" customHeight="1">
      <c r="A723" t="s">
        <v>6203</v>
      </c>
      <c r="B723" t="s">
        <v>6265</v>
      </c>
      <c r="C723" s="16" t="s">
        <v>97</v>
      </c>
      <c r="D723" t="s">
        <v>6327</v>
      </c>
      <c r="E723" s="16" t="s">
        <v>97</v>
      </c>
      <c r="F723"/>
      <c r="I723" s="100" t="s">
        <v>342</v>
      </c>
      <c r="J723" s="16" t="s">
        <v>101</v>
      </c>
      <c r="L723" s="3" t="s">
        <v>102</v>
      </c>
      <c r="M723" s="3" t="s">
        <v>103</v>
      </c>
      <c r="N723" s="3" t="s">
        <v>104</v>
      </c>
      <c r="O723" s="16" t="s">
        <v>105</v>
      </c>
      <c r="P723" t="s">
        <v>6405</v>
      </c>
      <c r="Q723" t="s">
        <v>6405</v>
      </c>
      <c r="R723" t="s">
        <v>6405</v>
      </c>
      <c r="S723" t="s">
        <v>6203</v>
      </c>
      <c r="T723" t="s">
        <v>6488</v>
      </c>
      <c r="U723">
        <v>5</v>
      </c>
      <c r="X723" s="31"/>
      <c r="Y723" s="93">
        <f t="shared" si="0"/>
        <v>1</v>
      </c>
      <c r="Z723" s="3">
        <v>0</v>
      </c>
      <c r="AA723" s="3" t="s">
        <v>6467</v>
      </c>
      <c r="AD723" s="6">
        <f t="shared" si="1"/>
        <v>127.26</v>
      </c>
      <c r="AE723" s="265">
        <v>145.02400000000003</v>
      </c>
      <c r="AF723" s="17">
        <f t="shared" si="2"/>
        <v>145.02400000000003</v>
      </c>
      <c r="AG723" s="6">
        <f t="shared" si="3"/>
        <v>94.27</v>
      </c>
      <c r="AH723" s="31"/>
      <c r="AI723" s="11">
        <v>0.65</v>
      </c>
      <c r="AJ723" s="18">
        <v>0.35</v>
      </c>
      <c r="AK723" s="6">
        <f t="shared" si="4"/>
        <v>125.99</v>
      </c>
      <c r="AL723" s="6">
        <f t="shared" si="5"/>
        <v>124.71</v>
      </c>
      <c r="AM723" s="6">
        <f t="shared" si="6"/>
        <v>123.44</v>
      </c>
      <c r="AN723" s="6">
        <f t="shared" si="7"/>
        <v>123.44</v>
      </c>
      <c r="AO723" s="6">
        <f t="shared" si="8"/>
        <v>127.26</v>
      </c>
      <c r="BG723" s="12">
        <v>0.01</v>
      </c>
      <c r="BH723" s="12">
        <v>0.02</v>
      </c>
      <c r="BI723" s="12">
        <v>0.03</v>
      </c>
      <c r="BJ723" s="12">
        <v>0.03</v>
      </c>
      <c r="CC723" s="3" t="str">
        <f t="shared" si="9"/>
        <v>Allied-Moulded-AMU884CCT.jpg</v>
      </c>
      <c r="CD723" s="16" t="s">
        <v>111</v>
      </c>
      <c r="CG723" s="3" t="s">
        <v>112</v>
      </c>
      <c r="CI723" s="3" t="s">
        <v>97</v>
      </c>
      <c r="CJ723" s="3" t="s">
        <v>467</v>
      </c>
      <c r="CK723" s="3" t="s">
        <v>114</v>
      </c>
      <c r="CL723" s="3" t="s">
        <v>115</v>
      </c>
      <c r="CO723" s="3" t="s">
        <v>118</v>
      </c>
      <c r="CQ723" s="3" t="s">
        <v>120</v>
      </c>
      <c r="CT723" t="s">
        <v>385</v>
      </c>
      <c r="CU723" t="s">
        <v>385</v>
      </c>
      <c r="CV723" t="s">
        <v>657</v>
      </c>
    </row>
    <row r="724" spans="1:100" ht="15" customHeight="1">
      <c r="A724" t="s">
        <v>6204</v>
      </c>
      <c r="B724" t="s">
        <v>6266</v>
      </c>
      <c r="C724" s="16" t="s">
        <v>97</v>
      </c>
      <c r="D724" t="s">
        <v>6328</v>
      </c>
      <c r="E724" s="16" t="s">
        <v>97</v>
      </c>
      <c r="F724"/>
      <c r="I724" s="100" t="s">
        <v>342</v>
      </c>
      <c r="J724" s="16" t="s">
        <v>101</v>
      </c>
      <c r="L724" s="3" t="s">
        <v>102</v>
      </c>
      <c r="M724" s="3" t="s">
        <v>103</v>
      </c>
      <c r="N724" s="3" t="s">
        <v>104</v>
      </c>
      <c r="O724" s="16" t="s">
        <v>105</v>
      </c>
      <c r="P724" t="s">
        <v>6406</v>
      </c>
      <c r="Q724" t="s">
        <v>6406</v>
      </c>
      <c r="R724" t="s">
        <v>6406</v>
      </c>
      <c r="S724" t="s">
        <v>6204</v>
      </c>
      <c r="T724" t="s">
        <v>6488</v>
      </c>
      <c r="U724">
        <v>5</v>
      </c>
      <c r="X724" s="31"/>
      <c r="Y724" s="93">
        <f t="shared" si="0"/>
        <v>1</v>
      </c>
      <c r="Z724" s="3">
        <v>0</v>
      </c>
      <c r="AA724" s="3" t="s">
        <v>6468</v>
      </c>
      <c r="AD724" s="6">
        <f t="shared" si="1"/>
        <v>130.18</v>
      </c>
      <c r="AE724" s="265">
        <v>148.3509</v>
      </c>
      <c r="AF724" s="17">
        <f t="shared" si="2"/>
        <v>148.3509</v>
      </c>
      <c r="AG724" s="6">
        <f t="shared" si="3"/>
        <v>96.43</v>
      </c>
      <c r="AH724" s="31"/>
      <c r="AI724" s="11">
        <v>0.65</v>
      </c>
      <c r="AJ724" s="18">
        <v>0.35</v>
      </c>
      <c r="AK724" s="6">
        <f t="shared" si="4"/>
        <v>128.88</v>
      </c>
      <c r="AL724" s="6">
        <f t="shared" si="5"/>
        <v>127.58</v>
      </c>
      <c r="AM724" s="6">
        <f t="shared" si="6"/>
        <v>126.27</v>
      </c>
      <c r="AN724" s="6">
        <f t="shared" si="7"/>
        <v>126.27</v>
      </c>
      <c r="AO724" s="6">
        <f t="shared" si="8"/>
        <v>130.18</v>
      </c>
      <c r="BG724" s="12">
        <v>0.01</v>
      </c>
      <c r="BH724" s="12">
        <v>0.02</v>
      </c>
      <c r="BI724" s="12">
        <v>0.03</v>
      </c>
      <c r="BJ724" s="12">
        <v>0.03</v>
      </c>
      <c r="CC724" s="3" t="str">
        <f t="shared" si="9"/>
        <v>Allied-Moulded-AMU884CCTF.jpg</v>
      </c>
      <c r="CD724" s="16" t="s">
        <v>111</v>
      </c>
      <c r="CG724" s="3" t="s">
        <v>112</v>
      </c>
      <c r="CI724" s="3" t="s">
        <v>97</v>
      </c>
      <c r="CJ724" s="3" t="s">
        <v>467</v>
      </c>
      <c r="CK724" s="3" t="s">
        <v>114</v>
      </c>
      <c r="CL724" s="3" t="s">
        <v>115</v>
      </c>
      <c r="CO724" s="3" t="s">
        <v>118</v>
      </c>
      <c r="CQ724" s="3" t="s">
        <v>120</v>
      </c>
      <c r="CT724" t="s">
        <v>385</v>
      </c>
      <c r="CU724" t="s">
        <v>385</v>
      </c>
      <c r="CV724" t="s">
        <v>657</v>
      </c>
    </row>
    <row r="725" spans="1:100" ht="15" customHeight="1">
      <c r="A725" t="s">
        <v>6205</v>
      </c>
      <c r="B725" t="s">
        <v>6267</v>
      </c>
      <c r="C725" s="16" t="s">
        <v>97</v>
      </c>
      <c r="D725" t="s">
        <v>6329</v>
      </c>
      <c r="E725" s="16" t="s">
        <v>97</v>
      </c>
      <c r="F725"/>
      <c r="I725" s="100" t="s">
        <v>342</v>
      </c>
      <c r="J725" s="16" t="s">
        <v>101</v>
      </c>
      <c r="L725" s="3" t="s">
        <v>102</v>
      </c>
      <c r="M725" s="3" t="s">
        <v>103</v>
      </c>
      <c r="N725" s="3" t="s">
        <v>104</v>
      </c>
      <c r="O725" s="16" t="s">
        <v>105</v>
      </c>
      <c r="P725" t="s">
        <v>6407</v>
      </c>
      <c r="Q725" t="s">
        <v>6407</v>
      </c>
      <c r="R725" t="s">
        <v>6407</v>
      </c>
      <c r="S725" t="s">
        <v>6205</v>
      </c>
      <c r="T725" t="s">
        <v>6488</v>
      </c>
      <c r="U725">
        <v>5</v>
      </c>
      <c r="X725" s="31"/>
      <c r="Y725" s="93">
        <f t="shared" si="0"/>
        <v>1</v>
      </c>
      <c r="Z725" s="3">
        <v>0</v>
      </c>
      <c r="AA725" s="3" t="s">
        <v>6469</v>
      </c>
      <c r="AD725" s="6">
        <f t="shared" si="1"/>
        <v>91.46</v>
      </c>
      <c r="AE725" s="265">
        <v>104.236</v>
      </c>
      <c r="AF725" s="17">
        <f t="shared" si="2"/>
        <v>104.236</v>
      </c>
      <c r="AG725" s="6">
        <f t="shared" si="3"/>
        <v>67.75</v>
      </c>
      <c r="AH725" s="31"/>
      <c r="AI725" s="11">
        <v>0.65</v>
      </c>
      <c r="AJ725" s="18">
        <v>0.35</v>
      </c>
      <c r="AK725" s="6">
        <f t="shared" si="4"/>
        <v>90.55</v>
      </c>
      <c r="AL725" s="6">
        <f t="shared" si="5"/>
        <v>89.63</v>
      </c>
      <c r="AM725" s="6">
        <f t="shared" si="6"/>
        <v>88.72</v>
      </c>
      <c r="AN725" s="6">
        <f t="shared" si="7"/>
        <v>88.72</v>
      </c>
      <c r="AO725" s="6">
        <f t="shared" si="8"/>
        <v>91.46</v>
      </c>
      <c r="BG725" s="12">
        <v>0.01</v>
      </c>
      <c r="BH725" s="12">
        <v>0.02</v>
      </c>
      <c r="BI725" s="12">
        <v>0.03</v>
      </c>
      <c r="BJ725" s="12">
        <v>0.03</v>
      </c>
      <c r="CC725" s="3" t="str">
        <f t="shared" si="9"/>
        <v>Allied-Moulded-AMU884F.jpg</v>
      </c>
      <c r="CD725" s="16" t="s">
        <v>111</v>
      </c>
      <c r="CG725" s="3" t="s">
        <v>112</v>
      </c>
      <c r="CI725" s="3" t="s">
        <v>97</v>
      </c>
      <c r="CJ725" s="3" t="s">
        <v>467</v>
      </c>
      <c r="CK725" s="3" t="s">
        <v>114</v>
      </c>
      <c r="CL725" s="3" t="s">
        <v>115</v>
      </c>
      <c r="CO725" s="3" t="s">
        <v>118</v>
      </c>
      <c r="CQ725" s="3" t="s">
        <v>120</v>
      </c>
      <c r="CT725" t="s">
        <v>385</v>
      </c>
      <c r="CU725" t="s">
        <v>385</v>
      </c>
      <c r="CV725" t="s">
        <v>657</v>
      </c>
    </row>
    <row r="726" spans="1:100" ht="15" customHeight="1">
      <c r="A726" t="s">
        <v>6206</v>
      </c>
      <c r="B726" t="s">
        <v>6268</v>
      </c>
      <c r="C726" s="16" t="s">
        <v>97</v>
      </c>
      <c r="D726" t="s">
        <v>6330</v>
      </c>
      <c r="E726" s="16" t="s">
        <v>97</v>
      </c>
      <c r="F726"/>
      <c r="I726" s="100" t="s">
        <v>342</v>
      </c>
      <c r="J726" s="16" t="s">
        <v>101</v>
      </c>
      <c r="L726" s="3" t="s">
        <v>102</v>
      </c>
      <c r="M726" s="3" t="s">
        <v>103</v>
      </c>
      <c r="N726" s="3" t="s">
        <v>104</v>
      </c>
      <c r="O726" s="16" t="s">
        <v>105</v>
      </c>
      <c r="P726" t="s">
        <v>6408</v>
      </c>
      <c r="Q726" t="s">
        <v>6408</v>
      </c>
      <c r="R726" t="s">
        <v>6408</v>
      </c>
      <c r="S726" t="s">
        <v>6206</v>
      </c>
      <c r="T726" t="s">
        <v>6488</v>
      </c>
      <c r="U726">
        <v>5</v>
      </c>
      <c r="X726" s="31"/>
      <c r="Y726" s="93">
        <f t="shared" si="0"/>
        <v>1</v>
      </c>
      <c r="Z726" s="3">
        <v>0</v>
      </c>
      <c r="AA726" s="3" t="s">
        <v>6470</v>
      </c>
      <c r="AD726" s="6">
        <f t="shared" si="1"/>
        <v>94.76</v>
      </c>
      <c r="AE726" s="265">
        <v>107.98520000000001</v>
      </c>
      <c r="AF726" s="17">
        <f t="shared" si="2"/>
        <v>107.98520000000001</v>
      </c>
      <c r="AG726" s="6">
        <f t="shared" si="3"/>
        <v>70.19</v>
      </c>
      <c r="AH726" s="31"/>
      <c r="AI726" s="11">
        <v>0.65</v>
      </c>
      <c r="AJ726" s="18">
        <v>0.35</v>
      </c>
      <c r="AK726" s="6">
        <f t="shared" si="4"/>
        <v>93.81</v>
      </c>
      <c r="AL726" s="6">
        <f t="shared" si="5"/>
        <v>92.86</v>
      </c>
      <c r="AM726" s="6">
        <f t="shared" si="6"/>
        <v>91.92</v>
      </c>
      <c r="AN726" s="6">
        <f t="shared" si="7"/>
        <v>91.92</v>
      </c>
      <c r="AO726" s="6">
        <f t="shared" si="8"/>
        <v>94.76</v>
      </c>
      <c r="BG726" s="12">
        <v>0.01</v>
      </c>
      <c r="BH726" s="12">
        <v>0.02</v>
      </c>
      <c r="BI726" s="12">
        <v>0.03</v>
      </c>
      <c r="BJ726" s="12">
        <v>0.03</v>
      </c>
      <c r="CC726" s="3" t="str">
        <f t="shared" si="9"/>
        <v>Allied-Moulded-AMU884H.jpg</v>
      </c>
      <c r="CD726" s="16" t="s">
        <v>111</v>
      </c>
      <c r="CG726" s="3" t="s">
        <v>112</v>
      </c>
      <c r="CI726" s="3" t="s">
        <v>97</v>
      </c>
      <c r="CJ726" s="3" t="s">
        <v>467</v>
      </c>
      <c r="CK726" s="3" t="s">
        <v>114</v>
      </c>
      <c r="CL726" s="3" t="s">
        <v>115</v>
      </c>
      <c r="CO726" s="3" t="s">
        <v>118</v>
      </c>
      <c r="CQ726" s="3" t="s">
        <v>120</v>
      </c>
      <c r="CT726" t="s">
        <v>385</v>
      </c>
      <c r="CU726" t="s">
        <v>385</v>
      </c>
      <c r="CV726" t="s">
        <v>657</v>
      </c>
    </row>
    <row r="727" spans="1:100" ht="15" customHeight="1">
      <c r="A727" t="s">
        <v>6207</v>
      </c>
      <c r="B727" t="s">
        <v>6269</v>
      </c>
      <c r="C727" s="16" t="s">
        <v>97</v>
      </c>
      <c r="D727" t="s">
        <v>6331</v>
      </c>
      <c r="E727" s="16" t="s">
        <v>97</v>
      </c>
      <c r="F727"/>
      <c r="I727" s="100" t="s">
        <v>342</v>
      </c>
      <c r="J727" s="16" t="s">
        <v>101</v>
      </c>
      <c r="L727" s="3" t="s">
        <v>102</v>
      </c>
      <c r="M727" s="3" t="s">
        <v>103</v>
      </c>
      <c r="N727" s="3" t="s">
        <v>104</v>
      </c>
      <c r="O727" s="16" t="s">
        <v>105</v>
      </c>
      <c r="P727" t="s">
        <v>6409</v>
      </c>
      <c r="Q727" t="s">
        <v>6409</v>
      </c>
      <c r="R727" t="s">
        <v>6409</v>
      </c>
      <c r="S727" t="s">
        <v>6207</v>
      </c>
      <c r="T727" t="s">
        <v>6488</v>
      </c>
      <c r="U727">
        <v>5</v>
      </c>
      <c r="X727" s="31"/>
      <c r="Y727" s="93">
        <f t="shared" si="0"/>
        <v>1</v>
      </c>
      <c r="Z727" s="3">
        <v>0</v>
      </c>
      <c r="AA727" s="3" t="s">
        <v>6471</v>
      </c>
      <c r="AD727" s="6">
        <f t="shared" si="1"/>
        <v>95.55</v>
      </c>
      <c r="AE727" s="265">
        <v>108.8916</v>
      </c>
      <c r="AF727" s="17">
        <f t="shared" si="2"/>
        <v>108.8916</v>
      </c>
      <c r="AG727" s="6">
        <f t="shared" si="3"/>
        <v>70.78</v>
      </c>
      <c r="AH727" s="31"/>
      <c r="AI727" s="11">
        <v>0.65</v>
      </c>
      <c r="AJ727" s="18">
        <v>0.35</v>
      </c>
      <c r="AK727" s="6">
        <f t="shared" si="4"/>
        <v>94.59</v>
      </c>
      <c r="AL727" s="6">
        <f t="shared" si="5"/>
        <v>93.64</v>
      </c>
      <c r="AM727" s="6">
        <f t="shared" si="6"/>
        <v>92.68</v>
      </c>
      <c r="AN727" s="6">
        <f t="shared" si="7"/>
        <v>92.68</v>
      </c>
      <c r="AO727" s="6">
        <f t="shared" si="8"/>
        <v>95.55</v>
      </c>
      <c r="BG727" s="12">
        <v>0.01</v>
      </c>
      <c r="BH727" s="12">
        <v>0.02</v>
      </c>
      <c r="BI727" s="12">
        <v>0.03</v>
      </c>
      <c r="BJ727" s="12">
        <v>0.03</v>
      </c>
      <c r="CC727" s="3" t="str">
        <f t="shared" si="9"/>
        <v>Allied-Moulded-AMU884HF.jpg</v>
      </c>
      <c r="CD727" s="16" t="s">
        <v>111</v>
      </c>
      <c r="CG727" s="3" t="s">
        <v>112</v>
      </c>
      <c r="CI727" s="3" t="s">
        <v>97</v>
      </c>
      <c r="CJ727" s="3" t="s">
        <v>467</v>
      </c>
      <c r="CK727" s="3" t="s">
        <v>114</v>
      </c>
      <c r="CL727" s="3" t="s">
        <v>115</v>
      </c>
      <c r="CO727" s="3" t="s">
        <v>118</v>
      </c>
      <c r="CQ727" s="3" t="s">
        <v>120</v>
      </c>
      <c r="CT727" t="s">
        <v>385</v>
      </c>
      <c r="CU727" t="s">
        <v>385</v>
      </c>
      <c r="CV727" t="s">
        <v>657</v>
      </c>
    </row>
    <row r="728" spans="1:100" ht="15" customHeight="1">
      <c r="A728" t="s">
        <v>6208</v>
      </c>
      <c r="B728" t="s">
        <v>6270</v>
      </c>
      <c r="C728" s="16" t="s">
        <v>97</v>
      </c>
      <c r="D728" t="s">
        <v>6332</v>
      </c>
      <c r="E728" s="16" t="s">
        <v>97</v>
      </c>
      <c r="F728"/>
      <c r="I728" s="100" t="s">
        <v>342</v>
      </c>
      <c r="J728" s="16" t="s">
        <v>101</v>
      </c>
      <c r="L728" s="3" t="s">
        <v>102</v>
      </c>
      <c r="M728" s="3" t="s">
        <v>103</v>
      </c>
      <c r="N728" s="3" t="s">
        <v>104</v>
      </c>
      <c r="O728" s="16" t="s">
        <v>105</v>
      </c>
      <c r="P728" t="s">
        <v>6410</v>
      </c>
      <c r="Q728" t="s">
        <v>6410</v>
      </c>
      <c r="R728" t="s">
        <v>6410</v>
      </c>
      <c r="S728" t="s">
        <v>6208</v>
      </c>
      <c r="T728" t="s">
        <v>6488</v>
      </c>
      <c r="U728">
        <v>5</v>
      </c>
      <c r="X728" s="31"/>
      <c r="Y728" s="93">
        <f t="shared" si="0"/>
        <v>1</v>
      </c>
      <c r="Z728" s="3">
        <v>0</v>
      </c>
      <c r="AA728" s="3" t="s">
        <v>6472</v>
      </c>
      <c r="AD728" s="6">
        <f t="shared" si="1"/>
        <v>154.97</v>
      </c>
      <c r="AE728" s="265">
        <v>176.59350000000001</v>
      </c>
      <c r="AF728" s="17">
        <f t="shared" si="2"/>
        <v>176.59350000000001</v>
      </c>
      <c r="AG728" s="6">
        <f t="shared" si="3"/>
        <v>114.79</v>
      </c>
      <c r="AH728" s="31"/>
      <c r="AI728" s="11">
        <v>0.65</v>
      </c>
      <c r="AJ728" s="18">
        <v>0.35</v>
      </c>
      <c r="AK728" s="6">
        <f t="shared" si="4"/>
        <v>153.41999999999999</v>
      </c>
      <c r="AL728" s="6">
        <f t="shared" si="5"/>
        <v>151.87</v>
      </c>
      <c r="AM728" s="6">
        <f t="shared" si="6"/>
        <v>150.32</v>
      </c>
      <c r="AN728" s="6">
        <f t="shared" si="7"/>
        <v>150.32</v>
      </c>
      <c r="AO728" s="6">
        <f t="shared" si="8"/>
        <v>154.97</v>
      </c>
      <c r="BG728" s="12">
        <v>0.01</v>
      </c>
      <c r="BH728" s="12">
        <v>0.02</v>
      </c>
      <c r="BI728" s="12">
        <v>0.03</v>
      </c>
      <c r="BJ728" s="12">
        <v>0.03</v>
      </c>
      <c r="CC728" s="3" t="str">
        <f t="shared" si="9"/>
        <v>Allied-Moulded-AMU884HW.jpg</v>
      </c>
      <c r="CD728" s="16" t="s">
        <v>111</v>
      </c>
      <c r="CG728" s="3" t="s">
        <v>112</v>
      </c>
      <c r="CI728" s="3" t="s">
        <v>97</v>
      </c>
      <c r="CJ728" s="3" t="s">
        <v>467</v>
      </c>
      <c r="CK728" s="3" t="s">
        <v>114</v>
      </c>
      <c r="CL728" s="3" t="s">
        <v>115</v>
      </c>
      <c r="CO728" s="3" t="s">
        <v>118</v>
      </c>
      <c r="CQ728" s="3" t="s">
        <v>120</v>
      </c>
      <c r="CT728" t="s">
        <v>385</v>
      </c>
      <c r="CU728" t="s">
        <v>385</v>
      </c>
      <c r="CV728" t="s">
        <v>657</v>
      </c>
    </row>
    <row r="729" spans="1:100" ht="15" customHeight="1">
      <c r="A729" t="s">
        <v>6209</v>
      </c>
      <c r="B729" t="s">
        <v>6271</v>
      </c>
      <c r="C729" s="16" t="s">
        <v>97</v>
      </c>
      <c r="D729" t="s">
        <v>6333</v>
      </c>
      <c r="E729" s="16" t="s">
        <v>97</v>
      </c>
      <c r="F729"/>
      <c r="I729" s="100" t="s">
        <v>342</v>
      </c>
      <c r="J729" s="16" t="s">
        <v>101</v>
      </c>
      <c r="L729" s="3" t="s">
        <v>102</v>
      </c>
      <c r="M729" s="3" t="s">
        <v>103</v>
      </c>
      <c r="N729" s="3" t="s">
        <v>104</v>
      </c>
      <c r="O729" s="16" t="s">
        <v>105</v>
      </c>
      <c r="P729" t="s">
        <v>6411</v>
      </c>
      <c r="Q729" t="s">
        <v>6411</v>
      </c>
      <c r="R729" t="s">
        <v>6411</v>
      </c>
      <c r="S729" t="s">
        <v>6209</v>
      </c>
      <c r="T729" t="s">
        <v>6488</v>
      </c>
      <c r="U729">
        <v>5</v>
      </c>
      <c r="X729" s="31"/>
      <c r="Y729" s="93">
        <f t="shared" si="0"/>
        <v>1</v>
      </c>
      <c r="Z729" s="3">
        <v>0</v>
      </c>
      <c r="AA729" s="3" t="s">
        <v>6473</v>
      </c>
      <c r="AD729" s="6">
        <f t="shared" si="1"/>
        <v>159.38</v>
      </c>
      <c r="AE729" s="265">
        <v>181.6302</v>
      </c>
      <c r="AF729" s="17">
        <f t="shared" si="2"/>
        <v>181.6302</v>
      </c>
      <c r="AG729" s="6">
        <f t="shared" si="3"/>
        <v>118.06</v>
      </c>
      <c r="AH729" s="31"/>
      <c r="AI729" s="11">
        <v>0.65</v>
      </c>
      <c r="AJ729" s="18">
        <v>0.35</v>
      </c>
      <c r="AK729" s="6">
        <f t="shared" si="4"/>
        <v>157.79</v>
      </c>
      <c r="AL729" s="6">
        <f t="shared" si="5"/>
        <v>156.19</v>
      </c>
      <c r="AM729" s="6">
        <f t="shared" si="6"/>
        <v>154.6</v>
      </c>
      <c r="AN729" s="6">
        <f t="shared" si="7"/>
        <v>154.6</v>
      </c>
      <c r="AO729" s="6">
        <f t="shared" si="8"/>
        <v>159.38</v>
      </c>
      <c r="BG729" s="12">
        <v>0.01</v>
      </c>
      <c r="BH729" s="12">
        <v>0.02</v>
      </c>
      <c r="BI729" s="12">
        <v>0.03</v>
      </c>
      <c r="BJ729" s="12">
        <v>0.03</v>
      </c>
      <c r="CC729" s="3" t="str">
        <f t="shared" si="9"/>
        <v>Allied-Moulded-AMU884HWF.jpg</v>
      </c>
      <c r="CD729" s="16" t="s">
        <v>111</v>
      </c>
      <c r="CG729" s="3" t="s">
        <v>112</v>
      </c>
      <c r="CI729" s="3" t="s">
        <v>97</v>
      </c>
      <c r="CJ729" s="3" t="s">
        <v>467</v>
      </c>
      <c r="CK729" s="3" t="s">
        <v>114</v>
      </c>
      <c r="CL729" s="3" t="s">
        <v>115</v>
      </c>
      <c r="CO729" s="3" t="s">
        <v>118</v>
      </c>
      <c r="CQ729" s="3" t="s">
        <v>120</v>
      </c>
      <c r="CT729" t="s">
        <v>385</v>
      </c>
      <c r="CU729" t="s">
        <v>385</v>
      </c>
      <c r="CV729" t="s">
        <v>657</v>
      </c>
    </row>
    <row r="730" spans="1:100" ht="15" customHeight="1">
      <c r="A730" t="s">
        <v>6210</v>
      </c>
      <c r="B730" t="s">
        <v>6272</v>
      </c>
      <c r="C730" s="16" t="s">
        <v>97</v>
      </c>
      <c r="D730" t="s">
        <v>6334</v>
      </c>
      <c r="E730" s="16" t="s">
        <v>97</v>
      </c>
      <c r="F730"/>
      <c r="I730" s="100" t="s">
        <v>342</v>
      </c>
      <c r="J730" s="16" t="s">
        <v>101</v>
      </c>
      <c r="L730" s="3" t="s">
        <v>102</v>
      </c>
      <c r="M730" s="3" t="s">
        <v>103</v>
      </c>
      <c r="N730" s="3" t="s">
        <v>104</v>
      </c>
      <c r="O730" s="16" t="s">
        <v>105</v>
      </c>
      <c r="P730" t="s">
        <v>6412</v>
      </c>
      <c r="Q730" t="s">
        <v>6412</v>
      </c>
      <c r="R730" t="s">
        <v>6412</v>
      </c>
      <c r="S730" t="s">
        <v>6210</v>
      </c>
      <c r="T730" t="s">
        <v>6488</v>
      </c>
      <c r="U730">
        <v>5</v>
      </c>
      <c r="X730" s="31"/>
      <c r="Y730" s="93">
        <f t="shared" si="0"/>
        <v>1</v>
      </c>
      <c r="Z730" s="3">
        <v>0</v>
      </c>
      <c r="AA730" s="3" t="s">
        <v>6474</v>
      </c>
      <c r="AD730" s="6">
        <f t="shared" si="1"/>
        <v>114.49</v>
      </c>
      <c r="AE730" s="265">
        <v>130.4701</v>
      </c>
      <c r="AF730" s="17">
        <f t="shared" si="2"/>
        <v>130.4701</v>
      </c>
      <c r="AG730" s="6">
        <f t="shared" si="3"/>
        <v>84.81</v>
      </c>
      <c r="AH730" s="31"/>
      <c r="AI730" s="11">
        <v>0.65</v>
      </c>
      <c r="AJ730" s="18">
        <v>0.35</v>
      </c>
      <c r="AK730" s="6">
        <f t="shared" si="4"/>
        <v>113.35</v>
      </c>
      <c r="AL730" s="6">
        <f t="shared" si="5"/>
        <v>112.2</v>
      </c>
      <c r="AM730" s="6">
        <f t="shared" si="6"/>
        <v>111.06</v>
      </c>
      <c r="AN730" s="6">
        <f t="shared" si="7"/>
        <v>111.06</v>
      </c>
      <c r="AO730" s="6">
        <f t="shared" si="8"/>
        <v>114.49</v>
      </c>
      <c r="BG730" s="12">
        <v>0.01</v>
      </c>
      <c r="BH730" s="12">
        <v>0.02</v>
      </c>
      <c r="BI730" s="12">
        <v>0.03</v>
      </c>
      <c r="BJ730" s="12">
        <v>0.03</v>
      </c>
      <c r="CC730" s="3" t="str">
        <f t="shared" si="9"/>
        <v>Allied-Moulded-AMU884L.jpg</v>
      </c>
      <c r="CD730" s="16" t="s">
        <v>111</v>
      </c>
      <c r="CG730" s="3" t="s">
        <v>112</v>
      </c>
      <c r="CI730" s="3" t="s">
        <v>97</v>
      </c>
      <c r="CJ730" s="3" t="s">
        <v>467</v>
      </c>
      <c r="CK730" s="3" t="s">
        <v>114</v>
      </c>
      <c r="CL730" s="3" t="s">
        <v>115</v>
      </c>
      <c r="CO730" s="3" t="s">
        <v>118</v>
      </c>
      <c r="CQ730" s="3" t="s">
        <v>120</v>
      </c>
      <c r="CT730" t="s">
        <v>385</v>
      </c>
      <c r="CU730" t="s">
        <v>385</v>
      </c>
      <c r="CV730" t="s">
        <v>657</v>
      </c>
    </row>
    <row r="731" spans="1:100" ht="15" customHeight="1">
      <c r="A731" t="s">
        <v>6211</v>
      </c>
      <c r="B731" t="s">
        <v>6273</v>
      </c>
      <c r="C731" s="16" t="s">
        <v>97</v>
      </c>
      <c r="D731" t="s">
        <v>6335</v>
      </c>
      <c r="E731" s="16" t="s">
        <v>97</v>
      </c>
      <c r="F731"/>
      <c r="I731" s="100" t="s">
        <v>342</v>
      </c>
      <c r="J731" s="16" t="s">
        <v>101</v>
      </c>
      <c r="L731" s="3" t="s">
        <v>102</v>
      </c>
      <c r="M731" s="3" t="s">
        <v>103</v>
      </c>
      <c r="N731" s="3" t="s">
        <v>104</v>
      </c>
      <c r="O731" s="16" t="s">
        <v>105</v>
      </c>
      <c r="P731" t="s">
        <v>6413</v>
      </c>
      <c r="Q731" t="s">
        <v>6413</v>
      </c>
      <c r="R731" t="s">
        <v>6413</v>
      </c>
      <c r="S731" t="s">
        <v>6211</v>
      </c>
      <c r="T731" t="s">
        <v>6488</v>
      </c>
      <c r="U731">
        <v>5</v>
      </c>
      <c r="X731" s="31"/>
      <c r="Y731" s="93">
        <f t="shared" si="0"/>
        <v>1</v>
      </c>
      <c r="Z731" s="3">
        <v>0</v>
      </c>
      <c r="AA731" s="3" t="s">
        <v>6475</v>
      </c>
      <c r="AD731" s="6">
        <f t="shared" si="1"/>
        <v>117.76</v>
      </c>
      <c r="AE731" s="265">
        <v>134.1987</v>
      </c>
      <c r="AF731" s="17">
        <f t="shared" si="2"/>
        <v>134.1987</v>
      </c>
      <c r="AG731" s="6">
        <f t="shared" si="3"/>
        <v>87.23</v>
      </c>
      <c r="AH731" s="31"/>
      <c r="AI731" s="11">
        <v>0.65</v>
      </c>
      <c r="AJ731" s="18">
        <v>0.35</v>
      </c>
      <c r="AK731" s="6">
        <f t="shared" si="4"/>
        <v>116.58</v>
      </c>
      <c r="AL731" s="6">
        <f t="shared" si="5"/>
        <v>115.4</v>
      </c>
      <c r="AM731" s="6">
        <f t="shared" si="6"/>
        <v>114.23</v>
      </c>
      <c r="AN731" s="6">
        <f t="shared" si="7"/>
        <v>114.23</v>
      </c>
      <c r="AO731" s="6">
        <f t="shared" si="8"/>
        <v>117.76</v>
      </c>
      <c r="BG731" s="12">
        <v>0.01</v>
      </c>
      <c r="BH731" s="12">
        <v>0.02</v>
      </c>
      <c r="BI731" s="12">
        <v>0.03</v>
      </c>
      <c r="BJ731" s="12">
        <v>0.03</v>
      </c>
      <c r="CC731" s="3" t="str">
        <f t="shared" si="9"/>
        <v>Allied-Moulded-AMU884LF.jpg</v>
      </c>
      <c r="CD731" s="16" t="s">
        <v>111</v>
      </c>
      <c r="CG731" s="3" t="s">
        <v>112</v>
      </c>
      <c r="CI731" s="3" t="s">
        <v>97</v>
      </c>
      <c r="CJ731" s="3" t="s">
        <v>467</v>
      </c>
      <c r="CK731" s="3" t="s">
        <v>114</v>
      </c>
      <c r="CL731" s="3" t="s">
        <v>115</v>
      </c>
      <c r="CO731" s="3" t="s">
        <v>118</v>
      </c>
      <c r="CQ731" s="3" t="s">
        <v>120</v>
      </c>
      <c r="CT731" t="s">
        <v>385</v>
      </c>
      <c r="CU731" t="s">
        <v>385</v>
      </c>
      <c r="CV731" t="s">
        <v>657</v>
      </c>
    </row>
    <row r="732" spans="1:100" ht="15" customHeight="1">
      <c r="A732" t="s">
        <v>6212</v>
      </c>
      <c r="B732" t="s">
        <v>6274</v>
      </c>
      <c r="C732" s="16" t="s">
        <v>97</v>
      </c>
      <c r="D732" t="s">
        <v>6336</v>
      </c>
      <c r="E732" s="16" t="s">
        <v>97</v>
      </c>
      <c r="F732"/>
      <c r="I732" s="100" t="s">
        <v>342</v>
      </c>
      <c r="J732" s="16" t="s">
        <v>101</v>
      </c>
      <c r="L732" s="3" t="s">
        <v>102</v>
      </c>
      <c r="M732" s="3" t="s">
        <v>103</v>
      </c>
      <c r="N732" s="3" t="s">
        <v>104</v>
      </c>
      <c r="O732" s="16" t="s">
        <v>105</v>
      </c>
      <c r="P732" t="s">
        <v>6414</v>
      </c>
      <c r="Q732" t="s">
        <v>6414</v>
      </c>
      <c r="R732" t="s">
        <v>6414</v>
      </c>
      <c r="S732" t="s">
        <v>6212</v>
      </c>
      <c r="T732" t="s">
        <v>6488</v>
      </c>
      <c r="U732">
        <v>5</v>
      </c>
      <c r="X732" s="31"/>
      <c r="Y732" s="93">
        <f t="shared" si="0"/>
        <v>1</v>
      </c>
      <c r="Z732" s="3">
        <v>0</v>
      </c>
      <c r="AA732" s="3" t="s">
        <v>6476</v>
      </c>
      <c r="AD732" s="6">
        <f t="shared" si="1"/>
        <v>171.33</v>
      </c>
      <c r="AE732" s="265">
        <v>195.24680000000001</v>
      </c>
      <c r="AF732" s="17">
        <f t="shared" si="2"/>
        <v>195.24680000000001</v>
      </c>
      <c r="AG732" s="6">
        <f t="shared" si="3"/>
        <v>126.91</v>
      </c>
      <c r="AH732" s="31"/>
      <c r="AI732" s="11">
        <v>0.65</v>
      </c>
      <c r="AJ732" s="18">
        <v>0.35</v>
      </c>
      <c r="AK732" s="6">
        <f t="shared" si="4"/>
        <v>169.62</v>
      </c>
      <c r="AL732" s="6">
        <f t="shared" si="5"/>
        <v>167.9</v>
      </c>
      <c r="AM732" s="6">
        <f t="shared" si="6"/>
        <v>166.19</v>
      </c>
      <c r="AN732" s="6">
        <f t="shared" si="7"/>
        <v>166.19</v>
      </c>
      <c r="AO732" s="6">
        <f t="shared" si="8"/>
        <v>171.33</v>
      </c>
      <c r="BG732" s="12">
        <v>0.01</v>
      </c>
      <c r="BH732" s="12">
        <v>0.02</v>
      </c>
      <c r="BI732" s="12">
        <v>0.03</v>
      </c>
      <c r="BJ732" s="12">
        <v>0.03</v>
      </c>
      <c r="CC732" s="3" t="str">
        <f t="shared" si="9"/>
        <v>Allied-Moulded-AMU884LW.jpg</v>
      </c>
      <c r="CD732" s="16" t="s">
        <v>111</v>
      </c>
      <c r="CG732" s="3" t="s">
        <v>112</v>
      </c>
      <c r="CI732" s="3" t="s">
        <v>97</v>
      </c>
      <c r="CJ732" s="3" t="s">
        <v>467</v>
      </c>
      <c r="CK732" s="3" t="s">
        <v>114</v>
      </c>
      <c r="CL732" s="3" t="s">
        <v>115</v>
      </c>
      <c r="CO732" s="3" t="s">
        <v>118</v>
      </c>
      <c r="CQ732" s="3" t="s">
        <v>120</v>
      </c>
      <c r="CT732" t="s">
        <v>385</v>
      </c>
      <c r="CU732" t="s">
        <v>385</v>
      </c>
      <c r="CV732" t="s">
        <v>657</v>
      </c>
    </row>
    <row r="733" spans="1:100" ht="15" customHeight="1">
      <c r="A733" t="s">
        <v>6213</v>
      </c>
      <c r="B733" t="s">
        <v>6275</v>
      </c>
      <c r="C733" s="16" t="s">
        <v>97</v>
      </c>
      <c r="D733" t="s">
        <v>6337</v>
      </c>
      <c r="E733" s="16" t="s">
        <v>97</v>
      </c>
      <c r="F733"/>
      <c r="I733" s="100" t="s">
        <v>342</v>
      </c>
      <c r="J733" s="16" t="s">
        <v>101</v>
      </c>
      <c r="L733" s="3" t="s">
        <v>102</v>
      </c>
      <c r="M733" s="3" t="s">
        <v>103</v>
      </c>
      <c r="N733" s="3" t="s">
        <v>104</v>
      </c>
      <c r="O733" s="16" t="s">
        <v>105</v>
      </c>
      <c r="P733" t="s">
        <v>6415</v>
      </c>
      <c r="Q733" t="s">
        <v>6415</v>
      </c>
      <c r="R733" t="s">
        <v>6415</v>
      </c>
      <c r="S733" t="s">
        <v>6213</v>
      </c>
      <c r="T733" t="s">
        <v>6488</v>
      </c>
      <c r="U733">
        <v>5</v>
      </c>
      <c r="X733" s="31"/>
      <c r="Y733" s="93">
        <f t="shared" si="0"/>
        <v>1</v>
      </c>
      <c r="Z733" s="3">
        <v>0</v>
      </c>
      <c r="AA733" s="3" t="s">
        <v>6477</v>
      </c>
      <c r="AD733" s="6">
        <f t="shared" si="1"/>
        <v>175.97</v>
      </c>
      <c r="AE733" s="265">
        <v>200.541</v>
      </c>
      <c r="AF733" s="17">
        <f t="shared" si="2"/>
        <v>200.541</v>
      </c>
      <c r="AG733" s="6">
        <f t="shared" si="3"/>
        <v>130.35</v>
      </c>
      <c r="AH733" s="31"/>
      <c r="AI733" s="11">
        <v>0.65</v>
      </c>
      <c r="AJ733" s="18">
        <v>0.35</v>
      </c>
      <c r="AK733" s="6">
        <f t="shared" si="4"/>
        <v>174.21</v>
      </c>
      <c r="AL733" s="6">
        <f t="shared" si="5"/>
        <v>172.45</v>
      </c>
      <c r="AM733" s="6">
        <f t="shared" si="6"/>
        <v>170.69</v>
      </c>
      <c r="AN733" s="6">
        <f t="shared" si="7"/>
        <v>170.69</v>
      </c>
      <c r="AO733" s="6">
        <f t="shared" si="8"/>
        <v>175.97</v>
      </c>
      <c r="BG733" s="12">
        <v>0.01</v>
      </c>
      <c r="BH733" s="12">
        <v>0.02</v>
      </c>
      <c r="BI733" s="12">
        <v>0.03</v>
      </c>
      <c r="BJ733" s="12">
        <v>0.03</v>
      </c>
      <c r="CC733" s="3" t="str">
        <f t="shared" si="9"/>
        <v>Allied-Moulded-AMU884LWF.jpg</v>
      </c>
      <c r="CD733" s="16" t="s">
        <v>111</v>
      </c>
      <c r="CG733" s="3" t="s">
        <v>112</v>
      </c>
      <c r="CI733" s="3" t="s">
        <v>97</v>
      </c>
      <c r="CJ733" s="3" t="s">
        <v>467</v>
      </c>
      <c r="CK733" s="3" t="s">
        <v>114</v>
      </c>
      <c r="CL733" s="3" t="s">
        <v>115</v>
      </c>
      <c r="CO733" s="3" t="s">
        <v>118</v>
      </c>
      <c r="CQ733" s="3" t="s">
        <v>120</v>
      </c>
      <c r="CT733" t="s">
        <v>385</v>
      </c>
      <c r="CU733" t="s">
        <v>385</v>
      </c>
      <c r="CV733" t="s">
        <v>657</v>
      </c>
    </row>
    <row r="734" spans="1:100" ht="15" customHeight="1">
      <c r="A734" t="s">
        <v>6214</v>
      </c>
      <c r="B734" t="s">
        <v>6276</v>
      </c>
      <c r="C734" s="16" t="s">
        <v>97</v>
      </c>
      <c r="D734" t="s">
        <v>6338</v>
      </c>
      <c r="E734" s="16" t="s">
        <v>97</v>
      </c>
      <c r="F734"/>
      <c r="I734" s="100" t="s">
        <v>342</v>
      </c>
      <c r="J734" s="16" t="s">
        <v>101</v>
      </c>
      <c r="L734" s="3" t="s">
        <v>102</v>
      </c>
      <c r="M734" s="3" t="s">
        <v>103</v>
      </c>
      <c r="N734" s="3" t="s">
        <v>104</v>
      </c>
      <c r="O734" s="16" t="s">
        <v>105</v>
      </c>
      <c r="P734" t="s">
        <v>6416</v>
      </c>
      <c r="Q734" t="s">
        <v>6416</v>
      </c>
      <c r="R734" t="s">
        <v>6416</v>
      </c>
      <c r="S734" t="s">
        <v>6214</v>
      </c>
      <c r="T734" t="s">
        <v>6488</v>
      </c>
      <c r="U734">
        <v>5</v>
      </c>
      <c r="X734" s="31"/>
      <c r="Y734" s="93">
        <f t="shared" si="0"/>
        <v>1</v>
      </c>
      <c r="Z734" s="3">
        <v>0</v>
      </c>
      <c r="AA734" s="3" t="s">
        <v>6478</v>
      </c>
      <c r="AD734" s="6">
        <f t="shared" si="1"/>
        <v>108.77</v>
      </c>
      <c r="AE734" s="265">
        <v>123.95020000000001</v>
      </c>
      <c r="AF734" s="17">
        <f t="shared" si="2"/>
        <v>123.95020000000001</v>
      </c>
      <c r="AG734" s="6">
        <f t="shared" si="3"/>
        <v>80.569999999999993</v>
      </c>
      <c r="AH734" s="31"/>
      <c r="AI734" s="11">
        <v>0.65</v>
      </c>
      <c r="AJ734" s="18">
        <v>0.35</v>
      </c>
      <c r="AK734" s="6">
        <f t="shared" si="4"/>
        <v>107.68</v>
      </c>
      <c r="AL734" s="6">
        <f t="shared" si="5"/>
        <v>106.59</v>
      </c>
      <c r="AM734" s="6">
        <f t="shared" si="6"/>
        <v>105.51</v>
      </c>
      <c r="AN734" s="6">
        <f t="shared" si="7"/>
        <v>105.51</v>
      </c>
      <c r="AO734" s="6">
        <f t="shared" si="8"/>
        <v>108.77</v>
      </c>
      <c r="BG734" s="12">
        <v>0.01</v>
      </c>
      <c r="BH734" s="12">
        <v>0.02</v>
      </c>
      <c r="BI734" s="12">
        <v>0.03</v>
      </c>
      <c r="BJ734" s="12">
        <v>0.03</v>
      </c>
      <c r="CC734" s="3" t="str">
        <f t="shared" si="9"/>
        <v>Allied-Moulded-AMU884NL.jpg</v>
      </c>
      <c r="CD734" s="16" t="s">
        <v>111</v>
      </c>
      <c r="CG734" s="3" t="s">
        <v>112</v>
      </c>
      <c r="CI734" s="3" t="s">
        <v>97</v>
      </c>
      <c r="CJ734" s="3" t="s">
        <v>467</v>
      </c>
      <c r="CK734" s="3" t="s">
        <v>114</v>
      </c>
      <c r="CL734" s="3" t="s">
        <v>115</v>
      </c>
      <c r="CO734" s="3" t="s">
        <v>118</v>
      </c>
      <c r="CQ734" s="3" t="s">
        <v>120</v>
      </c>
      <c r="CT734" t="s">
        <v>385</v>
      </c>
      <c r="CU734" t="s">
        <v>385</v>
      </c>
      <c r="CV734" t="s">
        <v>657</v>
      </c>
    </row>
    <row r="735" spans="1:100" ht="15" customHeight="1">
      <c r="A735" t="s">
        <v>6215</v>
      </c>
      <c r="B735" t="s">
        <v>6277</v>
      </c>
      <c r="C735" s="16" t="s">
        <v>97</v>
      </c>
      <c r="D735" t="s">
        <v>6339</v>
      </c>
      <c r="E735" s="16" t="s">
        <v>97</v>
      </c>
      <c r="F735"/>
      <c r="I735" s="100" t="s">
        <v>342</v>
      </c>
      <c r="J735" s="16" t="s">
        <v>101</v>
      </c>
      <c r="L735" s="3" t="s">
        <v>102</v>
      </c>
      <c r="M735" s="3" t="s">
        <v>103</v>
      </c>
      <c r="N735" s="3" t="s">
        <v>104</v>
      </c>
      <c r="O735" s="16" t="s">
        <v>105</v>
      </c>
      <c r="P735" t="s">
        <v>6417</v>
      </c>
      <c r="Q735" t="s">
        <v>6417</v>
      </c>
      <c r="R735" t="s">
        <v>6417</v>
      </c>
      <c r="S735" t="s">
        <v>6215</v>
      </c>
      <c r="T735" t="s">
        <v>6488</v>
      </c>
      <c r="U735">
        <v>5</v>
      </c>
      <c r="X735" s="31"/>
      <c r="Y735" s="93">
        <f t="shared" si="0"/>
        <v>1</v>
      </c>
      <c r="Z735" s="3">
        <v>0</v>
      </c>
      <c r="AA735" s="3" t="s">
        <v>6479</v>
      </c>
      <c r="AD735" s="6">
        <f t="shared" si="1"/>
        <v>111.87</v>
      </c>
      <c r="AE735" s="265">
        <v>127.49340000000001</v>
      </c>
      <c r="AF735" s="17">
        <f t="shared" si="2"/>
        <v>127.49340000000001</v>
      </c>
      <c r="AG735" s="6">
        <f t="shared" si="3"/>
        <v>82.87</v>
      </c>
      <c r="AH735" s="31"/>
      <c r="AI735" s="11">
        <v>0.65</v>
      </c>
      <c r="AJ735" s="18">
        <v>0.35</v>
      </c>
      <c r="AK735" s="6">
        <f t="shared" si="4"/>
        <v>110.75</v>
      </c>
      <c r="AL735" s="6">
        <f t="shared" si="5"/>
        <v>109.63</v>
      </c>
      <c r="AM735" s="6">
        <f t="shared" si="6"/>
        <v>108.51</v>
      </c>
      <c r="AN735" s="6">
        <f t="shared" si="7"/>
        <v>108.51</v>
      </c>
      <c r="AO735" s="6">
        <f t="shared" si="8"/>
        <v>111.87</v>
      </c>
      <c r="BG735" s="12">
        <v>0.01</v>
      </c>
      <c r="BH735" s="12">
        <v>0.02</v>
      </c>
      <c r="BI735" s="12">
        <v>0.03</v>
      </c>
      <c r="BJ735" s="12">
        <v>0.03</v>
      </c>
      <c r="CC735" s="3" t="str">
        <f t="shared" si="9"/>
        <v>Allied-Moulded-AMU884NLF.jpg</v>
      </c>
      <c r="CD735" s="16" t="s">
        <v>111</v>
      </c>
      <c r="CG735" s="3" t="s">
        <v>112</v>
      </c>
      <c r="CI735" s="3" t="s">
        <v>97</v>
      </c>
      <c r="CJ735" s="3" t="s">
        <v>467</v>
      </c>
      <c r="CK735" s="3" t="s">
        <v>114</v>
      </c>
      <c r="CL735" s="3" t="s">
        <v>115</v>
      </c>
      <c r="CO735" s="3" t="s">
        <v>118</v>
      </c>
      <c r="CQ735" s="3" t="s">
        <v>120</v>
      </c>
      <c r="CT735" t="s">
        <v>385</v>
      </c>
      <c r="CU735" t="s">
        <v>385</v>
      </c>
      <c r="CV735" t="s">
        <v>657</v>
      </c>
    </row>
    <row r="736" spans="1:100" ht="15" customHeight="1">
      <c r="A736" t="s">
        <v>6216</v>
      </c>
      <c r="B736" t="s">
        <v>6278</v>
      </c>
      <c r="C736" s="16" t="s">
        <v>97</v>
      </c>
      <c r="D736" t="s">
        <v>6340</v>
      </c>
      <c r="E736" s="16" t="s">
        <v>97</v>
      </c>
      <c r="F736"/>
      <c r="I736" s="100" t="s">
        <v>342</v>
      </c>
      <c r="J736" s="16" t="s">
        <v>101</v>
      </c>
      <c r="L736" s="3" t="s">
        <v>102</v>
      </c>
      <c r="M736" s="3" t="s">
        <v>103</v>
      </c>
      <c r="N736" s="3" t="s">
        <v>104</v>
      </c>
      <c r="O736" s="16" t="s">
        <v>105</v>
      </c>
      <c r="P736" t="s">
        <v>6418</v>
      </c>
      <c r="Q736" t="s">
        <v>6418</v>
      </c>
      <c r="R736" t="s">
        <v>6418</v>
      </c>
      <c r="S736" t="s">
        <v>6216</v>
      </c>
      <c r="T736" t="s">
        <v>6488</v>
      </c>
      <c r="U736">
        <v>5</v>
      </c>
      <c r="X736" s="31"/>
      <c r="Y736" s="93">
        <f t="shared" si="0"/>
        <v>1</v>
      </c>
      <c r="Z736" s="3">
        <v>0</v>
      </c>
      <c r="AA736" s="3" t="s">
        <v>6480</v>
      </c>
      <c r="AD736" s="6">
        <f t="shared" si="1"/>
        <v>162.76</v>
      </c>
      <c r="AE736" s="265">
        <v>185.48240000000001</v>
      </c>
      <c r="AF736" s="17">
        <f t="shared" si="2"/>
        <v>185.48240000000001</v>
      </c>
      <c r="AG736" s="6">
        <f t="shared" si="3"/>
        <v>120.56</v>
      </c>
      <c r="AH736" s="31"/>
      <c r="AI736" s="11">
        <v>0.65</v>
      </c>
      <c r="AJ736" s="18">
        <v>0.35</v>
      </c>
      <c r="AK736" s="6">
        <f t="shared" si="4"/>
        <v>161.13</v>
      </c>
      <c r="AL736" s="6">
        <f t="shared" si="5"/>
        <v>159.5</v>
      </c>
      <c r="AM736" s="6">
        <f t="shared" si="6"/>
        <v>157.88</v>
      </c>
      <c r="AN736" s="6">
        <f t="shared" si="7"/>
        <v>157.88</v>
      </c>
      <c r="AO736" s="6">
        <f t="shared" si="8"/>
        <v>162.76</v>
      </c>
      <c r="BG736" s="12">
        <v>0.01</v>
      </c>
      <c r="BH736" s="12">
        <v>0.02</v>
      </c>
      <c r="BI736" s="12">
        <v>0.03</v>
      </c>
      <c r="BJ736" s="12">
        <v>0.03</v>
      </c>
      <c r="CC736" s="3" t="str">
        <f t="shared" si="9"/>
        <v>Allied-Moulded-AMU884NLW.jpg</v>
      </c>
      <c r="CD736" s="16" t="s">
        <v>111</v>
      </c>
      <c r="CG736" s="3" t="s">
        <v>112</v>
      </c>
      <c r="CI736" s="3" t="s">
        <v>97</v>
      </c>
      <c r="CJ736" s="3" t="s">
        <v>467</v>
      </c>
      <c r="CK736" s="3" t="s">
        <v>114</v>
      </c>
      <c r="CL736" s="3" t="s">
        <v>115</v>
      </c>
      <c r="CO736" s="3" t="s">
        <v>118</v>
      </c>
      <c r="CQ736" s="3" t="s">
        <v>120</v>
      </c>
      <c r="CT736" t="s">
        <v>385</v>
      </c>
      <c r="CU736" t="s">
        <v>385</v>
      </c>
      <c r="CV736" t="s">
        <v>657</v>
      </c>
    </row>
    <row r="737" spans="1:100" ht="15" customHeight="1">
      <c r="A737" t="s">
        <v>6217</v>
      </c>
      <c r="B737" t="s">
        <v>6279</v>
      </c>
      <c r="C737" s="16" t="s">
        <v>97</v>
      </c>
      <c r="D737" t="s">
        <v>6341</v>
      </c>
      <c r="E737" s="16" t="s">
        <v>97</v>
      </c>
      <c r="F737"/>
      <c r="I737" s="100" t="s">
        <v>342</v>
      </c>
      <c r="J737" s="16" t="s">
        <v>101</v>
      </c>
      <c r="L737" s="3" t="s">
        <v>102</v>
      </c>
      <c r="M737" s="3" t="s">
        <v>103</v>
      </c>
      <c r="N737" s="3" t="s">
        <v>104</v>
      </c>
      <c r="O737" s="16" t="s">
        <v>105</v>
      </c>
      <c r="P737" t="s">
        <v>6419</v>
      </c>
      <c r="Q737" t="s">
        <v>6419</v>
      </c>
      <c r="R737" t="s">
        <v>6419</v>
      </c>
      <c r="S737" t="s">
        <v>6217</v>
      </c>
      <c r="T737" t="s">
        <v>6488</v>
      </c>
      <c r="U737">
        <v>5</v>
      </c>
      <c r="X737" s="31"/>
      <c r="Y737" s="93">
        <f t="shared" si="0"/>
        <v>1</v>
      </c>
      <c r="Z737" s="3">
        <v>0</v>
      </c>
      <c r="AA737" s="3" t="s">
        <v>6481</v>
      </c>
      <c r="AD737" s="6">
        <f t="shared" si="1"/>
        <v>167.21</v>
      </c>
      <c r="AE737" s="265">
        <v>190.56029999999998</v>
      </c>
      <c r="AF737" s="17">
        <f t="shared" si="2"/>
        <v>190.56029999999998</v>
      </c>
      <c r="AG737" s="6">
        <f t="shared" si="3"/>
        <v>123.86</v>
      </c>
      <c r="AH737" s="31"/>
      <c r="AI737" s="11">
        <v>0.65</v>
      </c>
      <c r="AJ737" s="18">
        <v>0.35</v>
      </c>
      <c r="AK737" s="6">
        <f t="shared" si="4"/>
        <v>165.54</v>
      </c>
      <c r="AL737" s="6">
        <f t="shared" si="5"/>
        <v>163.87</v>
      </c>
      <c r="AM737" s="6">
        <f t="shared" si="6"/>
        <v>162.19</v>
      </c>
      <c r="AN737" s="6">
        <f t="shared" si="7"/>
        <v>162.19</v>
      </c>
      <c r="AO737" s="6">
        <f t="shared" si="8"/>
        <v>167.21</v>
      </c>
      <c r="BG737" s="12">
        <v>0.01</v>
      </c>
      <c r="BH737" s="12">
        <v>0.02</v>
      </c>
      <c r="BI737" s="12">
        <v>0.03</v>
      </c>
      <c r="BJ737" s="12">
        <v>0.03</v>
      </c>
      <c r="CC737" s="3" t="str">
        <f t="shared" si="9"/>
        <v>Allied-Moulded-AMU884NLWF.jpg</v>
      </c>
      <c r="CD737" s="16" t="s">
        <v>111</v>
      </c>
      <c r="CG737" s="3" t="s">
        <v>112</v>
      </c>
      <c r="CI737" s="3" t="s">
        <v>97</v>
      </c>
      <c r="CJ737" s="3" t="s">
        <v>467</v>
      </c>
      <c r="CK737" s="3" t="s">
        <v>114</v>
      </c>
      <c r="CL737" s="3" t="s">
        <v>115</v>
      </c>
      <c r="CO737" s="3" t="s">
        <v>118</v>
      </c>
      <c r="CQ737" s="3" t="s">
        <v>120</v>
      </c>
      <c r="CT737" t="s">
        <v>385</v>
      </c>
      <c r="CU737" t="s">
        <v>385</v>
      </c>
      <c r="CV737" t="s">
        <v>657</v>
      </c>
    </row>
    <row r="738" spans="1:100" ht="15" customHeight="1">
      <c r="A738" t="s">
        <v>6218</v>
      </c>
      <c r="B738" t="s">
        <v>6280</v>
      </c>
      <c r="C738" s="16" t="s">
        <v>97</v>
      </c>
      <c r="D738" t="s">
        <v>6342</v>
      </c>
      <c r="E738" s="16" t="s">
        <v>97</v>
      </c>
      <c r="F738"/>
      <c r="I738" s="100" t="s">
        <v>342</v>
      </c>
      <c r="J738" s="16" t="s">
        <v>101</v>
      </c>
      <c r="L738" s="3" t="s">
        <v>102</v>
      </c>
      <c r="M738" s="3" t="s">
        <v>103</v>
      </c>
      <c r="N738" s="3" t="s">
        <v>104</v>
      </c>
      <c r="O738" s="16" t="s">
        <v>105</v>
      </c>
      <c r="P738" t="s">
        <v>6420</v>
      </c>
      <c r="Q738" t="s">
        <v>6420</v>
      </c>
      <c r="R738" t="s">
        <v>6420</v>
      </c>
      <c r="S738" t="s">
        <v>6218</v>
      </c>
      <c r="T738" t="s">
        <v>6488</v>
      </c>
      <c r="U738">
        <v>5</v>
      </c>
      <c r="X738" s="31"/>
      <c r="Y738" s="93">
        <f t="shared" si="0"/>
        <v>1</v>
      </c>
      <c r="Z738" s="3">
        <v>0</v>
      </c>
      <c r="AA738" s="3" t="s">
        <v>6482</v>
      </c>
      <c r="AD738" s="6">
        <f t="shared" si="1"/>
        <v>114.49</v>
      </c>
      <c r="AE738" s="265">
        <v>130.4701</v>
      </c>
      <c r="AF738" s="17">
        <f t="shared" si="2"/>
        <v>130.4701</v>
      </c>
      <c r="AG738" s="6">
        <f t="shared" si="3"/>
        <v>84.81</v>
      </c>
      <c r="AH738" s="31"/>
      <c r="AI738" s="11">
        <v>0.65</v>
      </c>
      <c r="AJ738" s="18">
        <v>0.35</v>
      </c>
      <c r="AK738" s="6">
        <f t="shared" si="4"/>
        <v>113.35</v>
      </c>
      <c r="AL738" s="6">
        <f t="shared" si="5"/>
        <v>112.2</v>
      </c>
      <c r="AM738" s="6">
        <f t="shared" si="6"/>
        <v>111.06</v>
      </c>
      <c r="AN738" s="6">
        <f t="shared" si="7"/>
        <v>111.06</v>
      </c>
      <c r="AO738" s="6">
        <f t="shared" si="8"/>
        <v>114.49</v>
      </c>
      <c r="BG738" s="12">
        <v>0.01</v>
      </c>
      <c r="BH738" s="12">
        <v>0.02</v>
      </c>
      <c r="BI738" s="12">
        <v>0.03</v>
      </c>
      <c r="BJ738" s="12">
        <v>0.03</v>
      </c>
      <c r="CC738" s="3" t="str">
        <f t="shared" si="9"/>
        <v>Allied-Moulded-AMU884T.jpg</v>
      </c>
      <c r="CD738" s="16" t="s">
        <v>111</v>
      </c>
      <c r="CG738" s="3" t="s">
        <v>112</v>
      </c>
      <c r="CI738" s="3" t="s">
        <v>97</v>
      </c>
      <c r="CJ738" s="3" t="s">
        <v>467</v>
      </c>
      <c r="CK738" s="3" t="s">
        <v>114</v>
      </c>
      <c r="CL738" s="3" t="s">
        <v>115</v>
      </c>
      <c r="CO738" s="3" t="s">
        <v>118</v>
      </c>
      <c r="CQ738" s="3" t="s">
        <v>120</v>
      </c>
      <c r="CT738" t="s">
        <v>385</v>
      </c>
      <c r="CU738" t="s">
        <v>385</v>
      </c>
      <c r="CV738" t="s">
        <v>657</v>
      </c>
    </row>
    <row r="739" spans="1:100" ht="15" customHeight="1">
      <c r="A739" t="s">
        <v>6219</v>
      </c>
      <c r="B739" t="s">
        <v>6281</v>
      </c>
      <c r="C739" s="16" t="s">
        <v>97</v>
      </c>
      <c r="D739" t="s">
        <v>6343</v>
      </c>
      <c r="E739" s="16" t="s">
        <v>97</v>
      </c>
      <c r="F739"/>
      <c r="I739" s="100" t="s">
        <v>342</v>
      </c>
      <c r="J739" s="16" t="s">
        <v>101</v>
      </c>
      <c r="L739" s="3" t="s">
        <v>102</v>
      </c>
      <c r="M739" s="3" t="s">
        <v>103</v>
      </c>
      <c r="N739" s="3" t="s">
        <v>104</v>
      </c>
      <c r="O739" s="16" t="s">
        <v>105</v>
      </c>
      <c r="P739" t="s">
        <v>6421</v>
      </c>
      <c r="Q739" t="s">
        <v>6421</v>
      </c>
      <c r="R739" t="s">
        <v>6421</v>
      </c>
      <c r="S739" t="s">
        <v>6219</v>
      </c>
      <c r="T739" t="s">
        <v>6488</v>
      </c>
      <c r="U739">
        <v>5</v>
      </c>
      <c r="X739" s="31"/>
      <c r="Y739" s="93">
        <f t="shared" si="0"/>
        <v>1</v>
      </c>
      <c r="Z739" s="3">
        <v>0</v>
      </c>
      <c r="AA739" s="3" t="s">
        <v>6483</v>
      </c>
      <c r="AD739" s="6">
        <f t="shared" si="1"/>
        <v>117.76</v>
      </c>
      <c r="AE739" s="265">
        <v>134.1987</v>
      </c>
      <c r="AF739" s="17">
        <f t="shared" si="2"/>
        <v>134.1987</v>
      </c>
      <c r="AG739" s="6">
        <f t="shared" si="3"/>
        <v>87.23</v>
      </c>
      <c r="AH739" s="31"/>
      <c r="AI739" s="11">
        <v>0.65</v>
      </c>
      <c r="AJ739" s="18">
        <v>0.35</v>
      </c>
      <c r="AK739" s="6">
        <f t="shared" si="4"/>
        <v>116.58</v>
      </c>
      <c r="AL739" s="6">
        <f t="shared" si="5"/>
        <v>115.4</v>
      </c>
      <c r="AM739" s="6">
        <f t="shared" si="6"/>
        <v>114.23</v>
      </c>
      <c r="AN739" s="6">
        <f t="shared" si="7"/>
        <v>114.23</v>
      </c>
      <c r="AO739" s="6">
        <f t="shared" si="8"/>
        <v>117.76</v>
      </c>
      <c r="BG739" s="12">
        <v>0.01</v>
      </c>
      <c r="BH739" s="12">
        <v>0.02</v>
      </c>
      <c r="BI739" s="12">
        <v>0.03</v>
      </c>
      <c r="BJ739" s="12">
        <v>0.03</v>
      </c>
      <c r="CC739" s="3" t="str">
        <f t="shared" si="9"/>
        <v>Allied-Moulded-AMU884TF.jpg</v>
      </c>
      <c r="CD739" s="16" t="s">
        <v>111</v>
      </c>
      <c r="CG739" s="3" t="s">
        <v>112</v>
      </c>
      <c r="CI739" s="3" t="s">
        <v>97</v>
      </c>
      <c r="CJ739" s="3" t="s">
        <v>467</v>
      </c>
      <c r="CK739" s="3" t="s">
        <v>114</v>
      </c>
      <c r="CL739" s="3" t="s">
        <v>115</v>
      </c>
      <c r="CO739" s="3" t="s">
        <v>118</v>
      </c>
      <c r="CQ739" s="3" t="s">
        <v>120</v>
      </c>
      <c r="CT739" t="s">
        <v>385</v>
      </c>
      <c r="CU739" t="s">
        <v>385</v>
      </c>
      <c r="CV739" t="s">
        <v>657</v>
      </c>
    </row>
    <row r="740" spans="1:100" ht="15" customHeight="1">
      <c r="A740" t="s">
        <v>6220</v>
      </c>
      <c r="B740" t="s">
        <v>6282</v>
      </c>
      <c r="C740" s="16" t="s">
        <v>97</v>
      </c>
      <c r="D740" t="s">
        <v>6344</v>
      </c>
      <c r="E740" s="16" t="s">
        <v>97</v>
      </c>
      <c r="F740"/>
      <c r="I740" s="100" t="s">
        <v>342</v>
      </c>
      <c r="J740" s="16" t="s">
        <v>101</v>
      </c>
      <c r="L740" s="3" t="s">
        <v>102</v>
      </c>
      <c r="M740" s="3" t="s">
        <v>103</v>
      </c>
      <c r="N740" s="3" t="s">
        <v>104</v>
      </c>
      <c r="O740" s="16" t="s">
        <v>105</v>
      </c>
      <c r="P740" t="s">
        <v>6422</v>
      </c>
      <c r="Q740" t="s">
        <v>6422</v>
      </c>
      <c r="R740" t="s">
        <v>6422</v>
      </c>
      <c r="S740" t="s">
        <v>6220</v>
      </c>
      <c r="T740" t="s">
        <v>6488</v>
      </c>
      <c r="U740">
        <v>5</v>
      </c>
      <c r="X740" s="31"/>
      <c r="Y740" s="93">
        <f t="shared" si="0"/>
        <v>1</v>
      </c>
      <c r="Z740" s="3">
        <v>0</v>
      </c>
      <c r="AA740" s="3" t="s">
        <v>6484</v>
      </c>
      <c r="AD740" s="6">
        <f t="shared" si="1"/>
        <v>171.33</v>
      </c>
      <c r="AE740" s="265">
        <v>195.24680000000001</v>
      </c>
      <c r="AF740" s="17">
        <f t="shared" si="2"/>
        <v>195.24680000000001</v>
      </c>
      <c r="AG740" s="6">
        <f t="shared" si="3"/>
        <v>126.91</v>
      </c>
      <c r="AH740" s="31"/>
      <c r="AI740" s="11">
        <v>0.65</v>
      </c>
      <c r="AJ740" s="18">
        <v>0.35</v>
      </c>
      <c r="AK740" s="6">
        <f t="shared" si="4"/>
        <v>169.62</v>
      </c>
      <c r="AL740" s="6">
        <f t="shared" si="5"/>
        <v>167.9</v>
      </c>
      <c r="AM740" s="6">
        <f t="shared" si="6"/>
        <v>166.19</v>
      </c>
      <c r="AN740" s="6">
        <f t="shared" si="7"/>
        <v>166.19</v>
      </c>
      <c r="AO740" s="6">
        <f t="shared" si="8"/>
        <v>171.33</v>
      </c>
      <c r="BG740" s="12">
        <v>0.01</v>
      </c>
      <c r="BH740" s="12">
        <v>0.02</v>
      </c>
      <c r="BI740" s="12">
        <v>0.03</v>
      </c>
      <c r="BJ740" s="12">
        <v>0.03</v>
      </c>
      <c r="CC740" s="3" t="str">
        <f t="shared" si="9"/>
        <v>Allied-Moulded-AMU884TW.jpg</v>
      </c>
      <c r="CD740" s="16" t="s">
        <v>111</v>
      </c>
      <c r="CG740" s="3" t="s">
        <v>112</v>
      </c>
      <c r="CI740" s="3" t="s">
        <v>97</v>
      </c>
      <c r="CJ740" s="3" t="s">
        <v>467</v>
      </c>
      <c r="CK740" s="3" t="s">
        <v>114</v>
      </c>
      <c r="CL740" s="3" t="s">
        <v>115</v>
      </c>
      <c r="CO740" s="3" t="s">
        <v>118</v>
      </c>
      <c r="CQ740" s="3" t="s">
        <v>120</v>
      </c>
      <c r="CT740" t="s">
        <v>385</v>
      </c>
      <c r="CU740" t="s">
        <v>385</v>
      </c>
      <c r="CV740" t="s">
        <v>657</v>
      </c>
    </row>
    <row r="741" spans="1:100" ht="15" customHeight="1">
      <c r="A741" t="s">
        <v>6221</v>
      </c>
      <c r="B741" t="s">
        <v>6283</v>
      </c>
      <c r="C741" s="16" t="s">
        <v>97</v>
      </c>
      <c r="D741" t="s">
        <v>6345</v>
      </c>
      <c r="E741" s="16" t="s">
        <v>97</v>
      </c>
      <c r="F741"/>
      <c r="I741" s="100" t="s">
        <v>342</v>
      </c>
      <c r="J741" s="16" t="s">
        <v>101</v>
      </c>
      <c r="L741" s="3" t="s">
        <v>102</v>
      </c>
      <c r="M741" s="3" t="s">
        <v>103</v>
      </c>
      <c r="N741" s="3" t="s">
        <v>104</v>
      </c>
      <c r="O741" s="16" t="s">
        <v>105</v>
      </c>
      <c r="P741" t="s">
        <v>6423</v>
      </c>
      <c r="Q741" t="s">
        <v>6423</v>
      </c>
      <c r="R741" t="s">
        <v>6423</v>
      </c>
      <c r="S741" t="s">
        <v>6221</v>
      </c>
      <c r="T741" t="s">
        <v>6488</v>
      </c>
      <c r="U741">
        <v>5</v>
      </c>
      <c r="X741" s="31"/>
      <c r="Y741" s="93">
        <f t="shared" si="0"/>
        <v>1</v>
      </c>
      <c r="Z741" s="3">
        <v>0</v>
      </c>
      <c r="AA741" s="3" t="s">
        <v>6485</v>
      </c>
      <c r="AD741" s="6">
        <f t="shared" si="1"/>
        <v>175.97</v>
      </c>
      <c r="AE741" s="265">
        <v>200.541</v>
      </c>
      <c r="AF741" s="17">
        <f t="shared" si="2"/>
        <v>200.541</v>
      </c>
      <c r="AG741" s="6">
        <f t="shared" si="3"/>
        <v>130.35</v>
      </c>
      <c r="AH741" s="31"/>
      <c r="AI741" s="11">
        <v>0.65</v>
      </c>
      <c r="AJ741" s="18">
        <v>0.35</v>
      </c>
      <c r="AK741" s="6">
        <f t="shared" si="4"/>
        <v>174.21</v>
      </c>
      <c r="AL741" s="6">
        <f t="shared" si="5"/>
        <v>172.45</v>
      </c>
      <c r="AM741" s="6">
        <f t="shared" si="6"/>
        <v>170.69</v>
      </c>
      <c r="AN741" s="6">
        <f t="shared" si="7"/>
        <v>170.69</v>
      </c>
      <c r="AO741" s="6">
        <f t="shared" si="8"/>
        <v>175.97</v>
      </c>
      <c r="BG741" s="12">
        <v>0.01</v>
      </c>
      <c r="BH741" s="12">
        <v>0.02</v>
      </c>
      <c r="BI741" s="12">
        <v>0.03</v>
      </c>
      <c r="BJ741" s="12">
        <v>0.03</v>
      </c>
      <c r="CC741" s="3" t="str">
        <f t="shared" si="9"/>
        <v>Allied-Moulded-AMU884TWF.jpg</v>
      </c>
      <c r="CD741" s="16" t="s">
        <v>111</v>
      </c>
      <c r="CG741" s="3" t="s">
        <v>112</v>
      </c>
      <c r="CI741" s="3" t="s">
        <v>97</v>
      </c>
      <c r="CJ741" s="3" t="s">
        <v>467</v>
      </c>
      <c r="CK741" s="3" t="s">
        <v>114</v>
      </c>
      <c r="CL741" s="3" t="s">
        <v>115</v>
      </c>
      <c r="CO741" s="3" t="s">
        <v>118</v>
      </c>
      <c r="CQ741" s="3" t="s">
        <v>120</v>
      </c>
      <c r="CT741" t="s">
        <v>385</v>
      </c>
      <c r="CU741" t="s">
        <v>385</v>
      </c>
      <c r="CV741" t="s">
        <v>657</v>
      </c>
    </row>
    <row r="742" spans="1:100" ht="15" customHeight="1">
      <c r="A742" t="s">
        <v>6222</v>
      </c>
      <c r="B742" t="s">
        <v>6284</v>
      </c>
      <c r="C742" s="16" t="s">
        <v>97</v>
      </c>
      <c r="D742" t="s">
        <v>6346</v>
      </c>
      <c r="E742" s="16" t="s">
        <v>97</v>
      </c>
      <c r="F742"/>
      <c r="I742" s="100" t="s">
        <v>342</v>
      </c>
      <c r="J742" s="16" t="s">
        <v>101</v>
      </c>
      <c r="L742" s="3" t="s">
        <v>102</v>
      </c>
      <c r="M742" s="3" t="s">
        <v>103</v>
      </c>
      <c r="N742" s="3" t="s">
        <v>104</v>
      </c>
      <c r="O742" s="16" t="s">
        <v>105</v>
      </c>
      <c r="P742" t="s">
        <v>6424</v>
      </c>
      <c r="Q742" t="s">
        <v>6424</v>
      </c>
      <c r="R742" t="s">
        <v>6424</v>
      </c>
      <c r="S742" t="s">
        <v>6222</v>
      </c>
      <c r="T742" t="s">
        <v>6488</v>
      </c>
      <c r="U742">
        <v>5</v>
      </c>
      <c r="X742" s="31"/>
      <c r="Y742" s="93">
        <f t="shared" si="0"/>
        <v>1</v>
      </c>
      <c r="Z742" s="3">
        <v>0</v>
      </c>
      <c r="AA742" s="3" t="s">
        <v>6486</v>
      </c>
      <c r="AD742" s="6">
        <f t="shared" si="1"/>
        <v>150.66</v>
      </c>
      <c r="AE742" s="265">
        <v>171.69069999999999</v>
      </c>
      <c r="AF742" s="17">
        <f t="shared" si="2"/>
        <v>171.69069999999999</v>
      </c>
      <c r="AG742" s="6">
        <f t="shared" si="3"/>
        <v>111.6</v>
      </c>
      <c r="AH742" s="31"/>
      <c r="AI742" s="11">
        <v>0.65</v>
      </c>
      <c r="AJ742" s="18">
        <v>0.35</v>
      </c>
      <c r="AK742" s="6">
        <f t="shared" si="4"/>
        <v>149.15</v>
      </c>
      <c r="AL742" s="6">
        <f t="shared" si="5"/>
        <v>147.65</v>
      </c>
      <c r="AM742" s="6">
        <f t="shared" si="6"/>
        <v>146.13999999999999</v>
      </c>
      <c r="AN742" s="6">
        <f t="shared" si="7"/>
        <v>146.13999999999999</v>
      </c>
      <c r="AO742" s="6">
        <f t="shared" si="8"/>
        <v>150.66</v>
      </c>
      <c r="BG742" s="12">
        <v>0.01</v>
      </c>
      <c r="BH742" s="12">
        <v>0.02</v>
      </c>
      <c r="BI742" s="12">
        <v>0.03</v>
      </c>
      <c r="BJ742" s="12">
        <v>0.03</v>
      </c>
      <c r="CC742" s="3" t="str">
        <f t="shared" si="9"/>
        <v>Allied-Moulded-AMU884W.jpg</v>
      </c>
      <c r="CD742" s="16" t="s">
        <v>111</v>
      </c>
      <c r="CG742" s="3" t="s">
        <v>112</v>
      </c>
      <c r="CI742" s="3" t="s">
        <v>97</v>
      </c>
      <c r="CJ742" s="3" t="s">
        <v>467</v>
      </c>
      <c r="CK742" s="3" t="s">
        <v>114</v>
      </c>
      <c r="CL742" s="3" t="s">
        <v>115</v>
      </c>
      <c r="CO742" s="3" t="s">
        <v>118</v>
      </c>
      <c r="CQ742" s="3" t="s">
        <v>120</v>
      </c>
      <c r="CT742" t="s">
        <v>385</v>
      </c>
      <c r="CU742" t="s">
        <v>385</v>
      </c>
      <c r="CV742" t="s">
        <v>657</v>
      </c>
    </row>
    <row r="743" spans="1:100" ht="15" customHeight="1">
      <c r="A743" t="s">
        <v>6223</v>
      </c>
      <c r="B743" t="s">
        <v>6285</v>
      </c>
      <c r="C743" s="16" t="s">
        <v>97</v>
      </c>
      <c r="D743" t="s">
        <v>6347</v>
      </c>
      <c r="E743" s="16" t="s">
        <v>97</v>
      </c>
      <c r="F743"/>
      <c r="I743" s="100" t="s">
        <v>342</v>
      </c>
      <c r="J743" s="16" t="s">
        <v>101</v>
      </c>
      <c r="L743" s="3" t="s">
        <v>102</v>
      </c>
      <c r="M743" s="3" t="s">
        <v>103</v>
      </c>
      <c r="N743" s="3" t="s">
        <v>104</v>
      </c>
      <c r="O743" s="16" t="s">
        <v>105</v>
      </c>
      <c r="P743" t="s">
        <v>6425</v>
      </c>
      <c r="Q743" t="s">
        <v>6425</v>
      </c>
      <c r="R743" t="s">
        <v>6425</v>
      </c>
      <c r="S743" t="s">
        <v>6223</v>
      </c>
      <c r="T743" t="s">
        <v>6488</v>
      </c>
      <c r="U743">
        <v>5</v>
      </c>
      <c r="X743" s="31"/>
      <c r="Y743" s="93">
        <f t="shared" si="0"/>
        <v>1</v>
      </c>
      <c r="Z743" s="3">
        <v>0</v>
      </c>
      <c r="AA743" s="3" t="s">
        <v>6487</v>
      </c>
      <c r="AD743" s="6">
        <f t="shared" si="1"/>
        <v>154.80000000000001</v>
      </c>
      <c r="AE743" s="265">
        <v>176.40810000000002</v>
      </c>
      <c r="AF743" s="17">
        <f t="shared" si="2"/>
        <v>176.40810000000002</v>
      </c>
      <c r="AG743" s="6">
        <f t="shared" si="3"/>
        <v>114.67</v>
      </c>
      <c r="AH743" s="31"/>
      <c r="AI743" s="11">
        <v>0.65</v>
      </c>
      <c r="AJ743" s="18">
        <v>0.35</v>
      </c>
      <c r="AK743" s="6">
        <f t="shared" si="4"/>
        <v>153.25</v>
      </c>
      <c r="AL743" s="6">
        <f t="shared" si="5"/>
        <v>151.69999999999999</v>
      </c>
      <c r="AM743" s="6">
        <f t="shared" si="6"/>
        <v>150.16</v>
      </c>
      <c r="AN743" s="6">
        <f t="shared" si="7"/>
        <v>150.16</v>
      </c>
      <c r="AO743" s="6">
        <f t="shared" si="8"/>
        <v>154.80000000000001</v>
      </c>
      <c r="BG743" s="12">
        <v>0.01</v>
      </c>
      <c r="BH743" s="12">
        <v>0.02</v>
      </c>
      <c r="BI743" s="12">
        <v>0.03</v>
      </c>
      <c r="BJ743" s="12">
        <v>0.03</v>
      </c>
      <c r="CC743" s="3" t="str">
        <f t="shared" si="9"/>
        <v>Allied-Moulded-AMU884WF.jpg</v>
      </c>
      <c r="CD743" s="16" t="s">
        <v>111</v>
      </c>
      <c r="CG743" s="3" t="s">
        <v>112</v>
      </c>
      <c r="CI743" s="3" t="s">
        <v>97</v>
      </c>
      <c r="CJ743" s="3" t="s">
        <v>467</v>
      </c>
      <c r="CK743" s="3" t="s">
        <v>114</v>
      </c>
      <c r="CL743" s="3" t="s">
        <v>115</v>
      </c>
      <c r="CO743" s="3" t="s">
        <v>118</v>
      </c>
      <c r="CQ743" s="3" t="s">
        <v>120</v>
      </c>
      <c r="CT743" t="s">
        <v>385</v>
      </c>
      <c r="CU743" t="s">
        <v>385</v>
      </c>
      <c r="CV743" t="s">
        <v>657</v>
      </c>
    </row>
  </sheetData>
  <autoFilter ref="A3:CV3" xr:uid="{8D681FD2-45EF-4A74-8D17-3FC5336E00B8}">
    <sortState xmlns:xlrd2="http://schemas.microsoft.com/office/spreadsheetml/2017/richdata2" ref="A4:CV688">
      <sortCondition sortBy="cellColor" ref="AE3" dxfId="2"/>
    </sortState>
  </autoFilter>
  <phoneticPr fontId="14" type="noConversion"/>
  <conditionalFormatting sqref="Y1">
    <cfRule type="colorScale" priority="1">
      <colorScale>
        <cfvo type="num" val="0"/>
        <cfvo type="num" val="1"/>
        <color rgb="FFFF0000"/>
        <color rgb="FFFFFF00"/>
      </colorScale>
    </cfRule>
  </conditionalFormatting>
  <conditionalFormatting sqref="Z407:AD565 Y407:Y655 Y4:AD406 Y656:AD681 AF4:AJ565 AF656:AJ681 AF744:AJ1048576 Y744:AD1048576 Y681:Z743 Y683:AC743 AD682:AD743 AH683:AJ743 AF682:AG743 AJ681:AJ743">
    <cfRule type="colorScale" priority="30">
      <colorScale>
        <cfvo type="num" val="0"/>
        <cfvo type="num" val="1"/>
        <color rgb="FFFF0000"/>
        <color rgb="FFFFFF00"/>
      </colorScale>
    </cfRule>
  </conditionalFormatting>
  <conditionalFormatting sqref="Z566:AD655 AF566:AJ655">
    <cfRule type="colorScale" priority="5">
      <colorScale>
        <cfvo type="num" val="0"/>
        <cfvo type="num" val="1"/>
        <color rgb="FFFF0000"/>
        <color rgb="FFFFFF0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84366-0876-4736-B754-CD28897C4DB3}">
  <sheetPr codeName="Sheet6"/>
  <dimension ref="A1:CK146"/>
  <sheetViews>
    <sheetView zoomScale="85" zoomScaleNormal="85" workbookViewId="0">
      <pane xSplit="1" ySplit="3" topLeftCell="P31" activePane="bottomRight" state="frozen"/>
      <selection pane="topRight" activeCell="A22" sqref="A22"/>
      <selection pane="bottomLeft" activeCell="A22" sqref="A22"/>
      <selection pane="bottomRight" activeCell="S36" sqref="S36:S53"/>
    </sheetView>
  </sheetViews>
  <sheetFormatPr defaultRowHeight="15.75" customHeight="1"/>
  <cols>
    <col min="1" max="1" width="34" customWidth="1"/>
    <col min="2" max="2" width="44" customWidth="1"/>
    <col min="4" max="4" width="16.85546875" style="11" bestFit="1" customWidth="1"/>
    <col min="8" max="8" width="9.140625" style="11"/>
    <col min="10" max="10" width="68.42578125" customWidth="1"/>
    <col min="11" max="11" width="33.140625" customWidth="1"/>
    <col min="12" max="12" width="35.42578125" customWidth="1"/>
    <col min="16" max="16" width="160.5703125" customWidth="1"/>
    <col min="17" max="17" width="19.42578125" customWidth="1"/>
    <col min="28" max="28" width="15.5703125" bestFit="1" customWidth="1"/>
    <col min="31" max="31" width="9.140625" style="65"/>
    <col min="42" max="58" width="0" hidden="1" customWidth="1"/>
    <col min="63" max="80" width="0" hidden="1" customWidth="1"/>
    <col min="81" max="84" width="41.5703125" customWidth="1"/>
    <col min="85" max="85" width="31.85546875" bestFit="1" customWidth="1"/>
    <col min="86" max="86" width="21.85546875" bestFit="1" customWidth="1"/>
    <col min="87" max="87" width="19.42578125" bestFit="1" customWidth="1"/>
    <col min="88" max="88" width="30.42578125" bestFit="1" customWidth="1"/>
    <col min="89" max="89" width="30.7109375" bestFit="1" customWidth="1"/>
  </cols>
  <sheetData>
    <row r="1" spans="1:89" s="3" customFormat="1">
      <c r="A1" s="139" t="s">
        <v>0</v>
      </c>
      <c r="B1" s="158"/>
      <c r="C1" s="159"/>
      <c r="D1" s="160"/>
      <c r="E1" s="159"/>
      <c r="F1" s="161"/>
      <c r="G1" s="161"/>
      <c r="H1" s="162"/>
      <c r="I1" s="162"/>
      <c r="J1" s="161"/>
      <c r="K1" s="162"/>
      <c r="L1" s="163" t="s">
        <v>1</v>
      </c>
      <c r="M1" s="164">
        <v>3</v>
      </c>
      <c r="N1" s="159" t="s">
        <v>2</v>
      </c>
      <c r="O1" s="159"/>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171"/>
      <c r="CE1" s="171"/>
      <c r="CF1" s="171"/>
    </row>
    <row r="2" spans="1:89" s="3" customFormat="1">
      <c r="A2" s="172" t="s">
        <v>6023</v>
      </c>
      <c r="B2" s="173" t="s">
        <v>4424</v>
      </c>
      <c r="C2" s="174" t="s">
        <v>5</v>
      </c>
      <c r="D2" s="175" t="s">
        <v>4425</v>
      </c>
      <c r="E2" s="174" t="s">
        <v>6</v>
      </c>
      <c r="F2" s="141" t="s">
        <v>6024</v>
      </c>
      <c r="G2" s="14" t="s">
        <v>7</v>
      </c>
      <c r="H2" s="176" t="s">
        <v>8</v>
      </c>
      <c r="I2" s="177" t="s">
        <v>6025</v>
      </c>
      <c r="J2" s="141" t="s">
        <v>6026</v>
      </c>
      <c r="K2" s="176" t="s">
        <v>10</v>
      </c>
      <c r="L2" s="141" t="s">
        <v>11</v>
      </c>
      <c r="M2" s="141" t="s">
        <v>12</v>
      </c>
      <c r="N2" s="141" t="s">
        <v>13</v>
      </c>
      <c r="O2" s="141" t="s">
        <v>14</v>
      </c>
      <c r="P2" s="141" t="s">
        <v>15</v>
      </c>
      <c r="Q2" s="141" t="s">
        <v>16</v>
      </c>
      <c r="R2" s="178" t="s">
        <v>17</v>
      </c>
      <c r="S2" s="178" t="s">
        <v>18</v>
      </c>
      <c r="T2" s="178" t="s">
        <v>19</v>
      </c>
      <c r="U2" s="142" t="s">
        <v>6027</v>
      </c>
      <c r="V2" s="142" t="s">
        <v>20</v>
      </c>
      <c r="W2" s="177" t="s">
        <v>21</v>
      </c>
      <c r="X2" s="179" t="s">
        <v>22</v>
      </c>
      <c r="Y2" s="180" t="s">
        <v>23</v>
      </c>
      <c r="Z2" s="181" t="s">
        <v>24</v>
      </c>
      <c r="AA2" s="181" t="s">
        <v>25</v>
      </c>
      <c r="AB2" s="182" t="s">
        <v>26</v>
      </c>
      <c r="AC2" s="143" t="s">
        <v>27</v>
      </c>
      <c r="AD2" s="183" t="s">
        <v>28</v>
      </c>
      <c r="AE2" s="184" t="s">
        <v>29</v>
      </c>
      <c r="AF2" s="185" t="s">
        <v>30</v>
      </c>
      <c r="AG2" s="142" t="s">
        <v>6028</v>
      </c>
      <c r="AH2" s="14" t="s">
        <v>31</v>
      </c>
      <c r="AI2" s="14" t="s">
        <v>32</v>
      </c>
      <c r="AJ2" s="186" t="s">
        <v>33</v>
      </c>
      <c r="AK2" s="145" t="s">
        <v>34</v>
      </c>
      <c r="AL2" s="145" t="s">
        <v>35</v>
      </c>
      <c r="AM2" s="145" t="s">
        <v>36</v>
      </c>
      <c r="AN2" s="145" t="s">
        <v>77</v>
      </c>
      <c r="AO2" s="145" t="s">
        <v>78</v>
      </c>
      <c r="AP2" s="14"/>
      <c r="AQ2" s="14"/>
      <c r="AR2" s="14"/>
      <c r="AS2" s="14"/>
      <c r="AT2" s="14"/>
      <c r="AU2" s="14"/>
      <c r="AV2" s="14"/>
      <c r="AW2" s="14"/>
      <c r="AX2" s="14"/>
      <c r="AY2" s="14"/>
      <c r="AZ2" s="14"/>
      <c r="BA2" s="14"/>
      <c r="BB2" s="14"/>
      <c r="BC2" s="14"/>
      <c r="BD2" s="14"/>
      <c r="BE2" s="14"/>
      <c r="BF2" s="14"/>
      <c r="BG2" s="186" t="s">
        <v>37</v>
      </c>
      <c r="BH2" s="186" t="s">
        <v>38</v>
      </c>
      <c r="BI2" s="186" t="s">
        <v>39</v>
      </c>
      <c r="BJ2" s="186" t="s">
        <v>40</v>
      </c>
      <c r="BK2" s="186" t="s">
        <v>41</v>
      </c>
      <c r="BL2" s="14" t="s">
        <v>42</v>
      </c>
      <c r="BM2" s="14" t="s">
        <v>43</v>
      </c>
      <c r="BN2" s="14" t="s">
        <v>44</v>
      </c>
      <c r="BO2" s="14" t="s">
        <v>45</v>
      </c>
      <c r="BP2" s="14" t="s">
        <v>46</v>
      </c>
      <c r="BQ2" s="14" t="s">
        <v>47</v>
      </c>
      <c r="BR2" s="14" t="s">
        <v>48</v>
      </c>
      <c r="BS2" s="14" t="s">
        <v>49</v>
      </c>
      <c r="BT2" s="14" t="s">
        <v>50</v>
      </c>
      <c r="BU2" s="14" t="s">
        <v>51</v>
      </c>
      <c r="BV2" s="14" t="s">
        <v>52</v>
      </c>
      <c r="BW2" s="14" t="s">
        <v>53</v>
      </c>
      <c r="BX2" s="14" t="s">
        <v>54</v>
      </c>
      <c r="BY2" s="14" t="s">
        <v>55</v>
      </c>
      <c r="BZ2" s="14" t="s">
        <v>56</v>
      </c>
      <c r="CA2" s="14" t="s">
        <v>57</v>
      </c>
      <c r="CB2" s="14" t="s">
        <v>58</v>
      </c>
      <c r="CC2" s="187" t="s">
        <v>59</v>
      </c>
      <c r="CD2" s="140" t="s">
        <v>6029</v>
      </c>
      <c r="CE2" s="140" t="s">
        <v>6030</v>
      </c>
      <c r="CF2" s="144" t="s">
        <v>6031</v>
      </c>
      <c r="CG2" s="3" t="s">
        <v>60</v>
      </c>
      <c r="CH2" s="3" t="s">
        <v>61</v>
      </c>
      <c r="CI2" s="3" t="s">
        <v>62</v>
      </c>
      <c r="CJ2" s="3" t="s">
        <v>4426</v>
      </c>
      <c r="CK2" s="3" t="s">
        <v>4427</v>
      </c>
    </row>
    <row r="3" spans="1:89" s="28" customFormat="1" ht="18.75">
      <c r="A3" s="188" t="s">
        <v>6032</v>
      </c>
      <c r="B3" s="189" t="s">
        <v>6033</v>
      </c>
      <c r="C3" s="189" t="s">
        <v>6034</v>
      </c>
      <c r="D3" s="189" t="s">
        <v>6033</v>
      </c>
      <c r="E3" s="189" t="s">
        <v>6035</v>
      </c>
      <c r="F3" s="190" t="s">
        <v>6034</v>
      </c>
      <c r="G3" s="191"/>
      <c r="H3" s="192"/>
      <c r="I3" s="193" t="s">
        <v>6036</v>
      </c>
      <c r="J3" s="194" t="s">
        <v>9</v>
      </c>
      <c r="K3" s="192"/>
      <c r="L3" s="189"/>
      <c r="M3" s="189"/>
      <c r="N3" s="189"/>
      <c r="O3" s="189"/>
      <c r="P3" s="189" t="s">
        <v>6033</v>
      </c>
      <c r="Q3" s="189" t="s">
        <v>6033</v>
      </c>
      <c r="R3" s="195" t="s">
        <v>6033</v>
      </c>
      <c r="S3" s="195" t="s">
        <v>6033</v>
      </c>
      <c r="T3" s="195"/>
      <c r="U3" s="196" t="s">
        <v>6037</v>
      </c>
      <c r="V3" s="196"/>
      <c r="W3" s="197"/>
      <c r="X3" s="189"/>
      <c r="Y3" s="198" t="s">
        <v>76</v>
      </c>
      <c r="Z3" s="189"/>
      <c r="AA3" s="189" t="s">
        <v>79</v>
      </c>
      <c r="AB3" s="199"/>
      <c r="AC3"/>
      <c r="AD3" s="196" t="s">
        <v>6038</v>
      </c>
      <c r="AE3" s="200"/>
      <c r="AF3" s="201" t="s">
        <v>6038</v>
      </c>
      <c r="AG3" s="196" t="s">
        <v>6038</v>
      </c>
      <c r="AH3" s="191"/>
      <c r="AI3" s="191"/>
      <c r="AJ3" s="202"/>
      <c r="AK3" s="203" t="s">
        <v>6039</v>
      </c>
      <c r="AL3" s="203" t="s">
        <v>6040</v>
      </c>
      <c r="AM3" s="203" t="s">
        <v>6041</v>
      </c>
      <c r="AN3" s="203" t="s">
        <v>6042</v>
      </c>
      <c r="AO3" s="203" t="s">
        <v>6043</v>
      </c>
      <c r="AP3" s="203" t="s">
        <v>6044</v>
      </c>
      <c r="AQ3" s="203" t="s">
        <v>6045</v>
      </c>
      <c r="AR3" s="203" t="s">
        <v>6046</v>
      </c>
      <c r="AS3" s="203" t="s">
        <v>6047</v>
      </c>
      <c r="AT3" s="203" t="s">
        <v>6048</v>
      </c>
      <c r="AU3" s="203" t="s">
        <v>6049</v>
      </c>
      <c r="AV3" s="203" t="s">
        <v>6050</v>
      </c>
      <c r="AW3" s="203" t="s">
        <v>6051</v>
      </c>
      <c r="AX3" s="203" t="s">
        <v>6052</v>
      </c>
      <c r="AY3" s="203" t="s">
        <v>6053</v>
      </c>
      <c r="AZ3" s="203" t="s">
        <v>6054</v>
      </c>
      <c r="BA3" s="203" t="s">
        <v>6055</v>
      </c>
      <c r="BB3" s="203" t="s">
        <v>6056</v>
      </c>
      <c r="BC3" s="203" t="s">
        <v>6057</v>
      </c>
      <c r="BD3" s="203" t="s">
        <v>6058</v>
      </c>
      <c r="BE3" s="203" t="s">
        <v>6059</v>
      </c>
      <c r="BF3" s="203" t="s">
        <v>6060</v>
      </c>
      <c r="BG3" s="202" t="s">
        <v>34</v>
      </c>
      <c r="BH3" s="202" t="s">
        <v>35</v>
      </c>
      <c r="BI3" s="202" t="s">
        <v>36</v>
      </c>
      <c r="BJ3" s="204" t="s">
        <v>77</v>
      </c>
      <c r="BK3" s="202" t="s">
        <v>78</v>
      </c>
      <c r="BL3" s="191"/>
      <c r="BM3" s="191"/>
      <c r="BN3" s="191"/>
      <c r="BO3" s="191"/>
      <c r="BP3" s="191"/>
      <c r="BQ3" s="191"/>
      <c r="BR3" s="191"/>
      <c r="BS3" s="191"/>
      <c r="BT3" s="191"/>
      <c r="BU3" s="191"/>
      <c r="BV3" s="191"/>
      <c r="BW3" s="191"/>
      <c r="BX3" s="191"/>
      <c r="BY3" s="191"/>
      <c r="BZ3" s="191"/>
      <c r="CA3" s="191"/>
      <c r="CB3" s="191"/>
      <c r="CC3" s="205" t="s">
        <v>79</v>
      </c>
      <c r="CD3" s="171"/>
      <c r="CE3" s="171"/>
      <c r="CF3" s="171"/>
      <c r="CG3" s="28" t="s">
        <v>80</v>
      </c>
      <c r="CH3" s="28" t="s">
        <v>81</v>
      </c>
      <c r="CI3" s="28" t="s">
        <v>5</v>
      </c>
      <c r="CJ3" s="28" t="s">
        <v>4428</v>
      </c>
      <c r="CK3" s="28" t="s">
        <v>4429</v>
      </c>
    </row>
    <row r="4" spans="1:89" s="3" customFormat="1" ht="15" customHeight="1">
      <c r="A4" s="3" t="s">
        <v>4430</v>
      </c>
      <c r="B4" s="3" t="s">
        <v>4430</v>
      </c>
      <c r="C4" s="16" t="s">
        <v>97</v>
      </c>
      <c r="D4" s="58" t="s">
        <v>4431</v>
      </c>
      <c r="E4" s="16" t="s">
        <v>97</v>
      </c>
      <c r="F4" s="131" t="s">
        <v>4432</v>
      </c>
      <c r="H4" s="62"/>
      <c r="I4" s="100" t="s">
        <v>342</v>
      </c>
      <c r="J4" s="16" t="s">
        <v>101</v>
      </c>
      <c r="K4" s="16"/>
      <c r="P4" s="3" t="s">
        <v>4433</v>
      </c>
      <c r="Q4" s="3" t="s">
        <v>4433</v>
      </c>
      <c r="R4" s="3" t="s">
        <v>4433</v>
      </c>
      <c r="S4" s="3" t="s">
        <v>4430</v>
      </c>
      <c r="T4" s="131" t="s">
        <v>4434</v>
      </c>
      <c r="U4" s="51">
        <v>1</v>
      </c>
      <c r="V4" s="58"/>
      <c r="W4" s="58"/>
      <c r="X4" s="59" t="s">
        <v>108</v>
      </c>
      <c r="Y4" s="93">
        <f t="shared" ref="Y4:Y35" si="0">IF(AD4=0, 0, IF(OR(H4="", H4&lt;&gt;0), 1, 0))</f>
        <v>1</v>
      </c>
      <c r="Z4" s="3">
        <v>0</v>
      </c>
      <c r="AA4" s="3" t="s">
        <v>4435</v>
      </c>
      <c r="AD4" s="6">
        <f t="shared" ref="AD4:AD53" si="1">ROUND((AG4*(1+AJ4)),2)</f>
        <v>33.29</v>
      </c>
      <c r="AE4" s="64">
        <v>37.936956909999999</v>
      </c>
      <c r="AF4" s="17">
        <f t="shared" ref="AF4:AF35" si="2">AD4*1.2</f>
        <v>39.948</v>
      </c>
      <c r="AG4" s="6">
        <f t="shared" ref="AG4:AG35" si="3">ROUND((AE4*AI4),2)</f>
        <v>24.66</v>
      </c>
      <c r="AH4" s="30" t="s">
        <v>110</v>
      </c>
      <c r="AI4" s="3">
        <v>0.65</v>
      </c>
      <c r="AJ4" s="18">
        <v>0.35</v>
      </c>
      <c r="AK4" s="6">
        <f t="shared" ref="AK4:AK35" si="4">ROUND((AD4-(AD4*BG4)),2)</f>
        <v>32.96</v>
      </c>
      <c r="AL4" s="6">
        <f t="shared" ref="AL4:AL35" si="5">ROUND((AD4-(AD4*BH4)),2)</f>
        <v>32.619999999999997</v>
      </c>
      <c r="AM4" s="6">
        <f t="shared" ref="AM4:AM35" si="6">ROUND((AD4-(AD4*BI4)),2)</f>
        <v>32.29</v>
      </c>
      <c r="AN4" s="6">
        <f t="shared" ref="AN4:AN35" si="7">ROUND((AD4-(AD4*BJ4)),2)</f>
        <v>32.29</v>
      </c>
      <c r="AO4" s="6">
        <f t="shared" ref="AO4:AO35" si="8">ROUND((AD4-(AD4*BK4)),2)</f>
        <v>33.29</v>
      </c>
      <c r="AP4" s="12"/>
      <c r="AQ4" s="12"/>
      <c r="BG4" s="12">
        <v>0.01</v>
      </c>
      <c r="BH4" s="12">
        <v>0.02</v>
      </c>
      <c r="BI4" s="12">
        <v>0.03</v>
      </c>
      <c r="BJ4" s="12">
        <v>0.03</v>
      </c>
      <c r="BQ4"/>
      <c r="BR4"/>
      <c r="BS4"/>
      <c r="BT4"/>
      <c r="BU4"/>
      <c r="BV4"/>
      <c r="BW4"/>
      <c r="BX4"/>
      <c r="BY4"/>
      <c r="BZ4"/>
      <c r="CA4"/>
      <c r="CB4"/>
      <c r="CC4" s="3" t="str">
        <f t="shared" ref="CC4:CC35" si="9">IF(B4&lt;&gt;"",CONCATENATE(SUBSTITUTE(B4," ","-"),".jpg"),"")</f>
        <v>Allied-Moulded-AMPRINTPOCKET.jpg</v>
      </c>
      <c r="CD4" s="16" t="s">
        <v>111</v>
      </c>
      <c r="CG4" s="3" t="s">
        <v>4436</v>
      </c>
      <c r="CI4" s="3" t="s">
        <v>97</v>
      </c>
    </row>
    <row r="5" spans="1:89" s="3" customFormat="1" ht="15" customHeight="1">
      <c r="A5" s="3" t="s">
        <v>4437</v>
      </c>
      <c r="B5" s="3" t="s">
        <v>4437</v>
      </c>
      <c r="C5" s="16" t="s">
        <v>97</v>
      </c>
      <c r="D5" s="58" t="s">
        <v>4438</v>
      </c>
      <c r="E5" s="16" t="s">
        <v>97</v>
      </c>
      <c r="F5" s="131" t="s">
        <v>4439</v>
      </c>
      <c r="H5" s="62"/>
      <c r="I5" s="100" t="s">
        <v>342</v>
      </c>
      <c r="J5" s="16" t="s">
        <v>101</v>
      </c>
      <c r="K5" s="16"/>
      <c r="P5" s="3" t="s">
        <v>4440</v>
      </c>
      <c r="Q5" s="3" t="s">
        <v>4440</v>
      </c>
      <c r="R5" s="3" t="s">
        <v>4440</v>
      </c>
      <c r="S5" s="3" t="s">
        <v>4437</v>
      </c>
      <c r="T5" s="131" t="s">
        <v>4441</v>
      </c>
      <c r="U5" s="51">
        <v>1</v>
      </c>
      <c r="V5" s="58"/>
      <c r="W5" s="58"/>
      <c r="X5" s="59" t="s">
        <v>108</v>
      </c>
      <c r="Y5" s="93">
        <f t="shared" si="0"/>
        <v>1</v>
      </c>
      <c r="Z5" s="3">
        <v>0</v>
      </c>
      <c r="AA5" s="3" t="s">
        <v>4442</v>
      </c>
      <c r="AD5" s="6">
        <f t="shared" si="1"/>
        <v>33.29</v>
      </c>
      <c r="AE5" s="64">
        <v>37.936956909999999</v>
      </c>
      <c r="AF5" s="17">
        <f t="shared" si="2"/>
        <v>39.948</v>
      </c>
      <c r="AG5" s="6">
        <f t="shared" si="3"/>
        <v>24.66</v>
      </c>
      <c r="AH5" s="30" t="s">
        <v>110</v>
      </c>
      <c r="AI5" s="3">
        <v>0.65</v>
      </c>
      <c r="AJ5" s="18">
        <v>0.35</v>
      </c>
      <c r="AK5" s="6">
        <f t="shared" si="4"/>
        <v>32.96</v>
      </c>
      <c r="AL5" s="6">
        <f t="shared" si="5"/>
        <v>32.619999999999997</v>
      </c>
      <c r="AM5" s="6">
        <f t="shared" si="6"/>
        <v>32.29</v>
      </c>
      <c r="AN5" s="6">
        <f t="shared" si="7"/>
        <v>32.29</v>
      </c>
      <c r="AO5" s="6">
        <f t="shared" si="8"/>
        <v>33.29</v>
      </c>
      <c r="AP5" s="12"/>
      <c r="AQ5" s="12"/>
      <c r="BG5" s="12">
        <v>0.01</v>
      </c>
      <c r="BH5" s="12">
        <v>0.02</v>
      </c>
      <c r="BI5" s="12">
        <v>0.03</v>
      </c>
      <c r="BJ5" s="12">
        <v>0.03</v>
      </c>
      <c r="BQ5"/>
      <c r="BR5"/>
      <c r="BS5"/>
      <c r="BT5"/>
      <c r="BU5"/>
      <c r="BV5"/>
      <c r="BW5"/>
      <c r="BX5"/>
      <c r="BY5"/>
      <c r="BZ5"/>
      <c r="CA5"/>
      <c r="CB5"/>
      <c r="CC5" s="3" t="str">
        <f t="shared" si="9"/>
        <v>Allied-Moulded-AMVENTSM.jpg</v>
      </c>
      <c r="CD5" s="16" t="s">
        <v>111</v>
      </c>
      <c r="CG5" s="3" t="s">
        <v>4443</v>
      </c>
      <c r="CI5" s="3" t="s">
        <v>97</v>
      </c>
    </row>
    <row r="6" spans="1:89" s="3" customFormat="1" ht="15" customHeight="1">
      <c r="A6" s="3" t="s">
        <v>4444</v>
      </c>
      <c r="B6" s="3" t="s">
        <v>4444</v>
      </c>
      <c r="C6" s="16" t="s">
        <v>97</v>
      </c>
      <c r="D6" s="54" t="s">
        <v>4445</v>
      </c>
      <c r="E6" s="16" t="s">
        <v>97</v>
      </c>
      <c r="F6" s="131" t="s">
        <v>4446</v>
      </c>
      <c r="H6" s="62"/>
      <c r="I6" s="100" t="s">
        <v>342</v>
      </c>
      <c r="J6" s="16" t="s">
        <v>101</v>
      </c>
      <c r="K6" s="16"/>
      <c r="P6" s="3" t="s">
        <v>4447</v>
      </c>
      <c r="Q6" s="3" t="s">
        <v>4447</v>
      </c>
      <c r="R6" s="3" t="s">
        <v>4447</v>
      </c>
      <c r="S6" s="3" t="s">
        <v>4444</v>
      </c>
      <c r="T6" s="131" t="s">
        <v>4441</v>
      </c>
      <c r="U6" s="50">
        <v>1</v>
      </c>
      <c r="V6" s="54"/>
      <c r="W6" s="54"/>
      <c r="X6" s="59" t="s">
        <v>108</v>
      </c>
      <c r="Y6" s="93">
        <f t="shared" si="0"/>
        <v>1</v>
      </c>
      <c r="Z6" s="3">
        <v>0</v>
      </c>
      <c r="AA6" s="3" t="s">
        <v>4448</v>
      </c>
      <c r="AD6" s="6">
        <f t="shared" si="1"/>
        <v>66.599999999999994</v>
      </c>
      <c r="AE6" s="64">
        <v>75.888362659999999</v>
      </c>
      <c r="AF6" s="17">
        <f t="shared" si="2"/>
        <v>79.919999999999987</v>
      </c>
      <c r="AG6" s="6">
        <f t="shared" si="3"/>
        <v>49.33</v>
      </c>
      <c r="AH6" s="30" t="s">
        <v>110</v>
      </c>
      <c r="AI6" s="3">
        <v>0.65</v>
      </c>
      <c r="AJ6" s="18">
        <v>0.35</v>
      </c>
      <c r="AK6" s="6">
        <f t="shared" si="4"/>
        <v>65.930000000000007</v>
      </c>
      <c r="AL6" s="6">
        <f t="shared" si="5"/>
        <v>65.27</v>
      </c>
      <c r="AM6" s="6">
        <f t="shared" si="6"/>
        <v>64.599999999999994</v>
      </c>
      <c r="AN6" s="6">
        <f t="shared" si="7"/>
        <v>64.599999999999994</v>
      </c>
      <c r="AO6" s="6">
        <f t="shared" si="8"/>
        <v>66.599999999999994</v>
      </c>
      <c r="AP6" s="12"/>
      <c r="AQ6" s="12"/>
      <c r="BG6" s="12">
        <v>0.01</v>
      </c>
      <c r="BH6" s="12">
        <v>0.02</v>
      </c>
      <c r="BI6" s="12">
        <v>0.03</v>
      </c>
      <c r="BJ6" s="12">
        <v>0.03</v>
      </c>
      <c r="BQ6"/>
      <c r="BR6"/>
      <c r="BS6"/>
      <c r="BT6"/>
      <c r="BU6"/>
      <c r="BV6"/>
      <c r="BW6"/>
      <c r="BX6"/>
      <c r="BY6"/>
      <c r="BZ6"/>
      <c r="CA6"/>
      <c r="CB6"/>
      <c r="CC6" s="3" t="str">
        <f t="shared" si="9"/>
        <v>Allied-Moulded-AMVENTLG.jpg</v>
      </c>
      <c r="CD6" s="16" t="s">
        <v>111</v>
      </c>
      <c r="CG6" s="3" t="s">
        <v>4449</v>
      </c>
      <c r="CI6" s="3" t="s">
        <v>97</v>
      </c>
    </row>
    <row r="7" spans="1:89" s="3" customFormat="1" ht="15" customHeight="1">
      <c r="A7" s="3" t="s">
        <v>4450</v>
      </c>
      <c r="B7" s="3" t="s">
        <v>4450</v>
      </c>
      <c r="C7" s="16" t="s">
        <v>97</v>
      </c>
      <c r="D7" s="58" t="s">
        <v>4451</v>
      </c>
      <c r="E7" s="16" t="s">
        <v>97</v>
      </c>
      <c r="F7" s="131" t="s">
        <v>4452</v>
      </c>
      <c r="H7" s="62"/>
      <c r="I7" s="100" t="s">
        <v>342</v>
      </c>
      <c r="J7" s="16" t="s">
        <v>101</v>
      </c>
      <c r="K7" s="16"/>
      <c r="P7" s="3" t="s">
        <v>4453</v>
      </c>
      <c r="Q7" s="3" t="s">
        <v>4453</v>
      </c>
      <c r="R7" s="3" t="s">
        <v>4453</v>
      </c>
      <c r="S7" s="3" t="s">
        <v>4450</v>
      </c>
      <c r="T7" s="131" t="s">
        <v>4454</v>
      </c>
      <c r="U7" s="51">
        <v>1</v>
      </c>
      <c r="V7" s="58"/>
      <c r="W7" s="58"/>
      <c r="X7" s="59" t="s">
        <v>108</v>
      </c>
      <c r="Y7" s="93">
        <f t="shared" si="0"/>
        <v>1</v>
      </c>
      <c r="Z7" s="3">
        <v>0</v>
      </c>
      <c r="AA7" s="3" t="s">
        <v>4455</v>
      </c>
      <c r="AD7" s="6">
        <f t="shared" si="1"/>
        <v>38.92</v>
      </c>
      <c r="AE7" s="64">
        <v>44.351280879999997</v>
      </c>
      <c r="AF7" s="17">
        <f t="shared" si="2"/>
        <v>46.704000000000001</v>
      </c>
      <c r="AG7" s="6">
        <f t="shared" si="3"/>
        <v>28.83</v>
      </c>
      <c r="AH7" s="30" t="s">
        <v>110</v>
      </c>
      <c r="AI7" s="3">
        <v>0.65</v>
      </c>
      <c r="AJ7" s="18">
        <v>0.35</v>
      </c>
      <c r="AK7" s="6">
        <f t="shared" si="4"/>
        <v>38.53</v>
      </c>
      <c r="AL7" s="6">
        <f t="shared" si="5"/>
        <v>38.14</v>
      </c>
      <c r="AM7" s="6">
        <f t="shared" si="6"/>
        <v>37.75</v>
      </c>
      <c r="AN7" s="6">
        <f t="shared" si="7"/>
        <v>37.75</v>
      </c>
      <c r="AO7" s="6">
        <f t="shared" si="8"/>
        <v>38.92</v>
      </c>
      <c r="AP7" s="12"/>
      <c r="AQ7" s="12"/>
      <c r="BG7" s="12">
        <v>0.01</v>
      </c>
      <c r="BH7" s="12">
        <v>0.02</v>
      </c>
      <c r="BI7" s="12">
        <v>0.03</v>
      </c>
      <c r="BJ7" s="12">
        <v>0.03</v>
      </c>
      <c r="BQ7"/>
      <c r="BR7"/>
      <c r="BS7"/>
      <c r="BT7"/>
      <c r="BU7"/>
      <c r="BV7"/>
      <c r="BW7"/>
      <c r="BX7"/>
      <c r="BY7"/>
      <c r="BZ7"/>
      <c r="CA7"/>
      <c r="CB7"/>
      <c r="CC7" s="3" t="str">
        <f t="shared" si="9"/>
        <v>Allied-Moulded-AMVENT4XLG.jpg</v>
      </c>
      <c r="CD7" s="16" t="s">
        <v>111</v>
      </c>
      <c r="CG7" s="3" t="s">
        <v>4456</v>
      </c>
      <c r="CI7" s="3" t="s">
        <v>97</v>
      </c>
    </row>
    <row r="8" spans="1:89" s="3" customFormat="1" ht="15" customHeight="1">
      <c r="A8" s="3" t="s">
        <v>4457</v>
      </c>
      <c r="B8" s="3" t="s">
        <v>4457</v>
      </c>
      <c r="C8" s="16" t="s">
        <v>97</v>
      </c>
      <c r="D8" s="54" t="s">
        <v>4458</v>
      </c>
      <c r="E8" s="16" t="s">
        <v>97</v>
      </c>
      <c r="F8" s="131" t="s">
        <v>4459</v>
      </c>
      <c r="H8" s="62"/>
      <c r="I8" s="100" t="s">
        <v>342</v>
      </c>
      <c r="J8" s="16" t="s">
        <v>101</v>
      </c>
      <c r="K8" s="16"/>
      <c r="P8" s="3" t="s">
        <v>4460</v>
      </c>
      <c r="Q8" s="3" t="s">
        <v>4460</v>
      </c>
      <c r="R8" s="3" t="s">
        <v>4460</v>
      </c>
      <c r="S8" s="3" t="s">
        <v>4457</v>
      </c>
      <c r="T8" s="131" t="s">
        <v>4461</v>
      </c>
      <c r="U8" s="50">
        <v>1</v>
      </c>
      <c r="V8" s="54"/>
      <c r="W8" s="54"/>
      <c r="X8" s="59" t="s">
        <v>108</v>
      </c>
      <c r="Y8" s="93">
        <f t="shared" si="0"/>
        <v>1</v>
      </c>
      <c r="Z8" s="3">
        <v>0</v>
      </c>
      <c r="AA8" s="3" t="s">
        <v>4462</v>
      </c>
      <c r="AD8" s="6">
        <f t="shared" si="1"/>
        <v>32.08</v>
      </c>
      <c r="AE8" s="64">
        <v>36.557431559999998</v>
      </c>
      <c r="AF8" s="17">
        <f t="shared" si="2"/>
        <v>38.495999999999995</v>
      </c>
      <c r="AG8" s="6">
        <f t="shared" si="3"/>
        <v>23.76</v>
      </c>
      <c r="AH8" s="30" t="s">
        <v>110</v>
      </c>
      <c r="AI8" s="3">
        <v>0.65</v>
      </c>
      <c r="AJ8" s="18">
        <v>0.35</v>
      </c>
      <c r="AK8" s="6">
        <f t="shared" si="4"/>
        <v>31.76</v>
      </c>
      <c r="AL8" s="6">
        <f t="shared" si="5"/>
        <v>31.44</v>
      </c>
      <c r="AM8" s="6">
        <f t="shared" si="6"/>
        <v>31.12</v>
      </c>
      <c r="AN8" s="6">
        <f t="shared" si="7"/>
        <v>31.12</v>
      </c>
      <c r="AO8" s="6">
        <f t="shared" si="8"/>
        <v>32.08</v>
      </c>
      <c r="AP8" s="12"/>
      <c r="AQ8" s="12"/>
      <c r="BG8" s="12">
        <v>0.01</v>
      </c>
      <c r="BH8" s="12">
        <v>0.02</v>
      </c>
      <c r="BI8" s="12">
        <v>0.03</v>
      </c>
      <c r="BJ8" s="12">
        <v>0.03</v>
      </c>
      <c r="BQ8"/>
      <c r="BR8"/>
      <c r="BS8"/>
      <c r="BT8"/>
      <c r="BU8"/>
      <c r="BV8"/>
      <c r="BW8"/>
      <c r="BX8"/>
      <c r="BY8"/>
      <c r="BZ8"/>
      <c r="CA8"/>
      <c r="CB8"/>
      <c r="CC8" s="3" t="str">
        <f t="shared" si="9"/>
        <v>Allied-Moulded-AMKEYLOCKFC.jpg</v>
      </c>
      <c r="CD8" s="16" t="s">
        <v>111</v>
      </c>
      <c r="CG8" s="3" t="s">
        <v>4463</v>
      </c>
      <c r="CI8" s="3" t="s">
        <v>97</v>
      </c>
      <c r="CK8" s="3" t="s">
        <v>4464</v>
      </c>
    </row>
    <row r="9" spans="1:89" s="3" customFormat="1" ht="15" customHeight="1">
      <c r="A9" s="3" t="s">
        <v>4465</v>
      </c>
      <c r="B9" s="3" t="s">
        <v>4465</v>
      </c>
      <c r="C9" s="16" t="s">
        <v>97</v>
      </c>
      <c r="D9" s="58" t="s">
        <v>4466</v>
      </c>
      <c r="E9" s="16" t="s">
        <v>97</v>
      </c>
      <c r="F9" s="131" t="s">
        <v>4467</v>
      </c>
      <c r="H9" s="62"/>
      <c r="I9" s="100" t="s">
        <v>342</v>
      </c>
      <c r="J9" s="16" t="s">
        <v>101</v>
      </c>
      <c r="K9" s="16"/>
      <c r="P9" s="3" t="s">
        <v>4468</v>
      </c>
      <c r="Q9" s="3" t="s">
        <v>4468</v>
      </c>
      <c r="R9" s="3" t="s">
        <v>4468</v>
      </c>
      <c r="S9" s="3" t="s">
        <v>4465</v>
      </c>
      <c r="T9" s="131" t="s">
        <v>4469</v>
      </c>
      <c r="U9" s="51">
        <v>1</v>
      </c>
      <c r="V9" s="58"/>
      <c r="W9" s="58"/>
      <c r="X9" s="59" t="s">
        <v>108</v>
      </c>
      <c r="Y9" s="93">
        <f t="shared" si="0"/>
        <v>1</v>
      </c>
      <c r="Z9" s="3">
        <v>0</v>
      </c>
      <c r="AA9" s="3" t="s">
        <v>4470</v>
      </c>
      <c r="AD9" s="6">
        <f t="shared" si="1"/>
        <v>35.299999999999997</v>
      </c>
      <c r="AE9" s="64">
        <v>40.2326652</v>
      </c>
      <c r="AF9" s="17">
        <f t="shared" si="2"/>
        <v>42.359999999999992</v>
      </c>
      <c r="AG9" s="6">
        <f t="shared" si="3"/>
        <v>26.15</v>
      </c>
      <c r="AH9" s="30" t="s">
        <v>110</v>
      </c>
      <c r="AI9" s="3">
        <v>0.65</v>
      </c>
      <c r="AJ9" s="18">
        <v>0.35</v>
      </c>
      <c r="AK9" s="6">
        <f t="shared" si="4"/>
        <v>34.950000000000003</v>
      </c>
      <c r="AL9" s="6">
        <f t="shared" si="5"/>
        <v>34.590000000000003</v>
      </c>
      <c r="AM9" s="6">
        <f t="shared" si="6"/>
        <v>34.24</v>
      </c>
      <c r="AN9" s="6">
        <f t="shared" si="7"/>
        <v>34.24</v>
      </c>
      <c r="AO9" s="6">
        <f t="shared" si="8"/>
        <v>35.299999999999997</v>
      </c>
      <c r="AP9" s="12"/>
      <c r="AQ9" s="12"/>
      <c r="BG9" s="12">
        <v>0.01</v>
      </c>
      <c r="BH9" s="12">
        <v>0.02</v>
      </c>
      <c r="BI9" s="12">
        <v>0.03</v>
      </c>
      <c r="BJ9" s="12">
        <v>0.03</v>
      </c>
      <c r="BQ9"/>
      <c r="BR9"/>
      <c r="BS9"/>
      <c r="BT9"/>
      <c r="BU9"/>
      <c r="BV9"/>
      <c r="BW9"/>
      <c r="BX9"/>
      <c r="BY9"/>
      <c r="BZ9"/>
      <c r="CA9"/>
      <c r="CB9"/>
      <c r="CC9" s="3" t="str">
        <f t="shared" si="9"/>
        <v>Allied-Moulded-AMKEYLOCKRC.jpg</v>
      </c>
      <c r="CD9" s="16" t="s">
        <v>111</v>
      </c>
      <c r="CG9" s="3" t="s">
        <v>4463</v>
      </c>
      <c r="CI9" s="3" t="s">
        <v>97</v>
      </c>
      <c r="CK9" s="3" t="s">
        <v>4471</v>
      </c>
    </row>
    <row r="10" spans="1:89" s="3" customFormat="1" ht="15" customHeight="1">
      <c r="A10" s="3" t="s">
        <v>4472</v>
      </c>
      <c r="B10" s="3" t="s">
        <v>4472</v>
      </c>
      <c r="C10" s="16" t="s">
        <v>97</v>
      </c>
      <c r="D10" s="54" t="s">
        <v>4473</v>
      </c>
      <c r="E10" s="16" t="s">
        <v>97</v>
      </c>
      <c r="F10" s="131" t="s">
        <v>4474</v>
      </c>
      <c r="H10" s="62"/>
      <c r="I10" s="100" t="s">
        <v>342</v>
      </c>
      <c r="J10" s="16" t="s">
        <v>101</v>
      </c>
      <c r="K10" s="16"/>
      <c r="P10" s="3" t="s">
        <v>4475</v>
      </c>
      <c r="Q10" s="3" t="s">
        <v>4475</v>
      </c>
      <c r="R10" s="3" t="s">
        <v>4475</v>
      </c>
      <c r="S10" s="3" t="s">
        <v>4472</v>
      </c>
      <c r="T10" s="131" t="s">
        <v>4476</v>
      </c>
      <c r="U10" s="50">
        <v>1</v>
      </c>
      <c r="V10" s="54"/>
      <c r="W10" s="54"/>
      <c r="X10" s="59" t="s">
        <v>108</v>
      </c>
      <c r="Y10" s="93">
        <f t="shared" si="0"/>
        <v>1</v>
      </c>
      <c r="Z10" s="3">
        <v>0</v>
      </c>
      <c r="AA10" s="3" t="s">
        <v>4477</v>
      </c>
      <c r="AD10" s="6">
        <f t="shared" si="1"/>
        <v>38.5</v>
      </c>
      <c r="AE10" s="64">
        <v>43.88005588</v>
      </c>
      <c r="AF10" s="17">
        <f t="shared" si="2"/>
        <v>46.199999999999996</v>
      </c>
      <c r="AG10" s="6">
        <f t="shared" si="3"/>
        <v>28.52</v>
      </c>
      <c r="AH10" s="30" t="s">
        <v>110</v>
      </c>
      <c r="AI10" s="3">
        <v>0.65</v>
      </c>
      <c r="AJ10" s="18">
        <v>0.35</v>
      </c>
      <c r="AK10" s="6">
        <f t="shared" si="4"/>
        <v>38.119999999999997</v>
      </c>
      <c r="AL10" s="6">
        <f t="shared" si="5"/>
        <v>37.729999999999997</v>
      </c>
      <c r="AM10" s="6">
        <f t="shared" si="6"/>
        <v>37.35</v>
      </c>
      <c r="AN10" s="6">
        <f t="shared" si="7"/>
        <v>37.35</v>
      </c>
      <c r="AO10" s="6">
        <f t="shared" si="8"/>
        <v>38.5</v>
      </c>
      <c r="AP10" s="12"/>
      <c r="AQ10" s="12"/>
      <c r="BG10" s="12">
        <v>0.01</v>
      </c>
      <c r="BH10" s="12">
        <v>0.02</v>
      </c>
      <c r="BI10" s="12">
        <v>0.03</v>
      </c>
      <c r="BJ10" s="12">
        <v>0.03</v>
      </c>
      <c r="BQ10"/>
      <c r="BR10"/>
      <c r="BS10"/>
      <c r="BT10"/>
      <c r="BU10"/>
      <c r="BV10"/>
      <c r="BW10"/>
      <c r="BX10"/>
      <c r="BY10"/>
      <c r="BZ10"/>
      <c r="CA10"/>
      <c r="CB10"/>
      <c r="CC10" s="3" t="str">
        <f t="shared" si="9"/>
        <v>Allied-Moulded-AMKEYLOCKRCHFP.jpg</v>
      </c>
      <c r="CD10" s="16" t="s">
        <v>111</v>
      </c>
      <c r="CG10" s="3" t="s">
        <v>4463</v>
      </c>
      <c r="CI10" s="3" t="s">
        <v>97</v>
      </c>
      <c r="CK10" s="3" t="s">
        <v>4478</v>
      </c>
    </row>
    <row r="11" spans="1:89" s="3" customFormat="1" ht="15" customHeight="1">
      <c r="A11" s="3" t="s">
        <v>4479</v>
      </c>
      <c r="B11" s="3" t="s">
        <v>4479</v>
      </c>
      <c r="C11" s="16" t="s">
        <v>97</v>
      </c>
      <c r="D11" s="54" t="s">
        <v>4480</v>
      </c>
      <c r="E11" s="16" t="s">
        <v>97</v>
      </c>
      <c r="F11" s="131" t="s">
        <v>4481</v>
      </c>
      <c r="H11" s="62"/>
      <c r="I11" s="100" t="s">
        <v>342</v>
      </c>
      <c r="J11" s="16" t="s">
        <v>101</v>
      </c>
      <c r="K11" s="16"/>
      <c r="P11" s="3" t="s">
        <v>4482</v>
      </c>
      <c r="Q11" s="3" t="s">
        <v>4482</v>
      </c>
      <c r="R11" s="3" t="s">
        <v>4482</v>
      </c>
      <c r="S11" s="3" t="s">
        <v>4479</v>
      </c>
      <c r="T11" s="131" t="s">
        <v>4483</v>
      </c>
      <c r="U11" s="50">
        <v>1</v>
      </c>
      <c r="V11" s="54"/>
      <c r="W11" s="54"/>
      <c r="X11" s="59" t="s">
        <v>108</v>
      </c>
      <c r="Y11" s="93">
        <f t="shared" si="0"/>
        <v>1</v>
      </c>
      <c r="Z11" s="3">
        <v>0</v>
      </c>
      <c r="AA11" s="3" t="s">
        <v>4484</v>
      </c>
      <c r="AD11" s="6">
        <f t="shared" si="1"/>
        <v>27.92</v>
      </c>
      <c r="AE11" s="64">
        <v>31.811570599999996</v>
      </c>
      <c r="AF11" s="17">
        <f t="shared" si="2"/>
        <v>33.503999999999998</v>
      </c>
      <c r="AG11" s="6">
        <f t="shared" si="3"/>
        <v>20.68</v>
      </c>
      <c r="AH11" s="30" t="s">
        <v>110</v>
      </c>
      <c r="AI11" s="3">
        <v>0.65</v>
      </c>
      <c r="AJ11" s="18">
        <v>0.35</v>
      </c>
      <c r="AK11" s="6">
        <f t="shared" si="4"/>
        <v>27.64</v>
      </c>
      <c r="AL11" s="6">
        <f t="shared" si="5"/>
        <v>27.36</v>
      </c>
      <c r="AM11" s="6">
        <f t="shared" si="6"/>
        <v>27.08</v>
      </c>
      <c r="AN11" s="6">
        <f t="shared" si="7"/>
        <v>27.08</v>
      </c>
      <c r="AO11" s="6">
        <f t="shared" si="8"/>
        <v>27.92</v>
      </c>
      <c r="AP11" s="12"/>
      <c r="AQ11" s="12"/>
      <c r="BG11" s="12">
        <v>0.01</v>
      </c>
      <c r="BH11" s="12">
        <v>0.02</v>
      </c>
      <c r="BI11" s="12">
        <v>0.03</v>
      </c>
      <c r="BJ11" s="12">
        <v>0.03</v>
      </c>
      <c r="BQ11"/>
      <c r="BR11"/>
      <c r="BS11"/>
      <c r="BT11"/>
      <c r="BU11"/>
      <c r="BV11"/>
      <c r="BW11"/>
      <c r="BX11"/>
      <c r="BY11"/>
      <c r="BZ11"/>
      <c r="CA11"/>
      <c r="CB11"/>
      <c r="CC11" s="3" t="str">
        <f t="shared" si="9"/>
        <v>Allied-Moulded-AMHDL001.jpg</v>
      </c>
      <c r="CD11" s="16" t="s">
        <v>111</v>
      </c>
      <c r="CG11" s="79" t="s">
        <v>4485</v>
      </c>
      <c r="CI11" s="3" t="s">
        <v>97</v>
      </c>
    </row>
    <row r="12" spans="1:89" s="3" customFormat="1" ht="15" customHeight="1">
      <c r="A12" s="3" t="s">
        <v>4486</v>
      </c>
      <c r="B12" s="3" t="s">
        <v>4486</v>
      </c>
      <c r="C12" s="16" t="s">
        <v>97</v>
      </c>
      <c r="D12" s="76" t="s">
        <v>4487</v>
      </c>
      <c r="E12" s="16" t="s">
        <v>97</v>
      </c>
      <c r="F12" s="131" t="s">
        <v>4488</v>
      </c>
      <c r="H12" s="62"/>
      <c r="I12" s="100" t="s">
        <v>342</v>
      </c>
      <c r="J12" s="16" t="s">
        <v>101</v>
      </c>
      <c r="K12" s="16"/>
      <c r="P12" s="3" t="s">
        <v>4489</v>
      </c>
      <c r="Q12" s="3" t="s">
        <v>4489</v>
      </c>
      <c r="R12" s="3" t="s">
        <v>4489</v>
      </c>
      <c r="S12" s="3" t="s">
        <v>4486</v>
      </c>
      <c r="T12" s="131" t="s">
        <v>4490</v>
      </c>
      <c r="U12" s="49">
        <v>1</v>
      </c>
      <c r="V12" s="58"/>
      <c r="W12" s="58"/>
      <c r="X12" s="59" t="s">
        <v>108</v>
      </c>
      <c r="Y12" s="93">
        <f t="shared" si="0"/>
        <v>1</v>
      </c>
      <c r="Z12" s="3">
        <v>0</v>
      </c>
      <c r="AA12" s="3" t="s">
        <v>4491</v>
      </c>
      <c r="AD12" s="6">
        <f t="shared" si="1"/>
        <v>49.86</v>
      </c>
      <c r="AE12" s="63">
        <v>56.812977929999995</v>
      </c>
      <c r="AF12" s="17">
        <f t="shared" si="2"/>
        <v>59.831999999999994</v>
      </c>
      <c r="AG12" s="6">
        <f t="shared" si="3"/>
        <v>36.93</v>
      </c>
      <c r="AH12" s="30" t="s">
        <v>110</v>
      </c>
      <c r="AI12" s="3">
        <v>0.65</v>
      </c>
      <c r="AJ12" s="18">
        <v>0.35</v>
      </c>
      <c r="AK12" s="6">
        <f t="shared" si="4"/>
        <v>49.36</v>
      </c>
      <c r="AL12" s="6">
        <f t="shared" si="5"/>
        <v>48.86</v>
      </c>
      <c r="AM12" s="6">
        <f t="shared" si="6"/>
        <v>48.36</v>
      </c>
      <c r="AN12" s="6">
        <f t="shared" si="7"/>
        <v>48.36</v>
      </c>
      <c r="AO12" s="6">
        <f t="shared" si="8"/>
        <v>49.86</v>
      </c>
      <c r="AP12" s="12"/>
      <c r="AQ12" s="12"/>
      <c r="BG12" s="12">
        <v>0.01</v>
      </c>
      <c r="BH12" s="12">
        <v>0.02</v>
      </c>
      <c r="BI12" s="12">
        <v>0.03</v>
      </c>
      <c r="BJ12" s="12">
        <v>0.03</v>
      </c>
      <c r="BQ12"/>
      <c r="BR12"/>
      <c r="BS12"/>
      <c r="BT12"/>
      <c r="BU12"/>
      <c r="BV12"/>
      <c r="BW12"/>
      <c r="BX12"/>
      <c r="BY12"/>
      <c r="BZ12"/>
      <c r="CA12"/>
      <c r="CB12"/>
      <c r="CC12" s="3" t="str">
        <f t="shared" si="9"/>
        <v>Allied-Moulded-AMPOLEMNT6.jpg</v>
      </c>
      <c r="CD12" s="16" t="s">
        <v>111</v>
      </c>
      <c r="CG12" s="3" t="s">
        <v>4492</v>
      </c>
      <c r="CH12" s="79"/>
      <c r="CI12" s="3" t="s">
        <v>97</v>
      </c>
      <c r="CJ12" s="3" t="s">
        <v>4493</v>
      </c>
      <c r="CK12" s="79" t="s">
        <v>4494</v>
      </c>
    </row>
    <row r="13" spans="1:89" s="3" customFormat="1" ht="15" customHeight="1">
      <c r="A13" s="3" t="s">
        <v>4495</v>
      </c>
      <c r="B13" s="3" t="s">
        <v>4495</v>
      </c>
      <c r="C13" s="16" t="s">
        <v>97</v>
      </c>
      <c r="D13" s="54" t="s">
        <v>4496</v>
      </c>
      <c r="E13" s="16" t="s">
        <v>97</v>
      </c>
      <c r="F13" s="131" t="s">
        <v>4497</v>
      </c>
      <c r="H13" s="62"/>
      <c r="I13" s="100" t="s">
        <v>342</v>
      </c>
      <c r="J13" s="16" t="s">
        <v>101</v>
      </c>
      <c r="K13" s="16"/>
      <c r="P13" s="3" t="s">
        <v>4498</v>
      </c>
      <c r="Q13" s="3" t="s">
        <v>4498</v>
      </c>
      <c r="R13" s="3" t="s">
        <v>4498</v>
      </c>
      <c r="S13" s="3" t="s">
        <v>4495</v>
      </c>
      <c r="T13" s="131" t="s">
        <v>4490</v>
      </c>
      <c r="U13" s="50">
        <v>2</v>
      </c>
      <c r="V13" s="54"/>
      <c r="W13" s="54"/>
      <c r="X13" s="59" t="s">
        <v>108</v>
      </c>
      <c r="Y13" s="93">
        <f t="shared" si="0"/>
        <v>1</v>
      </c>
      <c r="Z13" s="3">
        <v>0</v>
      </c>
      <c r="AA13" s="3" t="s">
        <v>4499</v>
      </c>
      <c r="AD13" s="6">
        <f t="shared" si="1"/>
        <v>52.96</v>
      </c>
      <c r="AE13" s="64">
        <v>60.348996769999999</v>
      </c>
      <c r="AF13" s="17">
        <f t="shared" si="2"/>
        <v>63.552</v>
      </c>
      <c r="AG13" s="6">
        <f t="shared" si="3"/>
        <v>39.229999999999997</v>
      </c>
      <c r="AH13" s="30" t="s">
        <v>110</v>
      </c>
      <c r="AI13" s="3">
        <v>0.65</v>
      </c>
      <c r="AJ13" s="18">
        <v>0.35</v>
      </c>
      <c r="AK13" s="6">
        <f t="shared" si="4"/>
        <v>52.43</v>
      </c>
      <c r="AL13" s="6">
        <f t="shared" si="5"/>
        <v>51.9</v>
      </c>
      <c r="AM13" s="6">
        <f t="shared" si="6"/>
        <v>51.37</v>
      </c>
      <c r="AN13" s="6">
        <f t="shared" si="7"/>
        <v>51.37</v>
      </c>
      <c r="AO13" s="6">
        <f t="shared" si="8"/>
        <v>52.96</v>
      </c>
      <c r="AP13" s="12"/>
      <c r="AQ13" s="12"/>
      <c r="BG13" s="12">
        <v>0.01</v>
      </c>
      <c r="BH13" s="12">
        <v>0.02</v>
      </c>
      <c r="BI13" s="12">
        <v>0.03</v>
      </c>
      <c r="BJ13" s="12">
        <v>0.03</v>
      </c>
      <c r="BQ13"/>
      <c r="BR13"/>
      <c r="BS13"/>
      <c r="BT13"/>
      <c r="BU13"/>
      <c r="BV13"/>
      <c r="BW13"/>
      <c r="BX13"/>
      <c r="BY13"/>
      <c r="BZ13"/>
      <c r="CA13"/>
      <c r="CB13"/>
      <c r="CC13" s="3" t="str">
        <f t="shared" si="9"/>
        <v>Allied-Moulded-AMPOLEMNT8.jpg</v>
      </c>
      <c r="CD13" s="16" t="s">
        <v>111</v>
      </c>
      <c r="CG13" s="3" t="s">
        <v>4492</v>
      </c>
      <c r="CI13" s="3" t="s">
        <v>97</v>
      </c>
      <c r="CJ13" s="3" t="s">
        <v>4493</v>
      </c>
      <c r="CK13" s="79" t="s">
        <v>4500</v>
      </c>
    </row>
    <row r="14" spans="1:89" s="3" customFormat="1" ht="15" customHeight="1">
      <c r="A14" s="3" t="s">
        <v>4501</v>
      </c>
      <c r="B14" s="3" t="s">
        <v>4501</v>
      </c>
      <c r="C14" s="16" t="s">
        <v>97</v>
      </c>
      <c r="D14" s="58" t="s">
        <v>4502</v>
      </c>
      <c r="E14" s="16" t="s">
        <v>97</v>
      </c>
      <c r="F14" s="131" t="s">
        <v>4503</v>
      </c>
      <c r="H14" s="62"/>
      <c r="I14" s="100" t="s">
        <v>342</v>
      </c>
      <c r="J14" s="16" t="s">
        <v>101</v>
      </c>
      <c r="K14" s="16"/>
      <c r="P14" s="3" t="s">
        <v>4504</v>
      </c>
      <c r="Q14" s="3" t="s">
        <v>4504</v>
      </c>
      <c r="R14" s="3" t="s">
        <v>4504</v>
      </c>
      <c r="S14" s="3" t="s">
        <v>4501</v>
      </c>
      <c r="T14" s="131" t="s">
        <v>4490</v>
      </c>
      <c r="U14" s="51">
        <v>2</v>
      </c>
      <c r="V14" s="58"/>
      <c r="W14" s="58"/>
      <c r="X14" s="59" t="s">
        <v>108</v>
      </c>
      <c r="Y14" s="93">
        <f t="shared" si="0"/>
        <v>1</v>
      </c>
      <c r="Z14" s="3">
        <v>0</v>
      </c>
      <c r="AA14" s="3" t="s">
        <v>4505</v>
      </c>
      <c r="AD14" s="6">
        <f t="shared" si="1"/>
        <v>57.62</v>
      </c>
      <c r="AE14" s="64">
        <v>65.666949599999995</v>
      </c>
      <c r="AF14" s="17">
        <f t="shared" si="2"/>
        <v>69.143999999999991</v>
      </c>
      <c r="AG14" s="6">
        <f t="shared" si="3"/>
        <v>42.68</v>
      </c>
      <c r="AH14" s="30" t="s">
        <v>110</v>
      </c>
      <c r="AI14" s="3">
        <v>0.65</v>
      </c>
      <c r="AJ14" s="18">
        <v>0.35</v>
      </c>
      <c r="AK14" s="6">
        <f t="shared" si="4"/>
        <v>57.04</v>
      </c>
      <c r="AL14" s="6">
        <f t="shared" si="5"/>
        <v>56.47</v>
      </c>
      <c r="AM14" s="6">
        <f t="shared" si="6"/>
        <v>55.89</v>
      </c>
      <c r="AN14" s="6">
        <f t="shared" si="7"/>
        <v>55.89</v>
      </c>
      <c r="AO14" s="6">
        <f t="shared" si="8"/>
        <v>57.62</v>
      </c>
      <c r="AP14" s="12"/>
      <c r="AQ14" s="12"/>
      <c r="BG14" s="12">
        <v>0.01</v>
      </c>
      <c r="BH14" s="12">
        <v>0.02</v>
      </c>
      <c r="BI14" s="12">
        <v>0.03</v>
      </c>
      <c r="BJ14" s="12">
        <v>0.03</v>
      </c>
      <c r="BQ14"/>
      <c r="BR14"/>
      <c r="BS14"/>
      <c r="BT14"/>
      <c r="BU14"/>
      <c r="BV14"/>
      <c r="BW14"/>
      <c r="BX14"/>
      <c r="BY14"/>
      <c r="BZ14"/>
      <c r="CA14"/>
      <c r="CB14"/>
      <c r="CC14" s="3" t="str">
        <f t="shared" si="9"/>
        <v>Allied-Moulded-AMPOLEMNT10.jpg</v>
      </c>
      <c r="CD14" s="16" t="s">
        <v>111</v>
      </c>
      <c r="CG14" s="3" t="s">
        <v>4492</v>
      </c>
      <c r="CI14" s="3" t="s">
        <v>97</v>
      </c>
      <c r="CJ14" s="3" t="s">
        <v>4493</v>
      </c>
      <c r="CK14" s="79" t="s">
        <v>4506</v>
      </c>
    </row>
    <row r="15" spans="1:89" s="3" customFormat="1" ht="15" customHeight="1">
      <c r="A15" s="3" t="s">
        <v>4507</v>
      </c>
      <c r="B15" s="3" t="s">
        <v>4507</v>
      </c>
      <c r="C15" s="16" t="s">
        <v>97</v>
      </c>
      <c r="D15" s="54" t="s">
        <v>4508</v>
      </c>
      <c r="E15" s="16" t="s">
        <v>97</v>
      </c>
      <c r="F15" s="131" t="s">
        <v>4509</v>
      </c>
      <c r="H15" s="62"/>
      <c r="I15" s="100" t="s">
        <v>342</v>
      </c>
      <c r="J15" s="16" t="s">
        <v>101</v>
      </c>
      <c r="K15" s="16"/>
      <c r="P15" s="3" t="s">
        <v>4510</v>
      </c>
      <c r="Q15" s="3" t="s">
        <v>4510</v>
      </c>
      <c r="R15" s="3" t="s">
        <v>4510</v>
      </c>
      <c r="S15" s="3" t="s">
        <v>4507</v>
      </c>
      <c r="T15" s="131" t="s">
        <v>4490</v>
      </c>
      <c r="U15" s="50">
        <v>2</v>
      </c>
      <c r="V15" s="54"/>
      <c r="W15" s="54"/>
      <c r="X15" s="59" t="s">
        <v>108</v>
      </c>
      <c r="Y15" s="93">
        <f t="shared" si="0"/>
        <v>1</v>
      </c>
      <c r="Z15" s="3">
        <v>0</v>
      </c>
      <c r="AA15" s="3" t="s">
        <v>4511</v>
      </c>
      <c r="AD15" s="6">
        <f t="shared" si="1"/>
        <v>70.09</v>
      </c>
      <c r="AE15" s="64">
        <v>79.880634419999993</v>
      </c>
      <c r="AF15" s="17">
        <f t="shared" si="2"/>
        <v>84.108000000000004</v>
      </c>
      <c r="AG15" s="6">
        <f t="shared" si="3"/>
        <v>51.92</v>
      </c>
      <c r="AH15" s="30" t="s">
        <v>110</v>
      </c>
      <c r="AI15" s="3">
        <v>0.65</v>
      </c>
      <c r="AJ15" s="18">
        <v>0.35</v>
      </c>
      <c r="AK15" s="6">
        <f t="shared" si="4"/>
        <v>69.39</v>
      </c>
      <c r="AL15" s="6">
        <f t="shared" si="5"/>
        <v>68.69</v>
      </c>
      <c r="AM15" s="6">
        <f t="shared" si="6"/>
        <v>67.989999999999995</v>
      </c>
      <c r="AN15" s="6">
        <f t="shared" si="7"/>
        <v>67.989999999999995</v>
      </c>
      <c r="AO15" s="6">
        <f t="shared" si="8"/>
        <v>70.09</v>
      </c>
      <c r="AP15" s="12"/>
      <c r="AQ15" s="12"/>
      <c r="BG15" s="12">
        <v>0.01</v>
      </c>
      <c r="BH15" s="12">
        <v>0.02</v>
      </c>
      <c r="BI15" s="12">
        <v>0.03</v>
      </c>
      <c r="BJ15" s="12">
        <v>0.03</v>
      </c>
      <c r="BQ15"/>
      <c r="BR15"/>
      <c r="BS15"/>
      <c r="BT15"/>
      <c r="BU15"/>
      <c r="BV15"/>
      <c r="BW15"/>
      <c r="BX15"/>
      <c r="BY15"/>
      <c r="BZ15"/>
      <c r="CA15"/>
      <c r="CB15"/>
      <c r="CC15" s="3" t="str">
        <f t="shared" si="9"/>
        <v>Allied-Moulded-AMPOLEMNT12.jpg</v>
      </c>
      <c r="CD15" s="16" t="s">
        <v>111</v>
      </c>
      <c r="CG15" s="3" t="s">
        <v>4492</v>
      </c>
      <c r="CI15" s="3" t="s">
        <v>97</v>
      </c>
      <c r="CJ15" s="3" t="s">
        <v>4493</v>
      </c>
      <c r="CK15" s="79" t="s">
        <v>4512</v>
      </c>
    </row>
    <row r="16" spans="1:89" s="3" customFormat="1" ht="15" customHeight="1">
      <c r="A16" s="3" t="s">
        <v>4513</v>
      </c>
      <c r="B16" s="3" t="s">
        <v>4513</v>
      </c>
      <c r="C16" s="16" t="s">
        <v>97</v>
      </c>
      <c r="D16" s="58" t="s">
        <v>4514</v>
      </c>
      <c r="E16" s="16" t="s">
        <v>97</v>
      </c>
      <c r="F16" s="131" t="s">
        <v>4515</v>
      </c>
      <c r="H16" s="62"/>
      <c r="I16" s="100" t="s">
        <v>342</v>
      </c>
      <c r="J16" s="16" t="s">
        <v>101</v>
      </c>
      <c r="K16" s="16"/>
      <c r="P16" s="3" t="s">
        <v>4516</v>
      </c>
      <c r="Q16" s="3" t="s">
        <v>4516</v>
      </c>
      <c r="R16" s="3" t="s">
        <v>4516</v>
      </c>
      <c r="S16" s="3" t="s">
        <v>4513</v>
      </c>
      <c r="T16" s="131" t="s">
        <v>4490</v>
      </c>
      <c r="U16" s="51">
        <v>3</v>
      </c>
      <c r="V16" s="58"/>
      <c r="W16" s="58"/>
      <c r="X16" s="59" t="s">
        <v>108</v>
      </c>
      <c r="Y16" s="93">
        <f t="shared" si="0"/>
        <v>1</v>
      </c>
      <c r="Z16" s="3">
        <v>0</v>
      </c>
      <c r="AA16" s="3" t="s">
        <v>4517</v>
      </c>
      <c r="AD16" s="6">
        <f t="shared" si="1"/>
        <v>85.67</v>
      </c>
      <c r="AE16" s="64">
        <v>97.630341169999994</v>
      </c>
      <c r="AF16" s="17">
        <f t="shared" si="2"/>
        <v>102.804</v>
      </c>
      <c r="AG16" s="6">
        <f t="shared" si="3"/>
        <v>63.46</v>
      </c>
      <c r="AH16" s="30" t="s">
        <v>110</v>
      </c>
      <c r="AI16" s="3">
        <v>0.65</v>
      </c>
      <c r="AJ16" s="18">
        <v>0.35</v>
      </c>
      <c r="AK16" s="6">
        <f t="shared" si="4"/>
        <v>84.81</v>
      </c>
      <c r="AL16" s="6">
        <f t="shared" si="5"/>
        <v>83.96</v>
      </c>
      <c r="AM16" s="6">
        <f t="shared" si="6"/>
        <v>83.1</v>
      </c>
      <c r="AN16" s="6">
        <f t="shared" si="7"/>
        <v>83.1</v>
      </c>
      <c r="AO16" s="6">
        <f t="shared" si="8"/>
        <v>85.67</v>
      </c>
      <c r="AP16" s="12"/>
      <c r="AQ16" s="12"/>
      <c r="BG16" s="12">
        <v>0.01</v>
      </c>
      <c r="BH16" s="12">
        <v>0.02</v>
      </c>
      <c r="BI16" s="12">
        <v>0.03</v>
      </c>
      <c r="BJ16" s="12">
        <v>0.03</v>
      </c>
      <c r="BQ16"/>
      <c r="BR16"/>
      <c r="BS16"/>
      <c r="BT16"/>
      <c r="BU16"/>
      <c r="BV16"/>
      <c r="BW16"/>
      <c r="BX16"/>
      <c r="BY16"/>
      <c r="BZ16"/>
      <c r="CA16"/>
      <c r="CB16"/>
      <c r="CC16" s="3" t="str">
        <f t="shared" si="9"/>
        <v>Allied-Moulded-AMPOLEMNT14.jpg</v>
      </c>
      <c r="CD16" s="16" t="s">
        <v>111</v>
      </c>
      <c r="CG16" s="3" t="s">
        <v>4492</v>
      </c>
      <c r="CI16" s="3" t="s">
        <v>97</v>
      </c>
      <c r="CJ16" s="3" t="s">
        <v>4493</v>
      </c>
      <c r="CK16" s="79" t="s">
        <v>4518</v>
      </c>
    </row>
    <row r="17" spans="1:89" s="3" customFormat="1" ht="15" customHeight="1">
      <c r="A17" s="3" t="s">
        <v>4519</v>
      </c>
      <c r="B17" s="3" t="s">
        <v>4519</v>
      </c>
      <c r="C17" s="16" t="s">
        <v>97</v>
      </c>
      <c r="D17" s="54" t="s">
        <v>4520</v>
      </c>
      <c r="E17" s="16" t="s">
        <v>97</v>
      </c>
      <c r="F17" s="131" t="s">
        <v>4521</v>
      </c>
      <c r="H17" s="62"/>
      <c r="I17" s="100" t="s">
        <v>342</v>
      </c>
      <c r="J17" s="16" t="s">
        <v>101</v>
      </c>
      <c r="K17" s="16"/>
      <c r="P17" s="3" t="s">
        <v>4522</v>
      </c>
      <c r="Q17" s="3" t="s">
        <v>4522</v>
      </c>
      <c r="R17" s="3" t="s">
        <v>4522</v>
      </c>
      <c r="S17" s="3" t="s">
        <v>4519</v>
      </c>
      <c r="T17" s="131" t="s">
        <v>4490</v>
      </c>
      <c r="U17" s="50">
        <v>3</v>
      </c>
      <c r="V17" s="54"/>
      <c r="W17" s="54"/>
      <c r="X17" s="59" t="s">
        <v>108</v>
      </c>
      <c r="Y17" s="93">
        <f t="shared" si="0"/>
        <v>1</v>
      </c>
      <c r="Z17" s="3">
        <v>0</v>
      </c>
      <c r="AA17" s="3" t="s">
        <v>4523</v>
      </c>
      <c r="AD17" s="6">
        <f t="shared" si="1"/>
        <v>90.36</v>
      </c>
      <c r="AE17" s="64">
        <v>102.96221239</v>
      </c>
      <c r="AF17" s="17">
        <f t="shared" si="2"/>
        <v>108.432</v>
      </c>
      <c r="AG17" s="6">
        <f t="shared" si="3"/>
        <v>66.930000000000007</v>
      </c>
      <c r="AH17" s="30" t="s">
        <v>110</v>
      </c>
      <c r="AI17" s="3">
        <v>0.65</v>
      </c>
      <c r="AJ17" s="18">
        <v>0.35</v>
      </c>
      <c r="AK17" s="6">
        <f t="shared" si="4"/>
        <v>89.46</v>
      </c>
      <c r="AL17" s="6">
        <f t="shared" si="5"/>
        <v>88.55</v>
      </c>
      <c r="AM17" s="6">
        <f t="shared" si="6"/>
        <v>87.65</v>
      </c>
      <c r="AN17" s="6">
        <f t="shared" si="7"/>
        <v>87.65</v>
      </c>
      <c r="AO17" s="6">
        <f t="shared" si="8"/>
        <v>90.36</v>
      </c>
      <c r="AP17" s="12"/>
      <c r="AQ17" s="12"/>
      <c r="BG17" s="12">
        <v>0.01</v>
      </c>
      <c r="BH17" s="12">
        <v>0.02</v>
      </c>
      <c r="BI17" s="12">
        <v>0.03</v>
      </c>
      <c r="BJ17" s="12">
        <v>0.03</v>
      </c>
      <c r="BQ17"/>
      <c r="BR17"/>
      <c r="BS17"/>
      <c r="BT17"/>
      <c r="BU17"/>
      <c r="BV17"/>
      <c r="BW17"/>
      <c r="BX17"/>
      <c r="BY17"/>
      <c r="BZ17"/>
      <c r="CA17"/>
      <c r="CB17"/>
      <c r="CC17" s="3" t="str">
        <f t="shared" si="9"/>
        <v>Allied-Moulded-AMPOLEMNT16.jpg</v>
      </c>
      <c r="CD17" s="16" t="s">
        <v>111</v>
      </c>
      <c r="CG17" s="3" t="s">
        <v>4492</v>
      </c>
      <c r="CI17" s="3" t="s">
        <v>97</v>
      </c>
      <c r="CJ17" s="3" t="s">
        <v>4493</v>
      </c>
      <c r="CK17" s="79" t="s">
        <v>4524</v>
      </c>
    </row>
    <row r="18" spans="1:89" s="3" customFormat="1" ht="15" customHeight="1">
      <c r="A18" s="3" t="s">
        <v>4525</v>
      </c>
      <c r="B18" s="3" t="s">
        <v>4525</v>
      </c>
      <c r="C18" s="16" t="s">
        <v>97</v>
      </c>
      <c r="D18" s="76" t="s">
        <v>4526</v>
      </c>
      <c r="E18" s="16" t="s">
        <v>97</v>
      </c>
      <c r="F18" s="131" t="s">
        <v>4527</v>
      </c>
      <c r="H18" s="62"/>
      <c r="I18" s="100" t="s">
        <v>342</v>
      </c>
      <c r="J18" s="16" t="s">
        <v>101</v>
      </c>
      <c r="K18" s="16"/>
      <c r="P18" s="3" t="s">
        <v>4528</v>
      </c>
      <c r="Q18" s="3" t="s">
        <v>4528</v>
      </c>
      <c r="R18" s="3" t="s">
        <v>4528</v>
      </c>
      <c r="S18" s="3" t="s">
        <v>4525</v>
      </c>
      <c r="T18" s="131" t="s">
        <v>4490</v>
      </c>
      <c r="U18" s="49">
        <v>4</v>
      </c>
      <c r="V18" s="58"/>
      <c r="W18" s="58"/>
      <c r="X18" s="59" t="s">
        <v>108</v>
      </c>
      <c r="Y18" s="93">
        <f t="shared" si="0"/>
        <v>1</v>
      </c>
      <c r="Z18" s="3">
        <v>0</v>
      </c>
      <c r="AA18" s="3" t="s">
        <v>4529</v>
      </c>
      <c r="AD18" s="6">
        <f t="shared" si="1"/>
        <v>98.15</v>
      </c>
      <c r="AE18" s="63">
        <v>111.84402496</v>
      </c>
      <c r="AF18" s="17">
        <f t="shared" si="2"/>
        <v>117.78</v>
      </c>
      <c r="AG18" s="6">
        <f t="shared" si="3"/>
        <v>72.7</v>
      </c>
      <c r="AH18" s="30" t="s">
        <v>110</v>
      </c>
      <c r="AI18" s="3">
        <v>0.65</v>
      </c>
      <c r="AJ18" s="18">
        <v>0.35</v>
      </c>
      <c r="AK18" s="6">
        <f t="shared" si="4"/>
        <v>97.17</v>
      </c>
      <c r="AL18" s="6">
        <f t="shared" si="5"/>
        <v>96.19</v>
      </c>
      <c r="AM18" s="6">
        <f t="shared" si="6"/>
        <v>95.21</v>
      </c>
      <c r="AN18" s="6">
        <f t="shared" si="7"/>
        <v>95.21</v>
      </c>
      <c r="AO18" s="6">
        <f t="shared" si="8"/>
        <v>98.15</v>
      </c>
      <c r="AP18" s="12"/>
      <c r="AQ18" s="12"/>
      <c r="BG18" s="12">
        <v>0.01</v>
      </c>
      <c r="BH18" s="12">
        <v>0.02</v>
      </c>
      <c r="BI18" s="12">
        <v>0.03</v>
      </c>
      <c r="BJ18" s="12">
        <v>0.03</v>
      </c>
      <c r="BQ18"/>
      <c r="BR18"/>
      <c r="BS18"/>
      <c r="BT18"/>
      <c r="BU18"/>
      <c r="BV18"/>
      <c r="BW18"/>
      <c r="BX18"/>
      <c r="BY18"/>
      <c r="BZ18"/>
      <c r="CA18"/>
      <c r="CB18"/>
      <c r="CC18" s="3" t="str">
        <f t="shared" si="9"/>
        <v>Allied-Moulded-AMPOLEMNT20.jpg</v>
      </c>
      <c r="CD18" s="16" t="s">
        <v>111</v>
      </c>
      <c r="CG18" s="3" t="s">
        <v>4492</v>
      </c>
      <c r="CI18" s="3" t="s">
        <v>97</v>
      </c>
      <c r="CJ18" s="3" t="s">
        <v>4493</v>
      </c>
      <c r="CK18" s="79" t="s">
        <v>4530</v>
      </c>
    </row>
    <row r="19" spans="1:89" s="3" customFormat="1" ht="15" customHeight="1">
      <c r="A19" s="3" t="s">
        <v>4531</v>
      </c>
      <c r="B19" s="3" t="s">
        <v>4531</v>
      </c>
      <c r="C19" s="16" t="s">
        <v>97</v>
      </c>
      <c r="D19" s="54" t="s">
        <v>4532</v>
      </c>
      <c r="E19" s="16" t="s">
        <v>97</v>
      </c>
      <c r="F19" s="131" t="s">
        <v>4533</v>
      </c>
      <c r="H19" s="62"/>
      <c r="I19" s="100" t="s">
        <v>342</v>
      </c>
      <c r="J19" s="16" t="s">
        <v>101</v>
      </c>
      <c r="K19" s="16"/>
      <c r="P19" s="3" t="s">
        <v>4534</v>
      </c>
      <c r="Q19" s="3" t="s">
        <v>4534</v>
      </c>
      <c r="R19" s="3" t="s">
        <v>4534</v>
      </c>
      <c r="S19" s="3" t="s">
        <v>4531</v>
      </c>
      <c r="T19" s="131" t="s">
        <v>4490</v>
      </c>
      <c r="U19" s="50">
        <v>5</v>
      </c>
      <c r="V19" s="54"/>
      <c r="W19" s="54"/>
      <c r="X19" s="59" t="s">
        <v>108</v>
      </c>
      <c r="Y19" s="93">
        <f t="shared" si="0"/>
        <v>1</v>
      </c>
      <c r="Z19" s="3">
        <v>0</v>
      </c>
      <c r="AA19" s="3" t="s">
        <v>4535</v>
      </c>
      <c r="AC19" s="62"/>
      <c r="AD19" s="6">
        <f t="shared" si="1"/>
        <v>109.03</v>
      </c>
      <c r="AE19" s="64">
        <v>124.24793798000002</v>
      </c>
      <c r="AF19" s="17">
        <f t="shared" si="2"/>
        <v>130.83599999999998</v>
      </c>
      <c r="AG19" s="6">
        <f t="shared" si="3"/>
        <v>80.760000000000005</v>
      </c>
      <c r="AH19" s="30" t="s">
        <v>110</v>
      </c>
      <c r="AI19" s="3">
        <v>0.65</v>
      </c>
      <c r="AJ19" s="18">
        <v>0.35</v>
      </c>
      <c r="AK19" s="6">
        <f t="shared" si="4"/>
        <v>107.94</v>
      </c>
      <c r="AL19" s="6">
        <f t="shared" si="5"/>
        <v>106.85</v>
      </c>
      <c r="AM19" s="6">
        <f t="shared" si="6"/>
        <v>105.76</v>
      </c>
      <c r="AN19" s="6">
        <f t="shared" si="7"/>
        <v>105.76</v>
      </c>
      <c r="AO19" s="6">
        <f t="shared" si="8"/>
        <v>109.03</v>
      </c>
      <c r="AP19" s="12"/>
      <c r="AQ19" s="12"/>
      <c r="BG19" s="12">
        <v>0.01</v>
      </c>
      <c r="BH19" s="12">
        <v>0.02</v>
      </c>
      <c r="BI19" s="12">
        <v>0.03</v>
      </c>
      <c r="BJ19" s="12">
        <v>0.03</v>
      </c>
      <c r="BQ19"/>
      <c r="BR19"/>
      <c r="BS19"/>
      <c r="BT19"/>
      <c r="BU19"/>
      <c r="BV19"/>
      <c r="BW19"/>
      <c r="BX19"/>
      <c r="BY19"/>
      <c r="BZ19"/>
      <c r="CA19"/>
      <c r="CB19"/>
      <c r="CC19" s="3" t="str">
        <f t="shared" si="9"/>
        <v>Allied-Moulded-AMPOLEMNT24.jpg</v>
      </c>
      <c r="CD19" s="16" t="s">
        <v>111</v>
      </c>
      <c r="CG19" s="3" t="s">
        <v>4492</v>
      </c>
      <c r="CI19" s="3" t="s">
        <v>97</v>
      </c>
      <c r="CJ19" s="3" t="s">
        <v>4493</v>
      </c>
      <c r="CK19" s="79" t="s">
        <v>4536</v>
      </c>
    </row>
    <row r="20" spans="1:89" s="3" customFormat="1" ht="15" customHeight="1">
      <c r="A20" s="3" t="s">
        <v>4537</v>
      </c>
      <c r="B20" s="3" t="s">
        <v>4537</v>
      </c>
      <c r="C20" s="16" t="s">
        <v>97</v>
      </c>
      <c r="D20" s="76" t="s">
        <v>4538</v>
      </c>
      <c r="E20" s="16" t="s">
        <v>97</v>
      </c>
      <c r="F20" s="131" t="s">
        <v>4539</v>
      </c>
      <c r="H20" s="62"/>
      <c r="I20" s="100" t="s">
        <v>342</v>
      </c>
      <c r="J20" s="16" t="s">
        <v>101</v>
      </c>
      <c r="K20" s="16"/>
      <c r="P20" s="3" t="s">
        <v>4540</v>
      </c>
      <c r="Q20" s="3" t="s">
        <v>4540</v>
      </c>
      <c r="R20" s="3" t="s">
        <v>4540</v>
      </c>
      <c r="S20" s="3" t="s">
        <v>4537</v>
      </c>
      <c r="T20" s="131" t="s">
        <v>4490</v>
      </c>
      <c r="U20" s="33">
        <v>11</v>
      </c>
      <c r="V20" s="40"/>
      <c r="W20" s="40"/>
      <c r="X20" s="59" t="s">
        <v>108</v>
      </c>
      <c r="Y20" s="93">
        <f t="shared" si="0"/>
        <v>1</v>
      </c>
      <c r="Z20" s="3">
        <v>0</v>
      </c>
      <c r="AA20" s="3" t="s">
        <v>4541</v>
      </c>
      <c r="AD20" s="6">
        <f t="shared" si="1"/>
        <v>219.89</v>
      </c>
      <c r="AE20" s="63">
        <v>250.58144880000003</v>
      </c>
      <c r="AF20" s="17">
        <f t="shared" si="2"/>
        <v>263.86799999999999</v>
      </c>
      <c r="AG20" s="6">
        <f t="shared" si="3"/>
        <v>162.88</v>
      </c>
      <c r="AH20" s="30" t="s">
        <v>110</v>
      </c>
      <c r="AI20" s="3">
        <v>0.65</v>
      </c>
      <c r="AJ20" s="18">
        <v>0.35</v>
      </c>
      <c r="AK20" s="6">
        <f t="shared" si="4"/>
        <v>217.69</v>
      </c>
      <c r="AL20" s="6">
        <f t="shared" si="5"/>
        <v>215.49</v>
      </c>
      <c r="AM20" s="6">
        <f t="shared" si="6"/>
        <v>213.29</v>
      </c>
      <c r="AN20" s="6">
        <f t="shared" si="7"/>
        <v>213.29</v>
      </c>
      <c r="AO20" s="6">
        <f t="shared" si="8"/>
        <v>219.89</v>
      </c>
      <c r="AP20" s="12"/>
      <c r="AQ20" s="12"/>
      <c r="BG20" s="12">
        <v>0.01</v>
      </c>
      <c r="BH20" s="12">
        <v>0.02</v>
      </c>
      <c r="BI20" s="12">
        <v>0.03</v>
      </c>
      <c r="BJ20" s="12">
        <v>0.03</v>
      </c>
      <c r="BQ20"/>
      <c r="BR20"/>
      <c r="BS20"/>
      <c r="BT20"/>
      <c r="BU20"/>
      <c r="BV20"/>
      <c r="BW20"/>
      <c r="BX20"/>
      <c r="BY20"/>
      <c r="BZ20"/>
      <c r="CA20"/>
      <c r="CB20"/>
      <c r="CC20" s="3" t="str">
        <f t="shared" si="9"/>
        <v>Allied-Moulded-AMPOLEMNTEMP.jpg</v>
      </c>
      <c r="CD20" s="16" t="s">
        <v>111</v>
      </c>
      <c r="CG20" s="3" t="s">
        <v>4492</v>
      </c>
      <c r="CI20" s="3" t="s">
        <v>97</v>
      </c>
      <c r="CJ20" s="3" t="s">
        <v>4493</v>
      </c>
      <c r="CK20" s="3" t="s">
        <v>4542</v>
      </c>
    </row>
    <row r="21" spans="1:89" s="3" customFormat="1" ht="15" customHeight="1">
      <c r="A21" s="3" t="s">
        <v>4543</v>
      </c>
      <c r="B21" s="3" t="s">
        <v>4543</v>
      </c>
      <c r="C21" s="16" t="s">
        <v>97</v>
      </c>
      <c r="D21" s="58" t="s">
        <v>4544</v>
      </c>
      <c r="E21" s="16" t="s">
        <v>97</v>
      </c>
      <c r="F21" s="131" t="s">
        <v>4545</v>
      </c>
      <c r="H21" s="62"/>
      <c r="I21" s="100" t="s">
        <v>342</v>
      </c>
      <c r="J21" s="16" t="s">
        <v>101</v>
      </c>
      <c r="K21" s="16"/>
      <c r="P21" s="3" t="s">
        <v>4546</v>
      </c>
      <c r="Q21" s="3" t="s">
        <v>4546</v>
      </c>
      <c r="R21" s="3" t="s">
        <v>4546</v>
      </c>
      <c r="S21" s="3" t="s">
        <v>4543</v>
      </c>
      <c r="T21" s="131" t="s">
        <v>4547</v>
      </c>
      <c r="U21" s="51">
        <v>1</v>
      </c>
      <c r="V21" s="58"/>
      <c r="W21" s="58"/>
      <c r="X21" s="59" t="s">
        <v>108</v>
      </c>
      <c r="Y21" s="93">
        <f t="shared" si="0"/>
        <v>1</v>
      </c>
      <c r="Z21" s="3">
        <v>0</v>
      </c>
      <c r="AA21" s="3" t="s">
        <v>4548</v>
      </c>
      <c r="AD21" s="6">
        <f t="shared" si="1"/>
        <v>19.829999999999998</v>
      </c>
      <c r="AE21" s="64">
        <v>22.60075337</v>
      </c>
      <c r="AF21" s="17">
        <f t="shared" si="2"/>
        <v>23.795999999999996</v>
      </c>
      <c r="AG21" s="6">
        <f t="shared" si="3"/>
        <v>14.69</v>
      </c>
      <c r="AH21" s="30" t="s">
        <v>110</v>
      </c>
      <c r="AI21" s="3">
        <v>0.65</v>
      </c>
      <c r="AJ21" s="18">
        <v>0.35</v>
      </c>
      <c r="AK21" s="6">
        <f t="shared" si="4"/>
        <v>19.63</v>
      </c>
      <c r="AL21" s="6">
        <f t="shared" si="5"/>
        <v>19.43</v>
      </c>
      <c r="AM21" s="6">
        <f t="shared" si="6"/>
        <v>19.239999999999998</v>
      </c>
      <c r="AN21" s="6">
        <f t="shared" si="7"/>
        <v>19.239999999999998</v>
      </c>
      <c r="AO21" s="6">
        <f t="shared" si="8"/>
        <v>19.829999999999998</v>
      </c>
      <c r="AP21" s="12"/>
      <c r="AQ21" s="12"/>
      <c r="BG21" s="12">
        <v>0.01</v>
      </c>
      <c r="BH21" s="12">
        <v>0.02</v>
      </c>
      <c r="BI21" s="12">
        <v>0.03</v>
      </c>
      <c r="BJ21" s="12">
        <v>0.03</v>
      </c>
      <c r="BQ21"/>
      <c r="BR21"/>
      <c r="BS21"/>
      <c r="BT21"/>
      <c r="BU21"/>
      <c r="BV21"/>
      <c r="BW21"/>
      <c r="BX21"/>
      <c r="BY21"/>
      <c r="BZ21"/>
      <c r="CA21"/>
      <c r="CB21"/>
      <c r="CC21" s="3" t="str">
        <f t="shared" si="9"/>
        <v>Allied-Moulded-LLK-H316.jpg</v>
      </c>
      <c r="CD21" s="16" t="s">
        <v>111</v>
      </c>
      <c r="CG21" s="3" t="s">
        <v>4549</v>
      </c>
      <c r="CI21" s="3" t="s">
        <v>97</v>
      </c>
      <c r="CJ21" s="3" t="s">
        <v>4550</v>
      </c>
      <c r="CK21" s="3" t="s">
        <v>4551</v>
      </c>
    </row>
    <row r="22" spans="1:89" s="3" customFormat="1" ht="15" customHeight="1">
      <c r="A22" s="3" t="s">
        <v>4552</v>
      </c>
      <c r="B22" s="3" t="s">
        <v>4552</v>
      </c>
      <c r="C22" s="16" t="s">
        <v>97</v>
      </c>
      <c r="D22" s="77" t="s">
        <v>4553</v>
      </c>
      <c r="E22" s="16" t="s">
        <v>97</v>
      </c>
      <c r="F22" s="131" t="s">
        <v>4554</v>
      </c>
      <c r="H22" s="62"/>
      <c r="I22" s="100" t="s">
        <v>342</v>
      </c>
      <c r="J22" s="16" t="s">
        <v>101</v>
      </c>
      <c r="K22" s="16"/>
      <c r="P22" s="3" t="s">
        <v>4555</v>
      </c>
      <c r="Q22" s="3" t="s">
        <v>4555</v>
      </c>
      <c r="R22" s="3" t="s">
        <v>4555</v>
      </c>
      <c r="S22" s="3" t="s">
        <v>4552</v>
      </c>
      <c r="T22" s="131" t="s">
        <v>4556</v>
      </c>
      <c r="U22" s="52">
        <v>1</v>
      </c>
      <c r="V22" s="54"/>
      <c r="W22" s="54"/>
      <c r="X22" s="59" t="s">
        <v>108</v>
      </c>
      <c r="Y22" s="93">
        <f t="shared" si="0"/>
        <v>1</v>
      </c>
      <c r="Z22" s="3">
        <v>0</v>
      </c>
      <c r="AA22" s="3" t="s">
        <v>4557</v>
      </c>
      <c r="AD22" s="6">
        <f t="shared" si="1"/>
        <v>22.55</v>
      </c>
      <c r="AE22" s="63">
        <v>25.696571840000001</v>
      </c>
      <c r="AF22" s="17">
        <f t="shared" si="2"/>
        <v>27.06</v>
      </c>
      <c r="AG22" s="6">
        <f t="shared" si="3"/>
        <v>16.7</v>
      </c>
      <c r="AH22" s="30" t="s">
        <v>110</v>
      </c>
      <c r="AI22" s="3">
        <v>0.65</v>
      </c>
      <c r="AJ22" s="18">
        <v>0.35</v>
      </c>
      <c r="AK22" s="6">
        <f t="shared" si="4"/>
        <v>22.32</v>
      </c>
      <c r="AL22" s="6">
        <f t="shared" si="5"/>
        <v>22.1</v>
      </c>
      <c r="AM22" s="6">
        <f t="shared" si="6"/>
        <v>21.87</v>
      </c>
      <c r="AN22" s="6">
        <f t="shared" si="7"/>
        <v>21.87</v>
      </c>
      <c r="AO22" s="6">
        <f t="shared" si="8"/>
        <v>22.55</v>
      </c>
      <c r="AP22" s="12"/>
      <c r="AQ22" s="12"/>
      <c r="BG22" s="12">
        <v>0.01</v>
      </c>
      <c r="BH22" s="12">
        <v>0.02</v>
      </c>
      <c r="BI22" s="12">
        <v>0.03</v>
      </c>
      <c r="BJ22" s="12">
        <v>0.03</v>
      </c>
      <c r="BQ22"/>
      <c r="BR22"/>
      <c r="BS22"/>
      <c r="BT22"/>
      <c r="BU22"/>
      <c r="BV22"/>
      <c r="BW22"/>
      <c r="BX22"/>
      <c r="BY22"/>
      <c r="BZ22"/>
      <c r="CA22"/>
      <c r="CB22"/>
      <c r="CC22" s="3" t="str">
        <f t="shared" si="9"/>
        <v>Allied-Moulded-LTK-H316.jpg</v>
      </c>
      <c r="CD22" s="16" t="s">
        <v>111</v>
      </c>
      <c r="CG22" s="3" t="s">
        <v>4558</v>
      </c>
      <c r="CI22" s="3" t="s">
        <v>97</v>
      </c>
      <c r="CJ22" s="3" t="s">
        <v>4550</v>
      </c>
      <c r="CK22" s="3" t="s">
        <v>4551</v>
      </c>
    </row>
    <row r="23" spans="1:89" s="3" customFormat="1" ht="15" customHeight="1">
      <c r="A23" s="3" t="s">
        <v>4559</v>
      </c>
      <c r="B23" s="3" t="s">
        <v>4559</v>
      </c>
      <c r="C23" s="16" t="s">
        <v>97</v>
      </c>
      <c r="D23" s="54" t="s">
        <v>4560</v>
      </c>
      <c r="E23" s="16" t="s">
        <v>97</v>
      </c>
      <c r="F23" s="131" t="s">
        <v>4561</v>
      </c>
      <c r="H23" s="62"/>
      <c r="I23" s="100" t="s">
        <v>342</v>
      </c>
      <c r="J23" s="16" t="s">
        <v>101</v>
      </c>
      <c r="K23" s="16"/>
      <c r="P23" s="3" t="s">
        <v>4562</v>
      </c>
      <c r="Q23" s="3" t="s">
        <v>4562</v>
      </c>
      <c r="R23" s="3" t="s">
        <v>4562</v>
      </c>
      <c r="S23" s="3" t="s">
        <v>4559</v>
      </c>
      <c r="T23" s="131" t="s">
        <v>4563</v>
      </c>
      <c r="U23" s="50">
        <v>1</v>
      </c>
      <c r="V23" s="54"/>
      <c r="W23" s="54"/>
      <c r="X23" s="59" t="s">
        <v>108</v>
      </c>
      <c r="Y23" s="93">
        <f t="shared" si="0"/>
        <v>1</v>
      </c>
      <c r="Z23" s="3">
        <v>0</v>
      </c>
      <c r="AA23" s="3" t="s">
        <v>4564</v>
      </c>
      <c r="AD23" s="6">
        <f t="shared" si="1"/>
        <v>21.95</v>
      </c>
      <c r="AE23" s="64">
        <v>25.021352249999996</v>
      </c>
      <c r="AF23" s="17">
        <f t="shared" si="2"/>
        <v>26.34</v>
      </c>
      <c r="AG23" s="6">
        <f t="shared" si="3"/>
        <v>16.260000000000002</v>
      </c>
      <c r="AH23" s="30" t="s">
        <v>110</v>
      </c>
      <c r="AI23" s="3">
        <v>0.65</v>
      </c>
      <c r="AJ23" s="18">
        <v>0.35</v>
      </c>
      <c r="AK23" s="6">
        <f t="shared" si="4"/>
        <v>21.73</v>
      </c>
      <c r="AL23" s="6">
        <f t="shared" si="5"/>
        <v>21.51</v>
      </c>
      <c r="AM23" s="6">
        <f t="shared" si="6"/>
        <v>21.29</v>
      </c>
      <c r="AN23" s="6">
        <f t="shared" si="7"/>
        <v>21.29</v>
      </c>
      <c r="AO23" s="6">
        <f t="shared" si="8"/>
        <v>21.95</v>
      </c>
      <c r="AP23" s="12"/>
      <c r="AQ23" s="12"/>
      <c r="BG23" s="12">
        <v>0.01</v>
      </c>
      <c r="BH23" s="12">
        <v>0.02</v>
      </c>
      <c r="BI23" s="12">
        <v>0.03</v>
      </c>
      <c r="BJ23" s="12">
        <v>0.03</v>
      </c>
      <c r="BQ23"/>
      <c r="BR23"/>
      <c r="BS23"/>
      <c r="BT23"/>
      <c r="BU23"/>
      <c r="BV23"/>
      <c r="BW23"/>
      <c r="BX23"/>
      <c r="BY23"/>
      <c r="BZ23"/>
      <c r="CA23"/>
      <c r="CB23"/>
      <c r="CC23" s="3" t="str">
        <f t="shared" si="9"/>
        <v>Allied-Moulded-LLKR-H316.jpg</v>
      </c>
      <c r="CD23" s="16" t="s">
        <v>111</v>
      </c>
      <c r="CG23" s="3" t="s">
        <v>4549</v>
      </c>
      <c r="CI23" s="3" t="s">
        <v>97</v>
      </c>
      <c r="CJ23" s="3" t="s">
        <v>4550</v>
      </c>
      <c r="CK23" s="3" t="s">
        <v>4565</v>
      </c>
    </row>
    <row r="24" spans="1:89" s="3" customFormat="1" ht="15" customHeight="1">
      <c r="A24" s="3" t="s">
        <v>4566</v>
      </c>
      <c r="B24" s="3" t="s">
        <v>4566</v>
      </c>
      <c r="C24" s="16" t="s">
        <v>97</v>
      </c>
      <c r="D24" s="58" t="s">
        <v>4567</v>
      </c>
      <c r="E24" s="16" t="s">
        <v>97</v>
      </c>
      <c r="F24" s="131" t="s">
        <v>4568</v>
      </c>
      <c r="H24" s="62"/>
      <c r="I24" s="100" t="s">
        <v>342</v>
      </c>
      <c r="J24" s="16" t="s">
        <v>101</v>
      </c>
      <c r="K24" s="16"/>
      <c r="P24" s="3" t="s">
        <v>4569</v>
      </c>
      <c r="Q24" s="3" t="s">
        <v>4569</v>
      </c>
      <c r="R24" s="3" t="s">
        <v>4569</v>
      </c>
      <c r="S24" s="3" t="s">
        <v>4566</v>
      </c>
      <c r="T24" s="131" t="s">
        <v>4570</v>
      </c>
      <c r="U24" s="51">
        <v>1</v>
      </c>
      <c r="V24" s="58"/>
      <c r="W24" s="58"/>
      <c r="X24" s="59" t="s">
        <v>108</v>
      </c>
      <c r="Y24" s="93">
        <f t="shared" si="0"/>
        <v>1</v>
      </c>
      <c r="Z24" s="3">
        <v>0</v>
      </c>
      <c r="AA24" s="3" t="s">
        <v>4571</v>
      </c>
      <c r="AD24" s="6">
        <f t="shared" si="1"/>
        <v>25.65</v>
      </c>
      <c r="AE24" s="64">
        <v>29.2382907</v>
      </c>
      <c r="AF24" s="17">
        <f t="shared" si="2"/>
        <v>30.779999999999998</v>
      </c>
      <c r="AG24" s="6">
        <f t="shared" si="3"/>
        <v>19</v>
      </c>
      <c r="AH24" s="30" t="s">
        <v>110</v>
      </c>
      <c r="AI24" s="3">
        <v>0.65</v>
      </c>
      <c r="AJ24" s="18">
        <v>0.35</v>
      </c>
      <c r="AK24" s="6">
        <f t="shared" si="4"/>
        <v>25.39</v>
      </c>
      <c r="AL24" s="6">
        <f t="shared" si="5"/>
        <v>25.14</v>
      </c>
      <c r="AM24" s="6">
        <f t="shared" si="6"/>
        <v>24.88</v>
      </c>
      <c r="AN24" s="6">
        <f t="shared" si="7"/>
        <v>24.88</v>
      </c>
      <c r="AO24" s="6">
        <f t="shared" si="8"/>
        <v>25.65</v>
      </c>
      <c r="AP24" s="12"/>
      <c r="AQ24" s="12"/>
      <c r="BG24" s="12">
        <v>0.01</v>
      </c>
      <c r="BH24" s="12">
        <v>0.02</v>
      </c>
      <c r="BI24" s="12">
        <v>0.03</v>
      </c>
      <c r="BJ24" s="12">
        <v>0.03</v>
      </c>
      <c r="BQ24"/>
      <c r="BR24"/>
      <c r="BS24"/>
      <c r="BT24"/>
      <c r="BU24"/>
      <c r="BV24"/>
      <c r="BW24"/>
      <c r="BX24"/>
      <c r="BY24"/>
      <c r="BZ24"/>
      <c r="CA24"/>
      <c r="CB24"/>
      <c r="CC24" s="3" t="str">
        <f t="shared" si="9"/>
        <v>Allied-Moulded-LTKR-H316.jpg</v>
      </c>
      <c r="CD24" s="16" t="s">
        <v>111</v>
      </c>
      <c r="CG24" s="3" t="s">
        <v>4558</v>
      </c>
      <c r="CI24" s="3" t="s">
        <v>97</v>
      </c>
      <c r="CJ24" s="3" t="s">
        <v>4550</v>
      </c>
      <c r="CK24" s="3" t="s">
        <v>4565</v>
      </c>
    </row>
    <row r="25" spans="1:89" s="3" customFormat="1" ht="15" customHeight="1">
      <c r="A25" s="3" t="s">
        <v>4572</v>
      </c>
      <c r="B25" s="3" t="s">
        <v>4572</v>
      </c>
      <c r="C25" s="16" t="s">
        <v>97</v>
      </c>
      <c r="D25" s="77" t="s">
        <v>4573</v>
      </c>
      <c r="E25" s="16" t="s">
        <v>97</v>
      </c>
      <c r="F25" s="131" t="s">
        <v>4574</v>
      </c>
      <c r="H25" s="62"/>
      <c r="I25" s="100" t="s">
        <v>342</v>
      </c>
      <c r="J25" s="16" t="s">
        <v>101</v>
      </c>
      <c r="K25" s="16"/>
      <c r="P25" s="3" t="s">
        <v>4575</v>
      </c>
      <c r="Q25" s="3" t="s">
        <v>4575</v>
      </c>
      <c r="R25" s="3" t="s">
        <v>4575</v>
      </c>
      <c r="S25" s="3" t="s">
        <v>4572</v>
      </c>
      <c r="T25" s="131" t="s">
        <v>4576</v>
      </c>
      <c r="U25" s="52">
        <v>1</v>
      </c>
      <c r="V25" s="54"/>
      <c r="W25" s="54"/>
      <c r="X25" s="59" t="s">
        <v>108</v>
      </c>
      <c r="Y25" s="93">
        <f t="shared" si="0"/>
        <v>1</v>
      </c>
      <c r="Z25" s="3">
        <v>0</v>
      </c>
      <c r="AA25" s="3" t="s">
        <v>4577</v>
      </c>
      <c r="AD25" s="6">
        <f t="shared" si="1"/>
        <v>9.68</v>
      </c>
      <c r="AE25" s="63">
        <v>11.026105710000001</v>
      </c>
      <c r="AF25" s="17">
        <f t="shared" si="2"/>
        <v>11.616</v>
      </c>
      <c r="AG25" s="6">
        <f t="shared" si="3"/>
        <v>7.17</v>
      </c>
      <c r="AH25" s="30" t="s">
        <v>110</v>
      </c>
      <c r="AI25" s="3">
        <v>0.65</v>
      </c>
      <c r="AJ25" s="18">
        <v>0.35</v>
      </c>
      <c r="AK25" s="6">
        <f t="shared" si="4"/>
        <v>9.58</v>
      </c>
      <c r="AL25" s="6">
        <f t="shared" si="5"/>
        <v>9.49</v>
      </c>
      <c r="AM25" s="6">
        <f t="shared" si="6"/>
        <v>9.39</v>
      </c>
      <c r="AN25" s="6">
        <f t="shared" si="7"/>
        <v>9.39</v>
      </c>
      <c r="AO25" s="6">
        <f t="shared" si="8"/>
        <v>9.68</v>
      </c>
      <c r="AP25" s="12"/>
      <c r="AQ25" s="12"/>
      <c r="BG25" s="12">
        <v>0.01</v>
      </c>
      <c r="BH25" s="12">
        <v>0.02</v>
      </c>
      <c r="BI25" s="12">
        <v>0.03</v>
      </c>
      <c r="BJ25" s="12">
        <v>0.03</v>
      </c>
      <c r="BQ25"/>
      <c r="BR25"/>
      <c r="BS25"/>
      <c r="BT25"/>
      <c r="BU25"/>
      <c r="BV25"/>
      <c r="BW25"/>
      <c r="BX25"/>
      <c r="BY25"/>
      <c r="BZ25"/>
      <c r="CA25"/>
      <c r="CB25"/>
      <c r="CC25" s="3" t="str">
        <f t="shared" si="9"/>
        <v>Allied-Moulded-LLPN-H.jpg</v>
      </c>
      <c r="CD25" s="16" t="s">
        <v>111</v>
      </c>
      <c r="CG25" s="3" t="s">
        <v>4549</v>
      </c>
      <c r="CI25" s="3" t="s">
        <v>97</v>
      </c>
      <c r="CJ25" s="3" t="s">
        <v>482</v>
      </c>
      <c r="CK25" s="3" t="s">
        <v>4578</v>
      </c>
    </row>
    <row r="26" spans="1:89" s="3" customFormat="1" ht="15" customHeight="1">
      <c r="A26" s="3" t="s">
        <v>4579</v>
      </c>
      <c r="B26" s="3" t="s">
        <v>4579</v>
      </c>
      <c r="C26" s="16" t="s">
        <v>97</v>
      </c>
      <c r="D26" s="76" t="s">
        <v>4580</v>
      </c>
      <c r="E26" s="16" t="s">
        <v>97</v>
      </c>
      <c r="F26" s="131" t="s">
        <v>4581</v>
      </c>
      <c r="H26" s="62"/>
      <c r="I26" s="100" t="s">
        <v>342</v>
      </c>
      <c r="J26" s="16" t="s">
        <v>101</v>
      </c>
      <c r="K26" s="16"/>
      <c r="P26" s="3" t="s">
        <v>4582</v>
      </c>
      <c r="Q26" s="3" t="s">
        <v>4582</v>
      </c>
      <c r="R26" s="3" t="s">
        <v>4582</v>
      </c>
      <c r="S26" s="3" t="s">
        <v>4579</v>
      </c>
      <c r="T26" s="131" t="s">
        <v>4583</v>
      </c>
      <c r="U26" s="49">
        <v>1</v>
      </c>
      <c r="V26" s="58"/>
      <c r="W26" s="58"/>
      <c r="X26" s="59" t="s">
        <v>108</v>
      </c>
      <c r="Y26" s="93">
        <f t="shared" si="0"/>
        <v>1</v>
      </c>
      <c r="Z26" s="3">
        <v>0</v>
      </c>
      <c r="AA26" s="3" t="s">
        <v>4584</v>
      </c>
      <c r="AD26" s="6">
        <f t="shared" si="1"/>
        <v>19.12</v>
      </c>
      <c r="AE26" s="63">
        <v>21.78539301</v>
      </c>
      <c r="AF26" s="17">
        <f t="shared" si="2"/>
        <v>22.943999999999999</v>
      </c>
      <c r="AG26" s="6">
        <f t="shared" si="3"/>
        <v>14.16</v>
      </c>
      <c r="AH26" s="30" t="s">
        <v>110</v>
      </c>
      <c r="AI26" s="3">
        <v>0.65</v>
      </c>
      <c r="AJ26" s="18">
        <v>0.35</v>
      </c>
      <c r="AK26" s="6">
        <f t="shared" si="4"/>
        <v>18.93</v>
      </c>
      <c r="AL26" s="6">
        <f t="shared" si="5"/>
        <v>18.739999999999998</v>
      </c>
      <c r="AM26" s="6">
        <f t="shared" si="6"/>
        <v>18.55</v>
      </c>
      <c r="AN26" s="6">
        <f t="shared" si="7"/>
        <v>18.55</v>
      </c>
      <c r="AO26" s="6">
        <f t="shared" si="8"/>
        <v>19.12</v>
      </c>
      <c r="AP26" s="12"/>
      <c r="AQ26" s="12"/>
      <c r="BG26" s="12">
        <v>0.01</v>
      </c>
      <c r="BH26" s="12">
        <v>0.02</v>
      </c>
      <c r="BI26" s="12">
        <v>0.03</v>
      </c>
      <c r="BJ26" s="12">
        <v>0.03</v>
      </c>
      <c r="BQ26"/>
      <c r="BR26"/>
      <c r="BS26"/>
      <c r="BT26"/>
      <c r="BU26"/>
      <c r="BV26"/>
      <c r="BW26"/>
      <c r="BX26"/>
      <c r="BY26"/>
      <c r="BZ26"/>
      <c r="CA26"/>
      <c r="CB26"/>
      <c r="CC26" s="3" t="str">
        <f t="shared" si="9"/>
        <v>Allied-Moulded-LLPS-H.jpg</v>
      </c>
      <c r="CD26" s="16" t="s">
        <v>111</v>
      </c>
      <c r="CG26" s="3" t="s">
        <v>4549</v>
      </c>
      <c r="CI26" s="3" t="s">
        <v>97</v>
      </c>
      <c r="CJ26" s="3" t="s">
        <v>4550</v>
      </c>
      <c r="CK26" s="3" t="s">
        <v>4578</v>
      </c>
    </row>
    <row r="27" spans="1:89" s="3" customFormat="1" ht="15" customHeight="1">
      <c r="A27" s="3" t="s">
        <v>4585</v>
      </c>
      <c r="B27" s="3" t="s">
        <v>4585</v>
      </c>
      <c r="C27" s="16" t="s">
        <v>97</v>
      </c>
      <c r="D27" s="54" t="s">
        <v>4586</v>
      </c>
      <c r="E27" s="16" t="s">
        <v>97</v>
      </c>
      <c r="F27" s="131" t="s">
        <v>4587</v>
      </c>
      <c r="H27" s="62"/>
      <c r="I27" s="100" t="s">
        <v>342</v>
      </c>
      <c r="J27" s="16" t="s">
        <v>101</v>
      </c>
      <c r="K27" s="16"/>
      <c r="P27" s="3" t="s">
        <v>4588</v>
      </c>
      <c r="Q27" s="3" t="s">
        <v>4588</v>
      </c>
      <c r="R27" s="3" t="s">
        <v>4588</v>
      </c>
      <c r="S27" s="3" t="s">
        <v>4585</v>
      </c>
      <c r="T27" s="131" t="s">
        <v>4589</v>
      </c>
      <c r="U27" s="50">
        <v>1</v>
      </c>
      <c r="V27" s="54"/>
      <c r="W27" s="54"/>
      <c r="X27" s="59" t="s">
        <v>108</v>
      </c>
      <c r="Y27" s="93">
        <f t="shared" si="0"/>
        <v>1</v>
      </c>
      <c r="Z27" s="3">
        <v>0</v>
      </c>
      <c r="AA27" s="3" t="s">
        <v>4590</v>
      </c>
      <c r="AD27" s="6">
        <f t="shared" si="1"/>
        <v>19.850000000000001</v>
      </c>
      <c r="AE27" s="64">
        <v>22.608499999999999</v>
      </c>
      <c r="AF27" s="17">
        <f t="shared" si="2"/>
        <v>23.82</v>
      </c>
      <c r="AG27" s="6">
        <f t="shared" si="3"/>
        <v>14.7</v>
      </c>
      <c r="AH27" s="30" t="s">
        <v>110</v>
      </c>
      <c r="AI27" s="3">
        <v>0.65</v>
      </c>
      <c r="AJ27" s="18">
        <v>0.35</v>
      </c>
      <c r="AK27" s="6">
        <f t="shared" si="4"/>
        <v>19.649999999999999</v>
      </c>
      <c r="AL27" s="6">
        <f t="shared" si="5"/>
        <v>19.45</v>
      </c>
      <c r="AM27" s="6">
        <f t="shared" si="6"/>
        <v>19.25</v>
      </c>
      <c r="AN27" s="6">
        <f t="shared" si="7"/>
        <v>19.25</v>
      </c>
      <c r="AO27" s="6">
        <f t="shared" si="8"/>
        <v>19.850000000000001</v>
      </c>
      <c r="AP27" s="12"/>
      <c r="AQ27" s="12"/>
      <c r="BG27" s="12">
        <v>0.01</v>
      </c>
      <c r="BH27" s="12">
        <v>0.02</v>
      </c>
      <c r="BI27" s="12">
        <v>0.03</v>
      </c>
      <c r="BJ27" s="12">
        <v>0.03</v>
      </c>
      <c r="BQ27"/>
      <c r="BR27"/>
      <c r="BS27"/>
      <c r="BT27"/>
      <c r="BU27"/>
      <c r="BV27"/>
      <c r="BW27"/>
      <c r="BX27"/>
      <c r="BY27"/>
      <c r="BZ27"/>
      <c r="CA27"/>
      <c r="CB27"/>
      <c r="CC27" s="3" t="str">
        <f t="shared" si="9"/>
        <v>Allied-Moulded-LTPS-H.jpg</v>
      </c>
      <c r="CD27" s="16" t="s">
        <v>111</v>
      </c>
      <c r="CG27" s="3" t="s">
        <v>4558</v>
      </c>
      <c r="CI27" s="3" t="s">
        <v>97</v>
      </c>
      <c r="CJ27" s="3" t="s">
        <v>4550</v>
      </c>
      <c r="CK27" s="3" t="s">
        <v>4578</v>
      </c>
    </row>
    <row r="28" spans="1:89" s="3" customFormat="1" ht="15" customHeight="1">
      <c r="A28" s="3" t="s">
        <v>4591</v>
      </c>
      <c r="B28" s="3" t="s">
        <v>4591</v>
      </c>
      <c r="C28" s="16" t="s">
        <v>97</v>
      </c>
      <c r="D28" s="54" t="s">
        <v>4592</v>
      </c>
      <c r="E28" s="16" t="s">
        <v>97</v>
      </c>
      <c r="F28" s="131" t="s">
        <v>4593</v>
      </c>
      <c r="H28" s="62"/>
      <c r="I28" s="100" t="s">
        <v>342</v>
      </c>
      <c r="J28" s="16" t="s">
        <v>101</v>
      </c>
      <c r="K28" s="16"/>
      <c r="P28" s="3" t="s">
        <v>4594</v>
      </c>
      <c r="Q28" s="3" t="s">
        <v>4594</v>
      </c>
      <c r="R28" s="3" t="s">
        <v>4594</v>
      </c>
      <c r="S28" s="3" t="s">
        <v>4591</v>
      </c>
      <c r="T28" s="131" t="s">
        <v>4595</v>
      </c>
      <c r="U28" s="50">
        <v>1</v>
      </c>
      <c r="V28" s="54"/>
      <c r="W28" s="54"/>
      <c r="X28" s="59" t="s">
        <v>108</v>
      </c>
      <c r="Y28" s="93">
        <f t="shared" si="0"/>
        <v>1</v>
      </c>
      <c r="Z28" s="3">
        <v>0</v>
      </c>
      <c r="AA28" s="3" t="s">
        <v>4596</v>
      </c>
      <c r="AD28" s="6">
        <f t="shared" si="1"/>
        <v>15.65</v>
      </c>
      <c r="AE28" s="64">
        <v>17.835993970000001</v>
      </c>
      <c r="AF28" s="17">
        <f t="shared" si="2"/>
        <v>18.78</v>
      </c>
      <c r="AG28" s="6">
        <f t="shared" si="3"/>
        <v>11.59</v>
      </c>
      <c r="AH28" s="30" t="s">
        <v>110</v>
      </c>
      <c r="AI28" s="3">
        <v>0.65</v>
      </c>
      <c r="AJ28" s="18">
        <v>0.35</v>
      </c>
      <c r="AK28" s="6">
        <f t="shared" si="4"/>
        <v>15.49</v>
      </c>
      <c r="AL28" s="6">
        <f t="shared" si="5"/>
        <v>15.34</v>
      </c>
      <c r="AM28" s="6">
        <f t="shared" si="6"/>
        <v>15.18</v>
      </c>
      <c r="AN28" s="6">
        <f t="shared" si="7"/>
        <v>15.18</v>
      </c>
      <c r="AO28" s="6">
        <f t="shared" si="8"/>
        <v>15.65</v>
      </c>
      <c r="AP28" s="12"/>
      <c r="AQ28" s="12"/>
      <c r="BG28" s="12">
        <v>0.01</v>
      </c>
      <c r="BH28" s="12">
        <v>0.02</v>
      </c>
      <c r="BI28" s="12">
        <v>0.03</v>
      </c>
      <c r="BJ28" s="12">
        <v>0.03</v>
      </c>
      <c r="BQ28"/>
      <c r="BR28"/>
      <c r="BS28"/>
      <c r="BT28"/>
      <c r="BU28"/>
      <c r="BV28"/>
      <c r="BW28"/>
      <c r="BX28"/>
      <c r="BY28"/>
      <c r="BZ28"/>
      <c r="CA28"/>
      <c r="CB28"/>
      <c r="CC28" s="3" t="str">
        <f t="shared" si="9"/>
        <v>Allied-Moulded-LLRS-H.jpg</v>
      </c>
      <c r="CD28" s="16" t="s">
        <v>111</v>
      </c>
      <c r="CG28" s="3" t="s">
        <v>4549</v>
      </c>
      <c r="CI28" s="3" t="s">
        <v>97</v>
      </c>
      <c r="CJ28" s="3" t="s">
        <v>4550</v>
      </c>
      <c r="CK28" s="3" t="s">
        <v>4597</v>
      </c>
    </row>
    <row r="29" spans="1:89" s="3" customFormat="1" ht="15" customHeight="1">
      <c r="A29" s="3" t="s">
        <v>4598</v>
      </c>
      <c r="B29" s="3" t="s">
        <v>4598</v>
      </c>
      <c r="C29" s="16" t="s">
        <v>97</v>
      </c>
      <c r="D29" s="54" t="s">
        <v>4599</v>
      </c>
      <c r="E29" s="16" t="s">
        <v>97</v>
      </c>
      <c r="F29" s="131" t="s">
        <v>4600</v>
      </c>
      <c r="H29" s="62"/>
      <c r="I29" s="100" t="s">
        <v>342</v>
      </c>
      <c r="J29" s="16" t="s">
        <v>101</v>
      </c>
      <c r="K29" s="16"/>
      <c r="P29" s="3" t="s">
        <v>4601</v>
      </c>
      <c r="Q29" s="3" t="s">
        <v>4601</v>
      </c>
      <c r="R29" s="3" t="s">
        <v>4601</v>
      </c>
      <c r="S29" s="3" t="s">
        <v>4598</v>
      </c>
      <c r="T29" s="131" t="s">
        <v>4602</v>
      </c>
      <c r="U29" s="50">
        <v>1</v>
      </c>
      <c r="V29" s="54"/>
      <c r="W29" s="54"/>
      <c r="X29" s="59" t="s">
        <v>108</v>
      </c>
      <c r="Y29" s="93">
        <f t="shared" si="0"/>
        <v>1</v>
      </c>
      <c r="Z29" s="3">
        <v>0</v>
      </c>
      <c r="AA29" s="3" t="s">
        <v>4603</v>
      </c>
      <c r="AD29" s="6">
        <f t="shared" si="1"/>
        <v>10.06</v>
      </c>
      <c r="AE29" s="64">
        <v>11.45725959</v>
      </c>
      <c r="AF29" s="17">
        <f t="shared" si="2"/>
        <v>12.072000000000001</v>
      </c>
      <c r="AG29" s="6">
        <f t="shared" si="3"/>
        <v>7.45</v>
      </c>
      <c r="AH29" s="30" t="s">
        <v>110</v>
      </c>
      <c r="AI29" s="3">
        <v>0.65</v>
      </c>
      <c r="AJ29" s="18">
        <v>0.35</v>
      </c>
      <c r="AK29" s="6">
        <f t="shared" si="4"/>
        <v>9.9600000000000009</v>
      </c>
      <c r="AL29" s="6">
        <f t="shared" si="5"/>
        <v>9.86</v>
      </c>
      <c r="AM29" s="6">
        <f t="shared" si="6"/>
        <v>9.76</v>
      </c>
      <c r="AN29" s="6">
        <f t="shared" si="7"/>
        <v>9.76</v>
      </c>
      <c r="AO29" s="6">
        <f t="shared" si="8"/>
        <v>10.06</v>
      </c>
      <c r="AP29" s="12"/>
      <c r="AQ29" s="12"/>
      <c r="BG29" s="12">
        <v>0.01</v>
      </c>
      <c r="BH29" s="12">
        <v>0.02</v>
      </c>
      <c r="BI29" s="12">
        <v>0.03</v>
      </c>
      <c r="BJ29" s="12">
        <v>0.03</v>
      </c>
      <c r="BQ29"/>
      <c r="BR29"/>
      <c r="BS29"/>
      <c r="BT29"/>
      <c r="BU29"/>
      <c r="BV29"/>
      <c r="BW29"/>
      <c r="BX29"/>
      <c r="BY29"/>
      <c r="BZ29"/>
      <c r="CA29"/>
      <c r="CB29"/>
      <c r="CC29" s="3" t="str">
        <f t="shared" si="9"/>
        <v>Allied-Moulded-AM4-PFSN.jpg</v>
      </c>
      <c r="CD29" s="16" t="s">
        <v>111</v>
      </c>
      <c r="CG29" s="3" t="s">
        <v>4604</v>
      </c>
      <c r="CI29" s="3" t="s">
        <v>97</v>
      </c>
      <c r="CJ29" s="3" t="s">
        <v>4550</v>
      </c>
      <c r="CK29" s="3" t="s">
        <v>4605</v>
      </c>
    </row>
    <row r="30" spans="1:89" s="3" customFormat="1" ht="15" customHeight="1">
      <c r="A30" s="3" t="s">
        <v>4606</v>
      </c>
      <c r="B30" s="3" t="s">
        <v>4606</v>
      </c>
      <c r="C30" s="16" t="s">
        <v>97</v>
      </c>
      <c r="D30" s="58" t="s">
        <v>4607</v>
      </c>
      <c r="E30" s="16" t="s">
        <v>97</v>
      </c>
      <c r="F30" s="131" t="s">
        <v>4608</v>
      </c>
      <c r="H30" s="62"/>
      <c r="I30" s="100" t="s">
        <v>342</v>
      </c>
      <c r="J30" s="16" t="s">
        <v>101</v>
      </c>
      <c r="K30" s="16"/>
      <c r="P30" s="3" t="s">
        <v>4609</v>
      </c>
      <c r="Q30" s="3" t="s">
        <v>4609</v>
      </c>
      <c r="R30" s="3" t="s">
        <v>4609</v>
      </c>
      <c r="S30" s="3" t="s">
        <v>4606</v>
      </c>
      <c r="T30" s="131" t="s">
        <v>4610</v>
      </c>
      <c r="U30" s="51">
        <v>1</v>
      </c>
      <c r="V30" s="58"/>
      <c r="W30" s="58"/>
      <c r="X30" s="59" t="s">
        <v>108</v>
      </c>
      <c r="Y30" s="93">
        <f t="shared" si="0"/>
        <v>1</v>
      </c>
      <c r="Z30" s="3">
        <v>0</v>
      </c>
      <c r="AA30" s="3" t="s">
        <v>4611</v>
      </c>
      <c r="AD30" s="6">
        <f t="shared" si="1"/>
        <v>7.67</v>
      </c>
      <c r="AE30" s="64">
        <v>8.7426008599999996</v>
      </c>
      <c r="AF30" s="17">
        <f t="shared" si="2"/>
        <v>9.2039999999999988</v>
      </c>
      <c r="AG30" s="6">
        <f t="shared" si="3"/>
        <v>5.68</v>
      </c>
      <c r="AH30" s="30" t="s">
        <v>110</v>
      </c>
      <c r="AI30" s="3">
        <v>0.65</v>
      </c>
      <c r="AJ30" s="18">
        <v>0.35</v>
      </c>
      <c r="AK30" s="6">
        <f t="shared" si="4"/>
        <v>7.59</v>
      </c>
      <c r="AL30" s="6">
        <f t="shared" si="5"/>
        <v>7.52</v>
      </c>
      <c r="AM30" s="6">
        <f t="shared" si="6"/>
        <v>7.44</v>
      </c>
      <c r="AN30" s="6">
        <f t="shared" si="7"/>
        <v>7.44</v>
      </c>
      <c r="AO30" s="6">
        <f t="shared" si="8"/>
        <v>7.67</v>
      </c>
      <c r="AP30" s="12"/>
      <c r="AQ30" s="12"/>
      <c r="BG30" s="12">
        <v>0.01</v>
      </c>
      <c r="BH30" s="12">
        <v>0.02</v>
      </c>
      <c r="BI30" s="12">
        <v>0.03</v>
      </c>
      <c r="BJ30" s="12">
        <v>0.03</v>
      </c>
      <c r="BQ30"/>
      <c r="BR30"/>
      <c r="BS30"/>
      <c r="BT30"/>
      <c r="BU30"/>
      <c r="BV30"/>
      <c r="BW30"/>
      <c r="BX30"/>
      <c r="BY30"/>
      <c r="BZ30"/>
      <c r="CA30"/>
      <c r="CB30"/>
      <c r="CC30" s="3" t="str">
        <f t="shared" si="9"/>
        <v>Allied-Moulded-AM4-NFS.jpg</v>
      </c>
      <c r="CD30" s="16" t="s">
        <v>111</v>
      </c>
      <c r="CG30" s="3" t="s">
        <v>4604</v>
      </c>
      <c r="CI30" s="3" t="s">
        <v>97</v>
      </c>
      <c r="CJ30" s="3" t="s">
        <v>4550</v>
      </c>
      <c r="CK30" s="3" t="s">
        <v>4612</v>
      </c>
    </row>
    <row r="31" spans="1:89" s="3" customFormat="1" ht="15" customHeight="1">
      <c r="A31" s="3" t="s">
        <v>4613</v>
      </c>
      <c r="B31" s="3" t="s">
        <v>4613</v>
      </c>
      <c r="C31" s="16" t="s">
        <v>97</v>
      </c>
      <c r="D31" s="77" t="s">
        <v>4614</v>
      </c>
      <c r="E31" s="16" t="s">
        <v>97</v>
      </c>
      <c r="F31" s="131" t="s">
        <v>4615</v>
      </c>
      <c r="H31" s="62"/>
      <c r="I31" s="100" t="s">
        <v>342</v>
      </c>
      <c r="J31" s="16" t="s">
        <v>101</v>
      </c>
      <c r="K31" s="16"/>
      <c r="P31" s="4" t="s">
        <v>4616</v>
      </c>
      <c r="Q31" s="4" t="s">
        <v>4616</v>
      </c>
      <c r="R31" s="4" t="s">
        <v>4616</v>
      </c>
      <c r="S31" s="3" t="s">
        <v>4613</v>
      </c>
      <c r="T31" s="131" t="s">
        <v>4617</v>
      </c>
      <c r="U31" s="52">
        <v>1</v>
      </c>
      <c r="V31" s="54"/>
      <c r="W31" s="54"/>
      <c r="X31" s="59" t="s">
        <v>108</v>
      </c>
      <c r="Y31" s="93">
        <f t="shared" si="0"/>
        <v>1</v>
      </c>
      <c r="Z31" s="3">
        <v>0</v>
      </c>
      <c r="AA31" s="3" t="s">
        <v>4618</v>
      </c>
      <c r="AD31" s="6">
        <f t="shared" si="1"/>
        <v>14.96</v>
      </c>
      <c r="AE31" s="63">
        <v>17.053639960000002</v>
      </c>
      <c r="AF31" s="17">
        <f t="shared" si="2"/>
        <v>17.952000000000002</v>
      </c>
      <c r="AG31" s="6">
        <f t="shared" si="3"/>
        <v>11.08</v>
      </c>
      <c r="AH31" s="30" t="s">
        <v>110</v>
      </c>
      <c r="AI31" s="3">
        <v>0.65</v>
      </c>
      <c r="AJ31" s="18">
        <v>0.35</v>
      </c>
      <c r="AK31" s="6">
        <f t="shared" si="4"/>
        <v>14.81</v>
      </c>
      <c r="AL31" s="6">
        <f t="shared" si="5"/>
        <v>14.66</v>
      </c>
      <c r="AM31" s="6">
        <f t="shared" si="6"/>
        <v>14.51</v>
      </c>
      <c r="AN31" s="6">
        <f t="shared" si="7"/>
        <v>14.51</v>
      </c>
      <c r="AO31" s="6">
        <f t="shared" si="8"/>
        <v>14.96</v>
      </c>
      <c r="AP31" s="12"/>
      <c r="AQ31" s="12"/>
      <c r="BG31" s="12">
        <v>0.01</v>
      </c>
      <c r="BH31" s="12">
        <v>0.02</v>
      </c>
      <c r="BI31" s="12">
        <v>0.03</v>
      </c>
      <c r="BJ31" s="12">
        <v>0.03</v>
      </c>
      <c r="BQ31"/>
      <c r="BR31"/>
      <c r="BS31"/>
      <c r="BT31"/>
      <c r="BU31"/>
      <c r="BV31"/>
      <c r="BW31"/>
      <c r="BX31"/>
      <c r="BY31"/>
      <c r="BZ31"/>
      <c r="CA31"/>
      <c r="CB31"/>
      <c r="CC31" s="3" t="str">
        <f t="shared" si="9"/>
        <v>Allied-Moulded-AM4-NLFS.jpg</v>
      </c>
      <c r="CD31" s="16" t="s">
        <v>111</v>
      </c>
      <c r="CG31" s="3" t="s">
        <v>4604</v>
      </c>
      <c r="CI31" s="3" t="s">
        <v>97</v>
      </c>
      <c r="CJ31" s="3" t="s">
        <v>4550</v>
      </c>
      <c r="CK31" s="3" t="s">
        <v>4619</v>
      </c>
    </row>
    <row r="32" spans="1:89" s="3" customFormat="1" ht="15" customHeight="1">
      <c r="A32" s="3" t="s">
        <v>4620</v>
      </c>
      <c r="B32" s="3" t="s">
        <v>4620</v>
      </c>
      <c r="C32" s="16" t="s">
        <v>97</v>
      </c>
      <c r="D32" s="58" t="s">
        <v>4621</v>
      </c>
      <c r="E32" s="16" t="s">
        <v>97</v>
      </c>
      <c r="F32" s="131" t="s">
        <v>4622</v>
      </c>
      <c r="H32" s="62"/>
      <c r="I32" s="100" t="s">
        <v>342</v>
      </c>
      <c r="J32" s="16" t="s">
        <v>101</v>
      </c>
      <c r="K32" s="16"/>
      <c r="P32" s="3" t="s">
        <v>4623</v>
      </c>
      <c r="Q32" s="3" t="s">
        <v>4623</v>
      </c>
      <c r="R32" s="3" t="s">
        <v>4623</v>
      </c>
      <c r="S32" s="3" t="s">
        <v>4620</v>
      </c>
      <c r="T32" s="131" t="s">
        <v>4624</v>
      </c>
      <c r="U32" s="51">
        <v>1</v>
      </c>
      <c r="V32" s="58"/>
      <c r="W32" s="58"/>
      <c r="X32" s="59" t="s">
        <v>108</v>
      </c>
      <c r="Y32" s="93">
        <f t="shared" si="0"/>
        <v>1</v>
      </c>
      <c r="Z32" s="3">
        <v>0</v>
      </c>
      <c r="AA32" s="3" t="s">
        <v>4625</v>
      </c>
      <c r="AD32" s="6">
        <f t="shared" si="1"/>
        <v>7.45</v>
      </c>
      <c r="AE32" s="64">
        <v>8.4946427799999995</v>
      </c>
      <c r="AF32" s="17">
        <f t="shared" si="2"/>
        <v>8.94</v>
      </c>
      <c r="AG32" s="6">
        <f t="shared" si="3"/>
        <v>5.52</v>
      </c>
      <c r="AH32" s="30" t="s">
        <v>110</v>
      </c>
      <c r="AI32" s="3">
        <v>0.65</v>
      </c>
      <c r="AJ32" s="18">
        <v>0.35</v>
      </c>
      <c r="AK32" s="6">
        <f t="shared" si="4"/>
        <v>7.38</v>
      </c>
      <c r="AL32" s="6">
        <f t="shared" si="5"/>
        <v>7.3</v>
      </c>
      <c r="AM32" s="6">
        <f t="shared" si="6"/>
        <v>7.23</v>
      </c>
      <c r="AN32" s="6">
        <f t="shared" si="7"/>
        <v>7.23</v>
      </c>
      <c r="AO32" s="6">
        <f t="shared" si="8"/>
        <v>7.45</v>
      </c>
      <c r="AP32" s="12"/>
      <c r="AQ32" s="12"/>
      <c r="BG32" s="12">
        <v>0.01</v>
      </c>
      <c r="BH32" s="12">
        <v>0.02</v>
      </c>
      <c r="BI32" s="12">
        <v>0.03</v>
      </c>
      <c r="BJ32" s="12">
        <v>0.03</v>
      </c>
      <c r="BQ32"/>
      <c r="BR32"/>
      <c r="BS32"/>
      <c r="BT32"/>
      <c r="BU32"/>
      <c r="BV32"/>
      <c r="BW32"/>
      <c r="BX32"/>
      <c r="BY32"/>
      <c r="BZ32"/>
      <c r="CA32"/>
      <c r="CB32"/>
      <c r="CC32" s="3" t="str">
        <f t="shared" si="9"/>
        <v>Allied-Moulded-AM4-NUFS.jpg</v>
      </c>
      <c r="CD32" s="16" t="s">
        <v>111</v>
      </c>
      <c r="CG32" s="3" t="s">
        <v>4626</v>
      </c>
      <c r="CI32" s="3" t="s">
        <v>97</v>
      </c>
      <c r="CJ32" s="3" t="s">
        <v>482</v>
      </c>
      <c r="CK32" s="3" t="s">
        <v>4627</v>
      </c>
    </row>
    <row r="33" spans="1:89" s="3" customFormat="1" ht="15" customHeight="1">
      <c r="A33" s="3" t="s">
        <v>4628</v>
      </c>
      <c r="B33" s="3" t="s">
        <v>4628</v>
      </c>
      <c r="C33" s="16" t="s">
        <v>97</v>
      </c>
      <c r="D33" s="77" t="s">
        <v>4629</v>
      </c>
      <c r="E33" s="16" t="s">
        <v>97</v>
      </c>
      <c r="F33" s="131" t="s">
        <v>4630</v>
      </c>
      <c r="H33" s="62"/>
      <c r="I33" s="100" t="s">
        <v>342</v>
      </c>
      <c r="J33" s="16" t="s">
        <v>101</v>
      </c>
      <c r="K33" s="16"/>
      <c r="P33" s="4" t="s">
        <v>4631</v>
      </c>
      <c r="Q33" s="4" t="s">
        <v>4631</v>
      </c>
      <c r="R33" s="4" t="s">
        <v>4631</v>
      </c>
      <c r="S33" s="3" t="s">
        <v>4628</v>
      </c>
      <c r="T33" s="131" t="s">
        <v>4632</v>
      </c>
      <c r="U33" s="52">
        <v>1</v>
      </c>
      <c r="V33" s="54"/>
      <c r="W33" s="54"/>
      <c r="X33" s="59" t="s">
        <v>108</v>
      </c>
      <c r="Y33" s="93">
        <f t="shared" si="0"/>
        <v>1</v>
      </c>
      <c r="Z33" s="3">
        <v>0</v>
      </c>
      <c r="AA33" s="3" t="s">
        <v>4633</v>
      </c>
      <c r="AD33" s="6">
        <f t="shared" si="1"/>
        <v>8.57</v>
      </c>
      <c r="AE33" s="63">
        <v>9.7659511800000001</v>
      </c>
      <c r="AF33" s="17">
        <f t="shared" si="2"/>
        <v>10.284000000000001</v>
      </c>
      <c r="AG33" s="6">
        <f t="shared" si="3"/>
        <v>6.35</v>
      </c>
      <c r="AH33" s="30" t="s">
        <v>110</v>
      </c>
      <c r="AI33" s="3">
        <v>0.65</v>
      </c>
      <c r="AJ33" s="18">
        <v>0.35</v>
      </c>
      <c r="AK33" s="6">
        <f t="shared" si="4"/>
        <v>8.48</v>
      </c>
      <c r="AL33" s="6">
        <f t="shared" si="5"/>
        <v>8.4</v>
      </c>
      <c r="AM33" s="6">
        <f t="shared" si="6"/>
        <v>8.31</v>
      </c>
      <c r="AN33" s="6">
        <f t="shared" si="7"/>
        <v>8.31</v>
      </c>
      <c r="AO33" s="6">
        <f t="shared" si="8"/>
        <v>8.57</v>
      </c>
      <c r="AP33" s="12"/>
      <c r="AQ33" s="12"/>
      <c r="BG33" s="12">
        <v>0.01</v>
      </c>
      <c r="BH33" s="12">
        <v>0.02</v>
      </c>
      <c r="BI33" s="12">
        <v>0.03</v>
      </c>
      <c r="BJ33" s="12">
        <v>0.03</v>
      </c>
      <c r="BQ33"/>
      <c r="BR33"/>
      <c r="BS33"/>
      <c r="BT33"/>
      <c r="BU33"/>
      <c r="BV33"/>
      <c r="BW33"/>
      <c r="BX33"/>
      <c r="BY33"/>
      <c r="BZ33"/>
      <c r="CA33"/>
      <c r="CB33"/>
      <c r="CC33" s="3" t="str">
        <f t="shared" si="9"/>
        <v>Allied-Moulded-AM4-NULFS.jpg</v>
      </c>
      <c r="CD33" s="16" t="s">
        <v>111</v>
      </c>
      <c r="CG33" s="3" t="s">
        <v>4626</v>
      </c>
      <c r="CI33" s="3" t="s">
        <v>97</v>
      </c>
      <c r="CJ33" s="3" t="s">
        <v>482</v>
      </c>
      <c r="CK33" s="3" t="s">
        <v>4634</v>
      </c>
    </row>
    <row r="34" spans="1:89" s="3" customFormat="1" ht="15" customHeight="1">
      <c r="A34" s="3" t="s">
        <v>4635</v>
      </c>
      <c r="B34" s="3" t="s">
        <v>4635</v>
      </c>
      <c r="C34" s="16" t="s">
        <v>97</v>
      </c>
      <c r="D34" s="77" t="s">
        <v>4636</v>
      </c>
      <c r="E34" s="16" t="s">
        <v>97</v>
      </c>
      <c r="F34" s="131" t="s">
        <v>4637</v>
      </c>
      <c r="H34" s="62"/>
      <c r="I34" s="100" t="s">
        <v>342</v>
      </c>
      <c r="J34" s="16" t="s">
        <v>101</v>
      </c>
      <c r="K34" s="16"/>
      <c r="P34" s="4" t="s">
        <v>4638</v>
      </c>
      <c r="Q34" s="4" t="s">
        <v>4638</v>
      </c>
      <c r="R34" s="4" t="s">
        <v>4638</v>
      </c>
      <c r="S34" s="3" t="s">
        <v>4635</v>
      </c>
      <c r="T34" s="131" t="s">
        <v>4639</v>
      </c>
      <c r="U34" s="52">
        <v>1</v>
      </c>
      <c r="V34" s="54"/>
      <c r="W34" s="54"/>
      <c r="X34" s="59" t="s">
        <v>108</v>
      </c>
      <c r="Y34" s="93">
        <f t="shared" si="0"/>
        <v>1</v>
      </c>
      <c r="Z34" s="3">
        <v>0</v>
      </c>
      <c r="AA34" s="3" t="s">
        <v>4640</v>
      </c>
      <c r="AD34" s="6">
        <f t="shared" si="1"/>
        <v>3.83</v>
      </c>
      <c r="AE34" s="63">
        <v>4.3712993999999998</v>
      </c>
      <c r="AF34" s="17">
        <f t="shared" si="2"/>
        <v>4.5960000000000001</v>
      </c>
      <c r="AG34" s="6">
        <f t="shared" si="3"/>
        <v>2.84</v>
      </c>
      <c r="AH34" s="30" t="s">
        <v>110</v>
      </c>
      <c r="AI34" s="3">
        <v>0.65</v>
      </c>
      <c r="AJ34" s="18">
        <v>0.35</v>
      </c>
      <c r="AK34" s="6">
        <f t="shared" si="4"/>
        <v>3.79</v>
      </c>
      <c r="AL34" s="6">
        <f t="shared" si="5"/>
        <v>3.75</v>
      </c>
      <c r="AM34" s="6">
        <f t="shared" si="6"/>
        <v>3.72</v>
      </c>
      <c r="AN34" s="6">
        <f t="shared" si="7"/>
        <v>3.72</v>
      </c>
      <c r="AO34" s="6">
        <f t="shared" si="8"/>
        <v>3.83</v>
      </c>
      <c r="AP34" s="12"/>
      <c r="AQ34" s="12"/>
      <c r="BG34" s="12">
        <v>0.01</v>
      </c>
      <c r="BH34" s="12">
        <v>0.02</v>
      </c>
      <c r="BI34" s="12">
        <v>0.03</v>
      </c>
      <c r="BJ34" s="12">
        <v>0.03</v>
      </c>
      <c r="BQ34"/>
      <c r="BR34"/>
      <c r="BS34"/>
      <c r="BT34"/>
      <c r="BU34"/>
      <c r="BV34"/>
      <c r="BW34"/>
      <c r="BX34"/>
      <c r="BY34"/>
      <c r="BZ34"/>
      <c r="CA34"/>
      <c r="CB34"/>
      <c r="CC34" s="3" t="str">
        <f t="shared" si="9"/>
        <v>Allied-Moulded-AM4-NPS.jpg</v>
      </c>
      <c r="CD34" s="16" t="s">
        <v>111</v>
      </c>
      <c r="CG34" s="3" t="s">
        <v>4626</v>
      </c>
      <c r="CI34" s="3" t="s">
        <v>97</v>
      </c>
      <c r="CJ34" s="3" t="s">
        <v>4493</v>
      </c>
      <c r="CK34" s="3" t="s">
        <v>4641</v>
      </c>
    </row>
    <row r="35" spans="1:89" s="3" customFormat="1" ht="15" customHeight="1">
      <c r="A35" s="3" t="s">
        <v>4642</v>
      </c>
      <c r="B35" s="3" t="s">
        <v>4642</v>
      </c>
      <c r="C35" s="16" t="s">
        <v>97</v>
      </c>
      <c r="D35" s="54" t="s">
        <v>4643</v>
      </c>
      <c r="E35" s="16" t="s">
        <v>97</v>
      </c>
      <c r="F35" s="131" t="s">
        <v>4644</v>
      </c>
      <c r="H35" s="62"/>
      <c r="I35" s="100" t="s">
        <v>342</v>
      </c>
      <c r="J35" s="16" t="s">
        <v>101</v>
      </c>
      <c r="K35" s="16"/>
      <c r="P35" s="3" t="s">
        <v>4645</v>
      </c>
      <c r="Q35" s="3" t="s">
        <v>4645</v>
      </c>
      <c r="R35" s="3" t="s">
        <v>4645</v>
      </c>
      <c r="S35" s="3" t="s">
        <v>4642</v>
      </c>
      <c r="T35" s="131" t="s">
        <v>4646</v>
      </c>
      <c r="U35" s="50">
        <v>1</v>
      </c>
      <c r="V35" s="54"/>
      <c r="W35" s="54"/>
      <c r="X35" s="59" t="s">
        <v>108</v>
      </c>
      <c r="Y35" s="93">
        <f t="shared" si="0"/>
        <v>1</v>
      </c>
      <c r="Z35" s="3">
        <v>0</v>
      </c>
      <c r="AA35" s="3" t="s">
        <v>4647</v>
      </c>
      <c r="AD35" s="6">
        <f t="shared" si="1"/>
        <v>6.87</v>
      </c>
      <c r="AE35" s="64">
        <v>7.82379348</v>
      </c>
      <c r="AF35" s="17">
        <f t="shared" si="2"/>
        <v>8.2439999999999998</v>
      </c>
      <c r="AG35" s="6">
        <f t="shared" si="3"/>
        <v>5.09</v>
      </c>
      <c r="AH35" s="30" t="s">
        <v>110</v>
      </c>
      <c r="AI35" s="3">
        <v>0.65</v>
      </c>
      <c r="AJ35" s="18">
        <v>0.35</v>
      </c>
      <c r="AK35" s="6">
        <f t="shared" si="4"/>
        <v>6.8</v>
      </c>
      <c r="AL35" s="6">
        <f t="shared" si="5"/>
        <v>6.73</v>
      </c>
      <c r="AM35" s="6">
        <f t="shared" si="6"/>
        <v>6.66</v>
      </c>
      <c r="AN35" s="6">
        <f t="shared" si="7"/>
        <v>6.66</v>
      </c>
      <c r="AO35" s="6">
        <f t="shared" si="8"/>
        <v>6.87</v>
      </c>
      <c r="AP35" s="12"/>
      <c r="AQ35" s="12"/>
      <c r="BG35" s="12">
        <v>0.01</v>
      </c>
      <c r="BH35" s="12">
        <v>0.02</v>
      </c>
      <c r="BI35" s="12">
        <v>0.03</v>
      </c>
      <c r="BJ35" s="12">
        <v>0.03</v>
      </c>
      <c r="BQ35"/>
      <c r="BR35"/>
      <c r="BS35"/>
      <c r="BT35"/>
      <c r="BU35"/>
      <c r="BV35"/>
      <c r="BW35"/>
      <c r="BX35"/>
      <c r="BY35"/>
      <c r="BZ35"/>
      <c r="CA35"/>
      <c r="CB35"/>
      <c r="CC35" s="3" t="str">
        <f t="shared" si="9"/>
        <v>Allied-Moulded-AM6-NLPS.jpg</v>
      </c>
      <c r="CD35" s="16" t="s">
        <v>111</v>
      </c>
      <c r="CG35" s="3" t="s">
        <v>4626</v>
      </c>
      <c r="CI35" s="3" t="s">
        <v>97</v>
      </c>
      <c r="CJ35" s="3" t="s">
        <v>4493</v>
      </c>
      <c r="CK35" s="3" t="s">
        <v>4619</v>
      </c>
    </row>
    <row r="36" spans="1:89" ht="15.75" customHeight="1">
      <c r="A36" s="206" t="s">
        <v>6061</v>
      </c>
      <c r="B36" t="s">
        <v>6079</v>
      </c>
      <c r="C36" s="16" t="s">
        <v>97</v>
      </c>
      <c r="D36" t="s">
        <v>6097</v>
      </c>
      <c r="E36" s="16" t="s">
        <v>97</v>
      </c>
      <c r="I36" s="100" t="s">
        <v>342</v>
      </c>
      <c r="J36" s="16" t="s">
        <v>101</v>
      </c>
      <c r="P36" t="s">
        <v>6115</v>
      </c>
      <c r="Q36" t="s">
        <v>6115</v>
      </c>
      <c r="R36" t="s">
        <v>6115</v>
      </c>
      <c r="S36" s="206" t="s">
        <v>6061</v>
      </c>
      <c r="T36" t="s">
        <v>6133</v>
      </c>
      <c r="U36">
        <v>1</v>
      </c>
      <c r="X36" s="59"/>
      <c r="Y36" s="93">
        <f t="shared" ref="Y36:Y53" si="10">IF(AD36=0, 0, IF(OR(H36="", H36&lt;&gt;0), 1, 0))</f>
        <v>1</v>
      </c>
      <c r="Z36" s="3">
        <v>0</v>
      </c>
      <c r="AA36" t="s">
        <v>6140</v>
      </c>
      <c r="AD36" s="6">
        <f t="shared" si="1"/>
        <v>126.66</v>
      </c>
      <c r="AE36" s="263">
        <v>144.34415261999999</v>
      </c>
      <c r="AF36" s="17">
        <f t="shared" ref="AF36:AF53" si="11">AD36*1.2</f>
        <v>151.99199999999999</v>
      </c>
      <c r="AG36" s="6">
        <f t="shared" ref="AG36:AG53" si="12">ROUND((AE36*AI36),2)</f>
        <v>93.82</v>
      </c>
      <c r="AH36" s="59"/>
      <c r="AI36">
        <v>0.65</v>
      </c>
      <c r="AJ36" s="18">
        <v>0.35</v>
      </c>
      <c r="AK36" s="6">
        <f t="shared" ref="AK36:AK53" si="13">ROUND((AD36-(AD36*BG36)),2)</f>
        <v>125.39</v>
      </c>
      <c r="AL36" s="6">
        <f t="shared" ref="AL36:AL53" si="14">ROUND((AD36-(AD36*BH36)),2)</f>
        <v>124.13</v>
      </c>
      <c r="AM36" s="6">
        <f t="shared" ref="AM36:AM53" si="15">ROUND((AD36-(AD36*BI36)),2)</f>
        <v>122.86</v>
      </c>
      <c r="AN36" s="6">
        <f t="shared" ref="AN36:AN53" si="16">ROUND((AD36-(AD36*BJ36)),2)</f>
        <v>122.86</v>
      </c>
      <c r="AO36" s="6">
        <f t="shared" ref="AO36:AO53" si="17">ROUND((AD36-(AD36*BK36)),2)</f>
        <v>126.66</v>
      </c>
      <c r="AP36" s="12"/>
      <c r="AQ36" s="12"/>
      <c r="AR36" s="3"/>
      <c r="AS36" s="3"/>
      <c r="AT36" s="3"/>
      <c r="AU36" s="3"/>
      <c r="AV36" s="3"/>
      <c r="AW36" s="3"/>
      <c r="AX36" s="3"/>
      <c r="AY36" s="3"/>
      <c r="AZ36" s="3"/>
      <c r="BA36" s="3"/>
      <c r="BB36" s="3"/>
      <c r="BC36" s="3"/>
      <c r="BD36" s="3"/>
      <c r="BE36" s="3"/>
      <c r="BF36" s="3"/>
      <c r="BG36" s="12">
        <v>0.01</v>
      </c>
      <c r="BH36" s="12">
        <v>0.02</v>
      </c>
      <c r="BI36" s="12">
        <v>0.03</v>
      </c>
      <c r="BJ36" s="12">
        <v>0.03</v>
      </c>
      <c r="BK36" s="3"/>
      <c r="BL36" s="3"/>
      <c r="BM36" s="3"/>
      <c r="BN36" s="3"/>
      <c r="BO36" s="3"/>
      <c r="BP36" s="3"/>
      <c r="CC36" s="3" t="str">
        <f t="shared" ref="CC36:CC53" si="18">IF(B36&lt;&gt;"",CONCATENATE(SUBSTITUTE(B36," ","-"),".jpg"),"")</f>
        <v>Allied-Moulded-AMADJUST-CXL.jpg</v>
      </c>
      <c r="CD36" s="16" t="s">
        <v>111</v>
      </c>
      <c r="CG36" t="s">
        <v>6158</v>
      </c>
      <c r="CI36" s="3" t="s">
        <v>97</v>
      </c>
    </row>
    <row r="37" spans="1:89" ht="15" customHeight="1">
      <c r="A37" t="s">
        <v>6062</v>
      </c>
      <c r="B37" t="s">
        <v>6080</v>
      </c>
      <c r="C37" s="16" t="s">
        <v>97</v>
      </c>
      <c r="D37" t="s">
        <v>6098</v>
      </c>
      <c r="E37" s="16" t="s">
        <v>97</v>
      </c>
      <c r="I37" s="100" t="s">
        <v>342</v>
      </c>
      <c r="J37" s="16" t="s">
        <v>101</v>
      </c>
      <c r="P37" t="s">
        <v>6116</v>
      </c>
      <c r="Q37" t="s">
        <v>6116</v>
      </c>
      <c r="R37" t="s">
        <v>6116</v>
      </c>
      <c r="S37" t="s">
        <v>6062</v>
      </c>
      <c r="T37" t="s">
        <v>6134</v>
      </c>
      <c r="U37">
        <v>3</v>
      </c>
      <c r="X37" s="59"/>
      <c r="Y37" s="93">
        <f t="shared" si="10"/>
        <v>1</v>
      </c>
      <c r="Z37" s="3">
        <v>0</v>
      </c>
      <c r="AA37" t="s">
        <v>6141</v>
      </c>
      <c r="AD37" s="6">
        <f t="shared" si="1"/>
        <v>63.4</v>
      </c>
      <c r="AE37" s="263">
        <v>72.240163429999996</v>
      </c>
      <c r="AF37" s="17">
        <f t="shared" si="11"/>
        <v>76.08</v>
      </c>
      <c r="AG37" s="6">
        <f t="shared" si="12"/>
        <v>46.96</v>
      </c>
      <c r="AH37" s="59"/>
      <c r="AI37">
        <v>0.65</v>
      </c>
      <c r="AJ37" s="18">
        <v>0.35</v>
      </c>
      <c r="AK37" s="6">
        <f t="shared" si="13"/>
        <v>62.77</v>
      </c>
      <c r="AL37" s="6">
        <f t="shared" si="14"/>
        <v>62.13</v>
      </c>
      <c r="AM37" s="6">
        <f t="shared" si="15"/>
        <v>61.5</v>
      </c>
      <c r="AN37" s="6">
        <f t="shared" si="16"/>
        <v>61.5</v>
      </c>
      <c r="AO37" s="6">
        <f t="shared" si="17"/>
        <v>63.4</v>
      </c>
      <c r="AP37" s="12"/>
      <c r="AQ37" s="12"/>
      <c r="AR37" s="3"/>
      <c r="AS37" s="3"/>
      <c r="AT37" s="3"/>
      <c r="AU37" s="3"/>
      <c r="AV37" s="3"/>
      <c r="AW37" s="3"/>
      <c r="AX37" s="3"/>
      <c r="AY37" s="3"/>
      <c r="AZ37" s="3"/>
      <c r="BA37" s="3"/>
      <c r="BB37" s="3"/>
      <c r="BC37" s="3"/>
      <c r="BD37" s="3"/>
      <c r="BE37" s="3"/>
      <c r="BF37" s="3"/>
      <c r="BG37" s="12">
        <v>0.01</v>
      </c>
      <c r="BH37" s="12">
        <v>0.02</v>
      </c>
      <c r="BI37" s="12">
        <v>0.03</v>
      </c>
      <c r="BJ37" s="12">
        <v>0.03</v>
      </c>
      <c r="BK37" s="3"/>
      <c r="BL37" s="3"/>
      <c r="BM37" s="3"/>
      <c r="BN37" s="3"/>
      <c r="BO37" s="3"/>
      <c r="BP37" s="3"/>
      <c r="CC37" s="3" t="str">
        <f t="shared" si="18"/>
        <v>Allied-Moulded-AMHMI66CCH.jpg</v>
      </c>
      <c r="CD37" s="16" t="s">
        <v>111</v>
      </c>
      <c r="CG37" t="s">
        <v>6159</v>
      </c>
      <c r="CI37" s="3" t="s">
        <v>97</v>
      </c>
    </row>
    <row r="38" spans="1:89" ht="15" customHeight="1">
      <c r="A38" t="s">
        <v>6063</v>
      </c>
      <c r="B38" t="s">
        <v>6081</v>
      </c>
      <c r="C38" s="16" t="s">
        <v>97</v>
      </c>
      <c r="D38" t="s">
        <v>6099</v>
      </c>
      <c r="E38" s="16" t="s">
        <v>97</v>
      </c>
      <c r="I38" s="100" t="s">
        <v>342</v>
      </c>
      <c r="J38" s="16" t="s">
        <v>101</v>
      </c>
      <c r="P38" t="s">
        <v>6117</v>
      </c>
      <c r="Q38" t="s">
        <v>6117</v>
      </c>
      <c r="R38" t="s">
        <v>6117</v>
      </c>
      <c r="S38" t="s">
        <v>6063</v>
      </c>
      <c r="T38" t="s">
        <v>6135</v>
      </c>
      <c r="U38">
        <v>3</v>
      </c>
      <c r="X38" s="59"/>
      <c r="Y38" s="93">
        <f t="shared" si="10"/>
        <v>1</v>
      </c>
      <c r="Z38" s="3">
        <v>0</v>
      </c>
      <c r="AA38" t="s">
        <v>6142</v>
      </c>
      <c r="AD38" s="6">
        <f t="shared" si="1"/>
        <v>66.66</v>
      </c>
      <c r="AE38" s="263">
        <v>75.971322980000011</v>
      </c>
      <c r="AF38" s="17">
        <f t="shared" si="11"/>
        <v>79.99199999999999</v>
      </c>
      <c r="AG38" s="6">
        <f t="shared" si="12"/>
        <v>49.38</v>
      </c>
      <c r="AH38" s="59"/>
      <c r="AI38">
        <v>0.65</v>
      </c>
      <c r="AJ38" s="18">
        <v>0.35</v>
      </c>
      <c r="AK38" s="6">
        <f t="shared" si="13"/>
        <v>65.989999999999995</v>
      </c>
      <c r="AL38" s="6">
        <f t="shared" si="14"/>
        <v>65.33</v>
      </c>
      <c r="AM38" s="6">
        <f t="shared" si="15"/>
        <v>64.66</v>
      </c>
      <c r="AN38" s="6">
        <f t="shared" si="16"/>
        <v>64.66</v>
      </c>
      <c r="AO38" s="6">
        <f t="shared" si="17"/>
        <v>66.66</v>
      </c>
      <c r="AP38" s="12"/>
      <c r="AQ38" s="12"/>
      <c r="AR38" s="3"/>
      <c r="AS38" s="3"/>
      <c r="AT38" s="3"/>
      <c r="AU38" s="3"/>
      <c r="AV38" s="3"/>
      <c r="AW38" s="3"/>
      <c r="AX38" s="3"/>
      <c r="AY38" s="3"/>
      <c r="AZ38" s="3"/>
      <c r="BA38" s="3"/>
      <c r="BB38" s="3"/>
      <c r="BC38" s="3"/>
      <c r="BD38" s="3"/>
      <c r="BE38" s="3"/>
      <c r="BF38" s="3"/>
      <c r="BG38" s="12">
        <v>0.01</v>
      </c>
      <c r="BH38" s="12">
        <v>0.02</v>
      </c>
      <c r="BI38" s="12">
        <v>0.03</v>
      </c>
      <c r="BJ38" s="12">
        <v>0.03</v>
      </c>
      <c r="BK38" s="3"/>
      <c r="BL38" s="3"/>
      <c r="BM38" s="3"/>
      <c r="BN38" s="3"/>
      <c r="BO38" s="3"/>
      <c r="BP38" s="3"/>
      <c r="CC38" s="3" t="str">
        <f t="shared" si="18"/>
        <v>Allied-Moulded-AMHMI66CCHTP.jpg</v>
      </c>
      <c r="CD38" s="16" t="s">
        <v>111</v>
      </c>
      <c r="CG38" t="s">
        <v>6159</v>
      </c>
      <c r="CI38" s="3" t="s">
        <v>97</v>
      </c>
    </row>
    <row r="39" spans="1:89" ht="15" customHeight="1">
      <c r="A39" t="s">
        <v>6064</v>
      </c>
      <c r="B39" t="s">
        <v>6082</v>
      </c>
      <c r="C39" s="16" t="s">
        <v>97</v>
      </c>
      <c r="D39" t="s">
        <v>6100</v>
      </c>
      <c r="E39" s="16" t="s">
        <v>97</v>
      </c>
      <c r="I39" s="100" t="s">
        <v>342</v>
      </c>
      <c r="J39" s="16" t="s">
        <v>101</v>
      </c>
      <c r="P39" t="s">
        <v>6118</v>
      </c>
      <c r="Q39" t="s">
        <v>6118</v>
      </c>
      <c r="R39" t="s">
        <v>6118</v>
      </c>
      <c r="S39" t="s">
        <v>6064</v>
      </c>
      <c r="T39" t="s">
        <v>6135</v>
      </c>
      <c r="U39">
        <v>3</v>
      </c>
      <c r="X39" s="59"/>
      <c r="Y39" s="93">
        <f t="shared" si="10"/>
        <v>1</v>
      </c>
      <c r="Z39" s="3">
        <v>0</v>
      </c>
      <c r="AA39" t="s">
        <v>6143</v>
      </c>
      <c r="AD39" s="6">
        <f t="shared" si="1"/>
        <v>74.17</v>
      </c>
      <c r="AE39" s="263">
        <v>84.523032909999998</v>
      </c>
      <c r="AF39" s="17">
        <f t="shared" si="11"/>
        <v>89.004000000000005</v>
      </c>
      <c r="AG39" s="6">
        <f t="shared" si="12"/>
        <v>54.94</v>
      </c>
      <c r="AH39" s="59"/>
      <c r="AI39">
        <v>0.65</v>
      </c>
      <c r="AJ39" s="18">
        <v>0.35</v>
      </c>
      <c r="AK39" s="6">
        <f t="shared" si="13"/>
        <v>73.430000000000007</v>
      </c>
      <c r="AL39" s="6">
        <f t="shared" si="14"/>
        <v>72.69</v>
      </c>
      <c r="AM39" s="6">
        <f t="shared" si="15"/>
        <v>71.94</v>
      </c>
      <c r="AN39" s="6">
        <f t="shared" si="16"/>
        <v>71.94</v>
      </c>
      <c r="AO39" s="6">
        <f t="shared" si="17"/>
        <v>74.17</v>
      </c>
      <c r="AP39" s="12"/>
      <c r="AQ39" s="12"/>
      <c r="AR39" s="3"/>
      <c r="AS39" s="3"/>
      <c r="AT39" s="3"/>
      <c r="AU39" s="3"/>
      <c r="AV39" s="3"/>
      <c r="AW39" s="3"/>
      <c r="AX39" s="3"/>
      <c r="AY39" s="3"/>
      <c r="AZ39" s="3"/>
      <c r="BA39" s="3"/>
      <c r="BB39" s="3"/>
      <c r="BC39" s="3"/>
      <c r="BD39" s="3"/>
      <c r="BE39" s="3"/>
      <c r="BF39" s="3"/>
      <c r="BG39" s="12">
        <v>0.01</v>
      </c>
      <c r="BH39" s="12">
        <v>0.02</v>
      </c>
      <c r="BI39" s="12">
        <v>0.03</v>
      </c>
      <c r="BJ39" s="12">
        <v>0.03</v>
      </c>
      <c r="BK39" s="3"/>
      <c r="BL39" s="3"/>
      <c r="BM39" s="3"/>
      <c r="BN39" s="3"/>
      <c r="BO39" s="3"/>
      <c r="BP39" s="3"/>
      <c r="CC39" s="3" t="str">
        <f t="shared" si="18"/>
        <v>Allied-Moulded-AMHMI66CCL.jpg</v>
      </c>
      <c r="CD39" s="16" t="s">
        <v>111</v>
      </c>
      <c r="CG39" t="s">
        <v>6159</v>
      </c>
      <c r="CI39" s="3" t="s">
        <v>97</v>
      </c>
    </row>
    <row r="40" spans="1:89" ht="15" customHeight="1">
      <c r="A40" t="s">
        <v>6065</v>
      </c>
      <c r="B40" t="s">
        <v>6083</v>
      </c>
      <c r="C40" s="16" t="s">
        <v>97</v>
      </c>
      <c r="D40" t="s">
        <v>6101</v>
      </c>
      <c r="E40" s="16" t="s">
        <v>97</v>
      </c>
      <c r="I40" s="100" t="s">
        <v>342</v>
      </c>
      <c r="J40" s="16" t="s">
        <v>101</v>
      </c>
      <c r="P40" t="s">
        <v>6119</v>
      </c>
      <c r="Q40" t="s">
        <v>6119</v>
      </c>
      <c r="R40" t="s">
        <v>6119</v>
      </c>
      <c r="S40" t="s">
        <v>6065</v>
      </c>
      <c r="T40" t="s">
        <v>6135</v>
      </c>
      <c r="U40">
        <v>3</v>
      </c>
      <c r="X40" s="59"/>
      <c r="Y40" s="93">
        <f t="shared" si="10"/>
        <v>1</v>
      </c>
      <c r="Z40" s="3">
        <v>0</v>
      </c>
      <c r="AA40" t="s">
        <v>6144</v>
      </c>
      <c r="AD40" s="6">
        <f t="shared" si="1"/>
        <v>61.37</v>
      </c>
      <c r="AE40" s="263">
        <v>69.938827220000007</v>
      </c>
      <c r="AF40" s="17">
        <f t="shared" si="11"/>
        <v>73.643999999999991</v>
      </c>
      <c r="AG40" s="6">
        <f t="shared" si="12"/>
        <v>45.46</v>
      </c>
      <c r="AH40" s="59"/>
      <c r="AI40">
        <v>0.65</v>
      </c>
      <c r="AJ40" s="18">
        <v>0.35</v>
      </c>
      <c r="AK40" s="6">
        <f t="shared" si="13"/>
        <v>60.76</v>
      </c>
      <c r="AL40" s="6">
        <f t="shared" si="14"/>
        <v>60.14</v>
      </c>
      <c r="AM40" s="6">
        <f t="shared" si="15"/>
        <v>59.53</v>
      </c>
      <c r="AN40" s="6">
        <f t="shared" si="16"/>
        <v>59.53</v>
      </c>
      <c r="AO40" s="6">
        <f t="shared" si="17"/>
        <v>61.37</v>
      </c>
      <c r="AP40" s="12"/>
      <c r="AQ40" s="12"/>
      <c r="AR40" s="3"/>
      <c r="AS40" s="3"/>
      <c r="AT40" s="3"/>
      <c r="AU40" s="3"/>
      <c r="AV40" s="3"/>
      <c r="AW40" s="3"/>
      <c r="AX40" s="3"/>
      <c r="AY40" s="3"/>
      <c r="AZ40" s="3"/>
      <c r="BA40" s="3"/>
      <c r="BB40" s="3"/>
      <c r="BC40" s="3"/>
      <c r="BD40" s="3"/>
      <c r="BE40" s="3"/>
      <c r="BF40" s="3"/>
      <c r="BG40" s="12">
        <v>0.01</v>
      </c>
      <c r="BH40" s="12">
        <v>0.02</v>
      </c>
      <c r="BI40" s="12">
        <v>0.03</v>
      </c>
      <c r="BJ40" s="12">
        <v>0.03</v>
      </c>
      <c r="BK40" s="3"/>
      <c r="BL40" s="3"/>
      <c r="BM40" s="3"/>
      <c r="BN40" s="3"/>
      <c r="BO40" s="3"/>
      <c r="BP40" s="3"/>
      <c r="CC40" s="3" t="str">
        <f t="shared" si="18"/>
        <v>Allied-Moulded-AMHMI66H.jpg</v>
      </c>
      <c r="CD40" s="16" t="s">
        <v>111</v>
      </c>
      <c r="CG40" t="s">
        <v>6159</v>
      </c>
      <c r="CI40" s="3" t="s">
        <v>97</v>
      </c>
    </row>
    <row r="41" spans="1:89" ht="15" customHeight="1">
      <c r="A41" t="s">
        <v>6066</v>
      </c>
      <c r="B41" t="s">
        <v>6084</v>
      </c>
      <c r="C41" s="16" t="s">
        <v>97</v>
      </c>
      <c r="D41" t="s">
        <v>6102</v>
      </c>
      <c r="E41" s="16" t="s">
        <v>97</v>
      </c>
      <c r="I41" s="100" t="s">
        <v>342</v>
      </c>
      <c r="J41" s="16" t="s">
        <v>101</v>
      </c>
      <c r="P41" t="s">
        <v>6120</v>
      </c>
      <c r="Q41" t="s">
        <v>6120</v>
      </c>
      <c r="R41" t="s">
        <v>6120</v>
      </c>
      <c r="S41" t="s">
        <v>6066</v>
      </c>
      <c r="T41" t="s">
        <v>6135</v>
      </c>
      <c r="U41">
        <v>3</v>
      </c>
      <c r="X41" s="59"/>
      <c r="Y41" s="93">
        <f t="shared" si="10"/>
        <v>1</v>
      </c>
      <c r="Z41" s="3">
        <v>0</v>
      </c>
      <c r="AA41" t="s">
        <v>6145</v>
      </c>
      <c r="AD41" s="6">
        <f t="shared" si="1"/>
        <v>64.650000000000006</v>
      </c>
      <c r="AE41" s="263">
        <v>73.68360543</v>
      </c>
      <c r="AF41" s="17">
        <f t="shared" si="11"/>
        <v>77.58</v>
      </c>
      <c r="AG41" s="6">
        <f t="shared" si="12"/>
        <v>47.89</v>
      </c>
      <c r="AH41" s="59"/>
      <c r="AI41">
        <v>0.65</v>
      </c>
      <c r="AJ41" s="18">
        <v>0.35</v>
      </c>
      <c r="AK41" s="6">
        <f t="shared" si="13"/>
        <v>64</v>
      </c>
      <c r="AL41" s="6">
        <f t="shared" si="14"/>
        <v>63.36</v>
      </c>
      <c r="AM41" s="6">
        <f t="shared" si="15"/>
        <v>62.71</v>
      </c>
      <c r="AN41" s="6">
        <f t="shared" si="16"/>
        <v>62.71</v>
      </c>
      <c r="AO41" s="6">
        <f t="shared" si="17"/>
        <v>64.650000000000006</v>
      </c>
      <c r="AP41" s="12"/>
      <c r="AQ41" s="12"/>
      <c r="AR41" s="3"/>
      <c r="AS41" s="3"/>
      <c r="AT41" s="3"/>
      <c r="AU41" s="3"/>
      <c r="AV41" s="3"/>
      <c r="AW41" s="3"/>
      <c r="AX41" s="3"/>
      <c r="AY41" s="3"/>
      <c r="AZ41" s="3"/>
      <c r="BA41" s="3"/>
      <c r="BB41" s="3"/>
      <c r="BC41" s="3"/>
      <c r="BD41" s="3"/>
      <c r="BE41" s="3"/>
      <c r="BF41" s="3"/>
      <c r="BG41" s="12">
        <v>0.01</v>
      </c>
      <c r="BH41" s="12">
        <v>0.02</v>
      </c>
      <c r="BI41" s="12">
        <v>0.03</v>
      </c>
      <c r="BJ41" s="12">
        <v>0.03</v>
      </c>
      <c r="BK41" s="3"/>
      <c r="BL41" s="3"/>
      <c r="BM41" s="3"/>
      <c r="BN41" s="3"/>
      <c r="BO41" s="3"/>
      <c r="BP41" s="3"/>
      <c r="CC41" s="3" t="str">
        <f t="shared" si="18"/>
        <v>Allied-Moulded-AMHMI66HTP.jpg</v>
      </c>
      <c r="CD41" s="16" t="s">
        <v>111</v>
      </c>
      <c r="CG41" t="s">
        <v>6159</v>
      </c>
      <c r="CI41" s="3" t="s">
        <v>97</v>
      </c>
    </row>
    <row r="42" spans="1:89" ht="15" customHeight="1">
      <c r="A42" t="s">
        <v>6067</v>
      </c>
      <c r="B42" t="s">
        <v>6085</v>
      </c>
      <c r="C42" s="16" t="s">
        <v>97</v>
      </c>
      <c r="D42" t="s">
        <v>6103</v>
      </c>
      <c r="E42" s="16" t="s">
        <v>97</v>
      </c>
      <c r="I42" s="100" t="s">
        <v>342</v>
      </c>
      <c r="J42" s="16" t="s">
        <v>101</v>
      </c>
      <c r="P42" t="s">
        <v>6121</v>
      </c>
      <c r="Q42" t="s">
        <v>6121</v>
      </c>
      <c r="R42" t="s">
        <v>6121</v>
      </c>
      <c r="S42" t="s">
        <v>6067</v>
      </c>
      <c r="T42" t="s">
        <v>6135</v>
      </c>
      <c r="U42">
        <v>3</v>
      </c>
      <c r="X42" s="59"/>
      <c r="Y42" s="93">
        <f t="shared" si="10"/>
        <v>1</v>
      </c>
      <c r="Z42" s="3">
        <v>0</v>
      </c>
      <c r="AA42" t="s">
        <v>6146</v>
      </c>
      <c r="AD42" s="6">
        <f t="shared" si="1"/>
        <v>70.94</v>
      </c>
      <c r="AE42" s="263">
        <v>80.846342849999985</v>
      </c>
      <c r="AF42" s="17">
        <f t="shared" si="11"/>
        <v>85.128</v>
      </c>
      <c r="AG42" s="6">
        <f t="shared" si="12"/>
        <v>52.55</v>
      </c>
      <c r="AH42" s="59"/>
      <c r="AI42">
        <v>0.65</v>
      </c>
      <c r="AJ42" s="18">
        <v>0.35</v>
      </c>
      <c r="AK42" s="6">
        <f t="shared" si="13"/>
        <v>70.23</v>
      </c>
      <c r="AL42" s="6">
        <f t="shared" si="14"/>
        <v>69.52</v>
      </c>
      <c r="AM42" s="6">
        <f t="shared" si="15"/>
        <v>68.81</v>
      </c>
      <c r="AN42" s="6">
        <f t="shared" si="16"/>
        <v>68.81</v>
      </c>
      <c r="AO42" s="6">
        <f t="shared" si="17"/>
        <v>70.94</v>
      </c>
      <c r="AP42" s="12"/>
      <c r="AQ42" s="12"/>
      <c r="AR42" s="3"/>
      <c r="AS42" s="3"/>
      <c r="AT42" s="3"/>
      <c r="AU42" s="3"/>
      <c r="AV42" s="3"/>
      <c r="AW42" s="3"/>
      <c r="AX42" s="3"/>
      <c r="AY42" s="3"/>
      <c r="AZ42" s="3"/>
      <c r="BA42" s="3"/>
      <c r="BB42" s="3"/>
      <c r="BC42" s="3"/>
      <c r="BD42" s="3"/>
      <c r="BE42" s="3"/>
      <c r="BF42" s="3"/>
      <c r="BG42" s="12">
        <v>0.01</v>
      </c>
      <c r="BH42" s="12">
        <v>0.02</v>
      </c>
      <c r="BI42" s="12">
        <v>0.03</v>
      </c>
      <c r="BJ42" s="12">
        <v>0.03</v>
      </c>
      <c r="BK42" s="3"/>
      <c r="BL42" s="3"/>
      <c r="BM42" s="3"/>
      <c r="BN42" s="3"/>
      <c r="BO42" s="3"/>
      <c r="BP42" s="3"/>
      <c r="CC42" s="3" t="str">
        <f t="shared" si="18"/>
        <v>Allied-Moulded-AMHMI66L.jpg</v>
      </c>
      <c r="CD42" s="16" t="s">
        <v>111</v>
      </c>
      <c r="CG42" t="s">
        <v>6159</v>
      </c>
      <c r="CI42" s="3" t="s">
        <v>97</v>
      </c>
    </row>
    <row r="43" spans="1:89" ht="15" customHeight="1">
      <c r="A43" t="s">
        <v>6068</v>
      </c>
      <c r="B43" t="s">
        <v>6086</v>
      </c>
      <c r="C43" s="16" t="s">
        <v>97</v>
      </c>
      <c r="D43" t="s">
        <v>6104</v>
      </c>
      <c r="E43" s="16" t="s">
        <v>97</v>
      </c>
      <c r="I43" s="100" t="s">
        <v>342</v>
      </c>
      <c r="J43" s="16" t="s">
        <v>101</v>
      </c>
      <c r="P43" t="s">
        <v>6122</v>
      </c>
      <c r="Q43" t="s">
        <v>6122</v>
      </c>
      <c r="R43" t="s">
        <v>6122</v>
      </c>
      <c r="S43" t="s">
        <v>6068</v>
      </c>
      <c r="T43" t="s">
        <v>6135</v>
      </c>
      <c r="U43">
        <v>3</v>
      </c>
      <c r="X43" s="59"/>
      <c r="Y43" s="93">
        <f t="shared" si="10"/>
        <v>1</v>
      </c>
      <c r="Z43" s="3">
        <v>0</v>
      </c>
      <c r="AA43" t="s">
        <v>6147</v>
      </c>
      <c r="AD43" s="6">
        <f t="shared" si="1"/>
        <v>66.56</v>
      </c>
      <c r="AE43" s="263">
        <v>75.848766369999993</v>
      </c>
      <c r="AF43" s="17">
        <f t="shared" si="11"/>
        <v>79.872</v>
      </c>
      <c r="AG43" s="6">
        <f t="shared" si="12"/>
        <v>49.3</v>
      </c>
      <c r="AH43" s="59"/>
      <c r="AI43">
        <v>0.65</v>
      </c>
      <c r="AJ43" s="18">
        <v>0.35</v>
      </c>
      <c r="AK43" s="6">
        <f t="shared" si="13"/>
        <v>65.89</v>
      </c>
      <c r="AL43" s="6">
        <f t="shared" si="14"/>
        <v>65.23</v>
      </c>
      <c r="AM43" s="6">
        <f t="shared" si="15"/>
        <v>64.56</v>
      </c>
      <c r="AN43" s="6">
        <f t="shared" si="16"/>
        <v>64.56</v>
      </c>
      <c r="AO43" s="6">
        <f t="shared" si="17"/>
        <v>66.56</v>
      </c>
      <c r="AP43" s="12"/>
      <c r="AQ43" s="12"/>
      <c r="AR43" s="3"/>
      <c r="AS43" s="3"/>
      <c r="AT43" s="3"/>
      <c r="AU43" s="3"/>
      <c r="AV43" s="3"/>
      <c r="AW43" s="3"/>
      <c r="AX43" s="3"/>
      <c r="AY43" s="3"/>
      <c r="AZ43" s="3"/>
      <c r="BA43" s="3"/>
      <c r="BB43" s="3"/>
      <c r="BC43" s="3"/>
      <c r="BD43" s="3"/>
      <c r="BE43" s="3"/>
      <c r="BF43" s="3"/>
      <c r="BG43" s="12">
        <v>0.01</v>
      </c>
      <c r="BH43" s="12">
        <v>0.02</v>
      </c>
      <c r="BI43" s="12">
        <v>0.03</v>
      </c>
      <c r="BJ43" s="12">
        <v>0.03</v>
      </c>
      <c r="BK43" s="3"/>
      <c r="BL43" s="3"/>
      <c r="BM43" s="3"/>
      <c r="BN43" s="3"/>
      <c r="BO43" s="3"/>
      <c r="BP43" s="3"/>
      <c r="CC43" s="3" t="str">
        <f t="shared" si="18"/>
        <v>Allied-Moulded-AMHMI86CCH.jpg</v>
      </c>
      <c r="CD43" s="16" t="s">
        <v>111</v>
      </c>
      <c r="CG43" t="s">
        <v>6159</v>
      </c>
      <c r="CI43" s="3" t="s">
        <v>97</v>
      </c>
    </row>
    <row r="44" spans="1:89" ht="15" customHeight="1">
      <c r="A44" t="s">
        <v>6069</v>
      </c>
      <c r="B44" t="s">
        <v>6087</v>
      </c>
      <c r="C44" s="16" t="s">
        <v>97</v>
      </c>
      <c r="D44" t="s">
        <v>6105</v>
      </c>
      <c r="E44" s="16" t="s">
        <v>97</v>
      </c>
      <c r="I44" s="100" t="s">
        <v>342</v>
      </c>
      <c r="J44" s="16" t="s">
        <v>101</v>
      </c>
      <c r="P44" t="s">
        <v>6123</v>
      </c>
      <c r="Q44" t="s">
        <v>6123</v>
      </c>
      <c r="R44" t="s">
        <v>6123</v>
      </c>
      <c r="S44" t="s">
        <v>6069</v>
      </c>
      <c r="T44" t="s">
        <v>6135</v>
      </c>
      <c r="U44">
        <v>3</v>
      </c>
      <c r="X44" s="59"/>
      <c r="Y44" s="93">
        <f t="shared" si="10"/>
        <v>1</v>
      </c>
      <c r="Z44" s="3">
        <v>0</v>
      </c>
      <c r="AA44" t="s">
        <v>6148</v>
      </c>
      <c r="AD44" s="6">
        <f t="shared" si="1"/>
        <v>69.709999999999994</v>
      </c>
      <c r="AE44" s="263">
        <v>79.443489029999995</v>
      </c>
      <c r="AF44" s="17">
        <f t="shared" si="11"/>
        <v>83.651999999999987</v>
      </c>
      <c r="AG44" s="6">
        <f t="shared" si="12"/>
        <v>51.64</v>
      </c>
      <c r="AH44" s="59"/>
      <c r="AI44">
        <v>0.65</v>
      </c>
      <c r="AJ44" s="18">
        <v>0.35</v>
      </c>
      <c r="AK44" s="6">
        <f t="shared" si="13"/>
        <v>69.010000000000005</v>
      </c>
      <c r="AL44" s="6">
        <f t="shared" si="14"/>
        <v>68.319999999999993</v>
      </c>
      <c r="AM44" s="6">
        <f t="shared" si="15"/>
        <v>67.62</v>
      </c>
      <c r="AN44" s="6">
        <f t="shared" si="16"/>
        <v>67.62</v>
      </c>
      <c r="AO44" s="6">
        <f t="shared" si="17"/>
        <v>69.709999999999994</v>
      </c>
      <c r="AP44" s="12"/>
      <c r="AQ44" s="12"/>
      <c r="AR44" s="3"/>
      <c r="AS44" s="3"/>
      <c r="AT44" s="3"/>
      <c r="AU44" s="3"/>
      <c r="AV44" s="3"/>
      <c r="AW44" s="3"/>
      <c r="AX44" s="3"/>
      <c r="AY44" s="3"/>
      <c r="AZ44" s="3"/>
      <c r="BA44" s="3"/>
      <c r="BB44" s="3"/>
      <c r="BC44" s="3"/>
      <c r="BD44" s="3"/>
      <c r="BE44" s="3"/>
      <c r="BF44" s="3"/>
      <c r="BG44" s="12">
        <v>0.01</v>
      </c>
      <c r="BH44" s="12">
        <v>0.02</v>
      </c>
      <c r="BI44" s="12">
        <v>0.03</v>
      </c>
      <c r="BJ44" s="12">
        <v>0.03</v>
      </c>
      <c r="BK44" s="3"/>
      <c r="BL44" s="3"/>
      <c r="BM44" s="3"/>
      <c r="BN44" s="3"/>
      <c r="BO44" s="3"/>
      <c r="BP44" s="3"/>
      <c r="CC44" s="3" t="str">
        <f t="shared" si="18"/>
        <v>Allied-Moulded-AMHMI86CCHTP.jpg</v>
      </c>
      <c r="CD44" s="16" t="s">
        <v>111</v>
      </c>
      <c r="CG44" t="s">
        <v>6159</v>
      </c>
      <c r="CI44" s="3" t="s">
        <v>97</v>
      </c>
    </row>
    <row r="45" spans="1:89" ht="15" customHeight="1">
      <c r="A45" t="s">
        <v>6070</v>
      </c>
      <c r="B45" t="s">
        <v>6088</v>
      </c>
      <c r="C45" s="16" t="s">
        <v>97</v>
      </c>
      <c r="D45" t="s">
        <v>6106</v>
      </c>
      <c r="E45" s="16" t="s">
        <v>97</v>
      </c>
      <c r="I45" s="100" t="s">
        <v>342</v>
      </c>
      <c r="J45" s="16" t="s">
        <v>101</v>
      </c>
      <c r="P45" t="s">
        <v>6124</v>
      </c>
      <c r="Q45" t="s">
        <v>6124</v>
      </c>
      <c r="R45" t="s">
        <v>6124</v>
      </c>
      <c r="S45" t="s">
        <v>6070</v>
      </c>
      <c r="T45" t="s">
        <v>6136</v>
      </c>
      <c r="U45">
        <v>3</v>
      </c>
      <c r="X45" s="59"/>
      <c r="Y45" s="93">
        <f t="shared" si="10"/>
        <v>1</v>
      </c>
      <c r="Z45" s="3">
        <v>0</v>
      </c>
      <c r="AA45" t="s">
        <v>6149</v>
      </c>
      <c r="AD45" s="6">
        <f t="shared" si="1"/>
        <v>76.709999999999994</v>
      </c>
      <c r="AE45" s="263">
        <v>87.409916910000007</v>
      </c>
      <c r="AF45" s="17">
        <f t="shared" si="11"/>
        <v>92.051999999999992</v>
      </c>
      <c r="AG45" s="6">
        <f t="shared" si="12"/>
        <v>56.82</v>
      </c>
      <c r="AH45" s="59"/>
      <c r="AI45">
        <v>0.65</v>
      </c>
      <c r="AJ45" s="18">
        <v>0.35</v>
      </c>
      <c r="AK45" s="6">
        <f t="shared" si="13"/>
        <v>75.94</v>
      </c>
      <c r="AL45" s="6">
        <f t="shared" si="14"/>
        <v>75.180000000000007</v>
      </c>
      <c r="AM45" s="6">
        <f t="shared" si="15"/>
        <v>74.41</v>
      </c>
      <c r="AN45" s="6">
        <f t="shared" si="16"/>
        <v>74.41</v>
      </c>
      <c r="AO45" s="6">
        <f t="shared" si="17"/>
        <v>76.709999999999994</v>
      </c>
      <c r="AP45" s="12"/>
      <c r="AQ45" s="12"/>
      <c r="AR45" s="3"/>
      <c r="AS45" s="3"/>
      <c r="AT45" s="3"/>
      <c r="AU45" s="3"/>
      <c r="AV45" s="3"/>
      <c r="AW45" s="3"/>
      <c r="AX45" s="3"/>
      <c r="AY45" s="3"/>
      <c r="AZ45" s="3"/>
      <c r="BA45" s="3"/>
      <c r="BB45" s="3"/>
      <c r="BC45" s="3"/>
      <c r="BD45" s="3"/>
      <c r="BE45" s="3"/>
      <c r="BF45" s="3"/>
      <c r="BG45" s="12">
        <v>0.01</v>
      </c>
      <c r="BH45" s="12">
        <v>0.02</v>
      </c>
      <c r="BI45" s="12">
        <v>0.03</v>
      </c>
      <c r="BJ45" s="12">
        <v>0.03</v>
      </c>
      <c r="BK45" s="3"/>
      <c r="BL45" s="3"/>
      <c r="BM45" s="3"/>
      <c r="BN45" s="3"/>
      <c r="BO45" s="3"/>
      <c r="BP45" s="3"/>
      <c r="CC45" s="3" t="str">
        <f t="shared" si="18"/>
        <v>Allied-Moulded-AMHMI86CCL.jpg</v>
      </c>
      <c r="CD45" s="16" t="s">
        <v>111</v>
      </c>
      <c r="CG45" t="s">
        <v>6159</v>
      </c>
      <c r="CI45" s="3" t="s">
        <v>97</v>
      </c>
    </row>
    <row r="46" spans="1:89" ht="15" customHeight="1">
      <c r="A46" t="s">
        <v>6071</v>
      </c>
      <c r="B46" t="s">
        <v>6089</v>
      </c>
      <c r="C46" s="16" t="s">
        <v>97</v>
      </c>
      <c r="D46" t="s">
        <v>6107</v>
      </c>
      <c r="E46" s="16" t="s">
        <v>97</v>
      </c>
      <c r="I46" s="100" t="s">
        <v>342</v>
      </c>
      <c r="J46" s="16" t="s">
        <v>101</v>
      </c>
      <c r="P46" t="s">
        <v>6125</v>
      </c>
      <c r="Q46" t="s">
        <v>6125</v>
      </c>
      <c r="R46" t="s">
        <v>6125</v>
      </c>
      <c r="S46" t="s">
        <v>6071</v>
      </c>
      <c r="T46" t="s">
        <v>6135</v>
      </c>
      <c r="U46">
        <v>3</v>
      </c>
      <c r="X46" s="59"/>
      <c r="Y46" s="93">
        <f t="shared" si="10"/>
        <v>1</v>
      </c>
      <c r="Z46" s="3">
        <v>0</v>
      </c>
      <c r="AA46" t="s">
        <v>6150</v>
      </c>
      <c r="AD46" s="6">
        <f t="shared" si="1"/>
        <v>64.150000000000006</v>
      </c>
      <c r="AE46" s="263">
        <v>73.111675270000006</v>
      </c>
      <c r="AF46" s="17">
        <f t="shared" si="11"/>
        <v>76.98</v>
      </c>
      <c r="AG46" s="6">
        <f t="shared" si="12"/>
        <v>47.52</v>
      </c>
      <c r="AH46" s="59"/>
      <c r="AI46">
        <v>0.65</v>
      </c>
      <c r="AJ46" s="18">
        <v>0.35</v>
      </c>
      <c r="AK46" s="6">
        <f t="shared" si="13"/>
        <v>63.51</v>
      </c>
      <c r="AL46" s="6">
        <f t="shared" si="14"/>
        <v>62.87</v>
      </c>
      <c r="AM46" s="6">
        <f t="shared" si="15"/>
        <v>62.23</v>
      </c>
      <c r="AN46" s="6">
        <f t="shared" si="16"/>
        <v>62.23</v>
      </c>
      <c r="AO46" s="6">
        <f t="shared" si="17"/>
        <v>64.150000000000006</v>
      </c>
      <c r="AP46" s="12"/>
      <c r="AQ46" s="12"/>
      <c r="AR46" s="3"/>
      <c r="AS46" s="3"/>
      <c r="AT46" s="3"/>
      <c r="AU46" s="3"/>
      <c r="AV46" s="3"/>
      <c r="AW46" s="3"/>
      <c r="AX46" s="3"/>
      <c r="AY46" s="3"/>
      <c r="AZ46" s="3"/>
      <c r="BA46" s="3"/>
      <c r="BB46" s="3"/>
      <c r="BC46" s="3"/>
      <c r="BD46" s="3"/>
      <c r="BE46" s="3"/>
      <c r="BF46" s="3"/>
      <c r="BG46" s="12">
        <v>0.01</v>
      </c>
      <c r="BH46" s="12">
        <v>0.02</v>
      </c>
      <c r="BI46" s="12">
        <v>0.03</v>
      </c>
      <c r="BJ46" s="12">
        <v>0.03</v>
      </c>
      <c r="BK46" s="3"/>
      <c r="BL46" s="3"/>
      <c r="BM46" s="3"/>
      <c r="BN46" s="3"/>
      <c r="BO46" s="3"/>
      <c r="BP46" s="3"/>
      <c r="CC46" s="3" t="str">
        <f t="shared" si="18"/>
        <v>Allied-Moulded-AMHMI86H.jpg</v>
      </c>
      <c r="CD46" s="16" t="s">
        <v>111</v>
      </c>
      <c r="CG46" t="s">
        <v>6159</v>
      </c>
      <c r="CI46" s="3" t="s">
        <v>97</v>
      </c>
    </row>
    <row r="47" spans="1:89" ht="15" customHeight="1">
      <c r="A47" t="s">
        <v>6072</v>
      </c>
      <c r="B47" t="s">
        <v>6090</v>
      </c>
      <c r="C47" s="16" t="s">
        <v>97</v>
      </c>
      <c r="D47" t="s">
        <v>6108</v>
      </c>
      <c r="E47" s="16" t="s">
        <v>97</v>
      </c>
      <c r="I47" s="100" t="s">
        <v>342</v>
      </c>
      <c r="J47" s="16" t="s">
        <v>101</v>
      </c>
      <c r="P47" t="s">
        <v>6126</v>
      </c>
      <c r="Q47" t="s">
        <v>6126</v>
      </c>
      <c r="R47" t="s">
        <v>6126</v>
      </c>
      <c r="S47" t="s">
        <v>6072</v>
      </c>
      <c r="T47" t="s">
        <v>6135</v>
      </c>
      <c r="U47">
        <v>3</v>
      </c>
      <c r="X47" s="59"/>
      <c r="Y47" s="93">
        <f t="shared" si="10"/>
        <v>1</v>
      </c>
      <c r="Z47" s="3">
        <v>0</v>
      </c>
      <c r="AA47" t="s">
        <v>6151</v>
      </c>
      <c r="AD47" s="6">
        <f t="shared" si="1"/>
        <v>67.19</v>
      </c>
      <c r="AE47" s="263">
        <v>76.570488399999988</v>
      </c>
      <c r="AF47" s="17">
        <f t="shared" si="11"/>
        <v>80.628</v>
      </c>
      <c r="AG47" s="6">
        <f t="shared" si="12"/>
        <v>49.77</v>
      </c>
      <c r="AH47" s="59"/>
      <c r="AI47">
        <v>0.65</v>
      </c>
      <c r="AJ47" s="18">
        <v>0.35</v>
      </c>
      <c r="AK47" s="6">
        <f t="shared" si="13"/>
        <v>66.52</v>
      </c>
      <c r="AL47" s="6">
        <f t="shared" si="14"/>
        <v>65.849999999999994</v>
      </c>
      <c r="AM47" s="6">
        <f t="shared" si="15"/>
        <v>65.17</v>
      </c>
      <c r="AN47" s="6">
        <f t="shared" si="16"/>
        <v>65.17</v>
      </c>
      <c r="AO47" s="6">
        <f t="shared" si="17"/>
        <v>67.19</v>
      </c>
      <c r="AP47" s="12"/>
      <c r="AQ47" s="12"/>
      <c r="AR47" s="3"/>
      <c r="AS47" s="3"/>
      <c r="AT47" s="3"/>
      <c r="AU47" s="3"/>
      <c r="AV47" s="3"/>
      <c r="AW47" s="3"/>
      <c r="AX47" s="3"/>
      <c r="AY47" s="3"/>
      <c r="AZ47" s="3"/>
      <c r="BA47" s="3"/>
      <c r="BB47" s="3"/>
      <c r="BC47" s="3"/>
      <c r="BD47" s="3"/>
      <c r="BE47" s="3"/>
      <c r="BF47" s="3"/>
      <c r="BG47" s="12">
        <v>0.01</v>
      </c>
      <c r="BH47" s="12">
        <v>0.02</v>
      </c>
      <c r="BI47" s="12">
        <v>0.03</v>
      </c>
      <c r="BJ47" s="12">
        <v>0.03</v>
      </c>
      <c r="BK47" s="3"/>
      <c r="BL47" s="3"/>
      <c r="BM47" s="3"/>
      <c r="BN47" s="3"/>
      <c r="BO47" s="3"/>
      <c r="BP47" s="3"/>
      <c r="CC47" s="3" t="str">
        <f t="shared" si="18"/>
        <v>Allied-Moulded-AMHMI86HTP.jpg</v>
      </c>
      <c r="CD47" s="16" t="s">
        <v>111</v>
      </c>
      <c r="CG47" t="s">
        <v>6159</v>
      </c>
      <c r="CI47" s="3" t="s">
        <v>97</v>
      </c>
    </row>
    <row r="48" spans="1:89" ht="15" customHeight="1">
      <c r="A48" t="s">
        <v>6073</v>
      </c>
      <c r="B48" t="s">
        <v>6091</v>
      </c>
      <c r="C48" s="16" t="s">
        <v>97</v>
      </c>
      <c r="D48" t="s">
        <v>6109</v>
      </c>
      <c r="E48" s="16" t="s">
        <v>97</v>
      </c>
      <c r="I48" s="100" t="s">
        <v>342</v>
      </c>
      <c r="J48" s="16" t="s">
        <v>101</v>
      </c>
      <c r="P48" t="s">
        <v>6127</v>
      </c>
      <c r="Q48" t="s">
        <v>6127</v>
      </c>
      <c r="R48" t="s">
        <v>6127</v>
      </c>
      <c r="S48" t="s">
        <v>6073</v>
      </c>
      <c r="T48" t="s">
        <v>6135</v>
      </c>
      <c r="U48">
        <v>3</v>
      </c>
      <c r="X48" s="59"/>
      <c r="Y48" s="93">
        <f t="shared" si="10"/>
        <v>1</v>
      </c>
      <c r="Z48" s="3">
        <v>0</v>
      </c>
      <c r="AA48" t="s">
        <v>6152</v>
      </c>
      <c r="AD48" s="6">
        <f t="shared" si="1"/>
        <v>73.489999999999995</v>
      </c>
      <c r="AE48" s="263">
        <v>83.74684345</v>
      </c>
      <c r="AF48" s="17">
        <f t="shared" si="11"/>
        <v>88.187999999999988</v>
      </c>
      <c r="AG48" s="6">
        <f t="shared" si="12"/>
        <v>54.44</v>
      </c>
      <c r="AH48" s="59"/>
      <c r="AI48">
        <v>0.65</v>
      </c>
      <c r="AJ48" s="18">
        <v>0.35</v>
      </c>
      <c r="AK48" s="6">
        <f t="shared" si="13"/>
        <v>72.760000000000005</v>
      </c>
      <c r="AL48" s="6">
        <f t="shared" si="14"/>
        <v>72.02</v>
      </c>
      <c r="AM48" s="6">
        <f t="shared" si="15"/>
        <v>71.290000000000006</v>
      </c>
      <c r="AN48" s="6">
        <f t="shared" si="16"/>
        <v>71.290000000000006</v>
      </c>
      <c r="AO48" s="6">
        <f t="shared" si="17"/>
        <v>73.489999999999995</v>
      </c>
      <c r="AP48" s="12"/>
      <c r="AQ48" s="12"/>
      <c r="AR48" s="3"/>
      <c r="AS48" s="3"/>
      <c r="AT48" s="3"/>
      <c r="AU48" s="3"/>
      <c r="AV48" s="3"/>
      <c r="AW48" s="3"/>
      <c r="AX48" s="3"/>
      <c r="AY48" s="3"/>
      <c r="AZ48" s="3"/>
      <c r="BA48" s="3"/>
      <c r="BB48" s="3"/>
      <c r="BC48" s="3"/>
      <c r="BD48" s="3"/>
      <c r="BE48" s="3"/>
      <c r="BF48" s="3"/>
      <c r="BG48" s="12">
        <v>0.01</v>
      </c>
      <c r="BH48" s="12">
        <v>0.02</v>
      </c>
      <c r="BI48" s="12">
        <v>0.03</v>
      </c>
      <c r="BJ48" s="12">
        <v>0.03</v>
      </c>
      <c r="BK48" s="3"/>
      <c r="BL48" s="3"/>
      <c r="BM48" s="3"/>
      <c r="BN48" s="3"/>
      <c r="BO48" s="3"/>
      <c r="BP48" s="3"/>
      <c r="CC48" s="3" t="str">
        <f t="shared" si="18"/>
        <v>Allied-Moulded-AMHMI86L.jpg</v>
      </c>
      <c r="CD48" s="16" t="s">
        <v>111</v>
      </c>
      <c r="CG48" t="s">
        <v>6159</v>
      </c>
      <c r="CI48" s="3" t="s">
        <v>97</v>
      </c>
    </row>
    <row r="49" spans="1:87" ht="15" customHeight="1">
      <c r="A49" t="s">
        <v>6074</v>
      </c>
      <c r="B49" t="s">
        <v>6092</v>
      </c>
      <c r="C49" s="16" t="s">
        <v>97</v>
      </c>
      <c r="D49" t="s">
        <v>6110</v>
      </c>
      <c r="E49" s="16" t="s">
        <v>97</v>
      </c>
      <c r="I49" s="100" t="s">
        <v>342</v>
      </c>
      <c r="J49" s="16" t="s">
        <v>101</v>
      </c>
      <c r="P49" t="s">
        <v>6128</v>
      </c>
      <c r="Q49" t="s">
        <v>6128</v>
      </c>
      <c r="R49" t="s">
        <v>6128</v>
      </c>
      <c r="S49" t="s">
        <v>6074</v>
      </c>
      <c r="T49" t="s">
        <v>6137</v>
      </c>
      <c r="U49">
        <v>1</v>
      </c>
      <c r="X49" s="59"/>
      <c r="Y49" s="93">
        <f t="shared" si="10"/>
        <v>1</v>
      </c>
      <c r="Z49" s="3">
        <v>0</v>
      </c>
      <c r="AA49" t="s">
        <v>6153</v>
      </c>
      <c r="AD49" s="6">
        <f t="shared" si="1"/>
        <v>26.58</v>
      </c>
      <c r="AE49" s="263">
        <v>30.286028329999997</v>
      </c>
      <c r="AF49" s="17">
        <f t="shared" si="11"/>
        <v>31.895999999999997</v>
      </c>
      <c r="AG49" s="6">
        <f t="shared" si="12"/>
        <v>19.690000000000001</v>
      </c>
      <c r="AH49" s="59"/>
      <c r="AI49">
        <v>0.65</v>
      </c>
      <c r="AJ49" s="18">
        <v>0.35</v>
      </c>
      <c r="AK49" s="6">
        <f t="shared" si="13"/>
        <v>26.31</v>
      </c>
      <c r="AL49" s="6">
        <f t="shared" si="14"/>
        <v>26.05</v>
      </c>
      <c r="AM49" s="6">
        <f t="shared" si="15"/>
        <v>25.78</v>
      </c>
      <c r="AN49" s="6">
        <f t="shared" si="16"/>
        <v>25.78</v>
      </c>
      <c r="AO49" s="6">
        <f t="shared" si="17"/>
        <v>26.58</v>
      </c>
      <c r="AP49" s="12"/>
      <c r="AQ49" s="12"/>
      <c r="AR49" s="3"/>
      <c r="AS49" s="3"/>
      <c r="AT49" s="3"/>
      <c r="AU49" s="3"/>
      <c r="AV49" s="3"/>
      <c r="AW49" s="3"/>
      <c r="AX49" s="3"/>
      <c r="AY49" s="3"/>
      <c r="AZ49" s="3"/>
      <c r="BA49" s="3"/>
      <c r="BB49" s="3"/>
      <c r="BC49" s="3"/>
      <c r="BD49" s="3"/>
      <c r="BE49" s="3"/>
      <c r="BF49" s="3"/>
      <c r="BG49" s="12">
        <v>0.01</v>
      </c>
      <c r="BH49" s="12">
        <v>0.02</v>
      </c>
      <c r="BI49" s="12">
        <v>0.03</v>
      </c>
      <c r="BJ49" s="12">
        <v>0.03</v>
      </c>
      <c r="BK49" s="3"/>
      <c r="BL49" s="3"/>
      <c r="BM49" s="3"/>
      <c r="BN49" s="3"/>
      <c r="BO49" s="3"/>
      <c r="BP49" s="3"/>
      <c r="CC49" s="3" t="str">
        <f t="shared" si="18"/>
        <v>Allied-Moulded-AMHMIPROP66.jpg</v>
      </c>
      <c r="CD49" s="16" t="s">
        <v>111</v>
      </c>
      <c r="CG49" t="s">
        <v>6160</v>
      </c>
      <c r="CI49" s="3" t="s">
        <v>97</v>
      </c>
    </row>
    <row r="50" spans="1:87" ht="15" customHeight="1">
      <c r="A50" t="s">
        <v>6075</v>
      </c>
      <c r="B50" t="s">
        <v>6093</v>
      </c>
      <c r="C50" s="16" t="s">
        <v>97</v>
      </c>
      <c r="D50" t="s">
        <v>6111</v>
      </c>
      <c r="E50" s="16" t="s">
        <v>97</v>
      </c>
      <c r="I50" s="100" t="s">
        <v>342</v>
      </c>
      <c r="J50" s="16" t="s">
        <v>101</v>
      </c>
      <c r="P50" t="s">
        <v>6129</v>
      </c>
      <c r="Q50" t="s">
        <v>6129</v>
      </c>
      <c r="R50" t="s">
        <v>6129</v>
      </c>
      <c r="S50" t="s">
        <v>6075</v>
      </c>
      <c r="T50" t="s">
        <v>6137</v>
      </c>
      <c r="U50">
        <v>1</v>
      </c>
      <c r="X50" s="59"/>
      <c r="Y50" s="93">
        <f t="shared" si="10"/>
        <v>1</v>
      </c>
      <c r="Z50" s="3">
        <v>0</v>
      </c>
      <c r="AA50" t="s">
        <v>6154</v>
      </c>
      <c r="AD50" s="6">
        <f t="shared" si="1"/>
        <v>28.4</v>
      </c>
      <c r="AE50" s="263">
        <v>32.372456069999998</v>
      </c>
      <c r="AF50" s="17">
        <f t="shared" si="11"/>
        <v>34.08</v>
      </c>
      <c r="AG50" s="6">
        <f t="shared" si="12"/>
        <v>21.04</v>
      </c>
      <c r="AH50" s="59"/>
      <c r="AI50">
        <v>0.65</v>
      </c>
      <c r="AJ50" s="18">
        <v>0.35</v>
      </c>
      <c r="AK50" s="6">
        <f t="shared" si="13"/>
        <v>28.12</v>
      </c>
      <c r="AL50" s="6">
        <f t="shared" si="14"/>
        <v>27.83</v>
      </c>
      <c r="AM50" s="6">
        <f t="shared" si="15"/>
        <v>27.55</v>
      </c>
      <c r="AN50" s="6">
        <f t="shared" si="16"/>
        <v>27.55</v>
      </c>
      <c r="AO50" s="6">
        <f t="shared" si="17"/>
        <v>28.4</v>
      </c>
      <c r="AP50" s="12"/>
      <c r="AQ50" s="12"/>
      <c r="AR50" s="3"/>
      <c r="AS50" s="3"/>
      <c r="AT50" s="3"/>
      <c r="AU50" s="3"/>
      <c r="AV50" s="3"/>
      <c r="AW50" s="3"/>
      <c r="AX50" s="3"/>
      <c r="AY50" s="3"/>
      <c r="AZ50" s="3"/>
      <c r="BA50" s="3"/>
      <c r="BB50" s="3"/>
      <c r="BC50" s="3"/>
      <c r="BD50" s="3"/>
      <c r="BE50" s="3"/>
      <c r="BF50" s="3"/>
      <c r="BG50" s="12">
        <v>0.01</v>
      </c>
      <c r="BH50" s="12">
        <v>0.02</v>
      </c>
      <c r="BI50" s="12">
        <v>0.03</v>
      </c>
      <c r="BJ50" s="12">
        <v>0.03</v>
      </c>
      <c r="BK50" s="3"/>
      <c r="BL50" s="3"/>
      <c r="BM50" s="3"/>
      <c r="BN50" s="3"/>
      <c r="BO50" s="3"/>
      <c r="BP50" s="3"/>
      <c r="CC50" s="3" t="str">
        <f t="shared" si="18"/>
        <v>Allied-Moulded-AMHMIPROP86.jpg</v>
      </c>
      <c r="CD50" s="16" t="s">
        <v>111</v>
      </c>
      <c r="CG50" t="s">
        <v>6160</v>
      </c>
      <c r="CI50" s="3" t="s">
        <v>97</v>
      </c>
    </row>
    <row r="51" spans="1:87" ht="15" customHeight="1">
      <c r="A51" t="s">
        <v>6076</v>
      </c>
      <c r="B51" t="s">
        <v>6094</v>
      </c>
      <c r="C51" s="16" t="s">
        <v>97</v>
      </c>
      <c r="D51" t="s">
        <v>6112</v>
      </c>
      <c r="E51" s="16" t="s">
        <v>97</v>
      </c>
      <c r="I51" s="100" t="s">
        <v>342</v>
      </c>
      <c r="J51" s="16" t="s">
        <v>101</v>
      </c>
      <c r="P51" t="s">
        <v>6130</v>
      </c>
      <c r="Q51" t="s">
        <v>6130</v>
      </c>
      <c r="R51" t="s">
        <v>6130</v>
      </c>
      <c r="S51" t="s">
        <v>6076</v>
      </c>
      <c r="T51" t="s">
        <v>6138</v>
      </c>
      <c r="U51">
        <v>1</v>
      </c>
      <c r="X51" s="59"/>
      <c r="Y51" s="93">
        <f t="shared" si="10"/>
        <v>1</v>
      </c>
      <c r="Z51" s="3">
        <v>0</v>
      </c>
      <c r="AA51" t="s">
        <v>6155</v>
      </c>
      <c r="AD51" s="6">
        <f t="shared" si="1"/>
        <v>99.9</v>
      </c>
      <c r="AE51" s="263">
        <v>113.83976738</v>
      </c>
      <c r="AF51" s="17">
        <f t="shared" si="11"/>
        <v>119.88</v>
      </c>
      <c r="AG51" s="6">
        <f t="shared" si="12"/>
        <v>74</v>
      </c>
      <c r="AH51" s="59"/>
      <c r="AI51">
        <v>0.65</v>
      </c>
      <c r="AJ51" s="18">
        <v>0.35</v>
      </c>
      <c r="AK51" s="6">
        <f t="shared" si="13"/>
        <v>98.9</v>
      </c>
      <c r="AL51" s="6">
        <f t="shared" si="14"/>
        <v>97.9</v>
      </c>
      <c r="AM51" s="6">
        <f t="shared" si="15"/>
        <v>96.9</v>
      </c>
      <c r="AN51" s="6">
        <f t="shared" si="16"/>
        <v>96.9</v>
      </c>
      <c r="AO51" s="6">
        <f t="shared" si="17"/>
        <v>99.9</v>
      </c>
      <c r="AP51" s="12"/>
      <c r="AQ51" s="12"/>
      <c r="AR51" s="3"/>
      <c r="AS51" s="3"/>
      <c r="AT51" s="3"/>
      <c r="AU51" s="3"/>
      <c r="AV51" s="3"/>
      <c r="AW51" s="3"/>
      <c r="AX51" s="3"/>
      <c r="AY51" s="3"/>
      <c r="AZ51" s="3"/>
      <c r="BA51" s="3"/>
      <c r="BB51" s="3"/>
      <c r="BC51" s="3"/>
      <c r="BD51" s="3"/>
      <c r="BE51" s="3"/>
      <c r="BF51" s="3"/>
      <c r="BG51" s="12">
        <v>0.01</v>
      </c>
      <c r="BH51" s="12">
        <v>0.02</v>
      </c>
      <c r="BI51" s="12">
        <v>0.03</v>
      </c>
      <c r="BJ51" s="12">
        <v>0.03</v>
      </c>
      <c r="BK51" s="3"/>
      <c r="BL51" s="3"/>
      <c r="BM51" s="3"/>
      <c r="BN51" s="3"/>
      <c r="BO51" s="3"/>
      <c r="BP51" s="3"/>
      <c r="CC51" s="3" t="str">
        <f t="shared" si="18"/>
        <v>Allied-Moulded-AMPFA1000.jpg</v>
      </c>
      <c r="CD51" s="16" t="s">
        <v>111</v>
      </c>
      <c r="CG51" t="s">
        <v>6161</v>
      </c>
      <c r="CI51" s="3" t="s">
        <v>97</v>
      </c>
    </row>
    <row r="52" spans="1:87" ht="15" customHeight="1">
      <c r="A52" t="s">
        <v>6077</v>
      </c>
      <c r="B52" t="s">
        <v>6095</v>
      </c>
      <c r="C52" s="16" t="s">
        <v>97</v>
      </c>
      <c r="D52" t="s">
        <v>6113</v>
      </c>
      <c r="E52" s="16" t="s">
        <v>97</v>
      </c>
      <c r="I52" s="100" t="s">
        <v>342</v>
      </c>
      <c r="J52" s="16" t="s">
        <v>101</v>
      </c>
      <c r="P52" t="s">
        <v>6131</v>
      </c>
      <c r="Q52" t="s">
        <v>6131</v>
      </c>
      <c r="R52" t="s">
        <v>6131</v>
      </c>
      <c r="S52" t="s">
        <v>6077</v>
      </c>
      <c r="T52" t="s">
        <v>6139</v>
      </c>
      <c r="U52">
        <v>1</v>
      </c>
      <c r="X52" s="59"/>
      <c r="Y52" s="93">
        <f t="shared" si="10"/>
        <v>1</v>
      </c>
      <c r="Z52" s="3">
        <v>0</v>
      </c>
      <c r="AA52" t="s">
        <v>6156</v>
      </c>
      <c r="AD52" s="6">
        <f t="shared" si="1"/>
        <v>133.19999999999999</v>
      </c>
      <c r="AE52" s="263">
        <v>151.80561682000001</v>
      </c>
      <c r="AF52" s="17">
        <f t="shared" si="11"/>
        <v>159.83999999999997</v>
      </c>
      <c r="AG52" s="6">
        <f t="shared" si="12"/>
        <v>98.67</v>
      </c>
      <c r="AH52" s="59"/>
      <c r="AI52">
        <v>0.65</v>
      </c>
      <c r="AJ52" s="18">
        <v>0.35</v>
      </c>
      <c r="AK52" s="6">
        <f t="shared" si="13"/>
        <v>131.87</v>
      </c>
      <c r="AL52" s="6">
        <f t="shared" si="14"/>
        <v>130.54</v>
      </c>
      <c r="AM52" s="6">
        <f t="shared" si="15"/>
        <v>129.19999999999999</v>
      </c>
      <c r="AN52" s="6">
        <f t="shared" si="16"/>
        <v>129.19999999999999</v>
      </c>
      <c r="AO52" s="6">
        <f t="shared" si="17"/>
        <v>133.19999999999999</v>
      </c>
      <c r="AP52" s="12"/>
      <c r="AQ52" s="12"/>
      <c r="AR52" s="3"/>
      <c r="AS52" s="3"/>
      <c r="AT52" s="3"/>
      <c r="AU52" s="3"/>
      <c r="AV52" s="3"/>
      <c r="AW52" s="3"/>
      <c r="AX52" s="3"/>
      <c r="AY52" s="3"/>
      <c r="AZ52" s="3"/>
      <c r="BA52" s="3"/>
      <c r="BB52" s="3"/>
      <c r="BC52" s="3"/>
      <c r="BD52" s="3"/>
      <c r="BE52" s="3"/>
      <c r="BF52" s="3"/>
      <c r="BG52" s="12">
        <v>0.01</v>
      </c>
      <c r="BH52" s="12">
        <v>0.02</v>
      </c>
      <c r="BI52" s="12">
        <v>0.03</v>
      </c>
      <c r="BJ52" s="12">
        <v>0.03</v>
      </c>
      <c r="BK52" s="3"/>
      <c r="BL52" s="3"/>
      <c r="BM52" s="3"/>
      <c r="BN52" s="3"/>
      <c r="BO52" s="3"/>
      <c r="BP52" s="3"/>
      <c r="CC52" s="3" t="str">
        <f t="shared" si="18"/>
        <v>Allied-Moulded-AMPFA2000.jpg</v>
      </c>
      <c r="CD52" s="16" t="s">
        <v>111</v>
      </c>
      <c r="CG52" t="s">
        <v>6161</v>
      </c>
      <c r="CI52" s="3" t="s">
        <v>97</v>
      </c>
    </row>
    <row r="53" spans="1:87" ht="15" customHeight="1">
      <c r="A53" t="s">
        <v>6078</v>
      </c>
      <c r="B53" t="s">
        <v>6096</v>
      </c>
      <c r="C53" s="16" t="s">
        <v>97</v>
      </c>
      <c r="D53" t="s">
        <v>6114</v>
      </c>
      <c r="E53" s="16" t="s">
        <v>97</v>
      </c>
      <c r="I53" s="100" t="s">
        <v>342</v>
      </c>
      <c r="J53" s="16" t="s">
        <v>101</v>
      </c>
      <c r="P53" t="s">
        <v>6132</v>
      </c>
      <c r="Q53" t="s">
        <v>6132</v>
      </c>
      <c r="R53" t="s">
        <v>6132</v>
      </c>
      <c r="S53" t="s">
        <v>6078</v>
      </c>
      <c r="T53" t="s">
        <v>6138</v>
      </c>
      <c r="U53">
        <v>1</v>
      </c>
      <c r="X53" s="59"/>
      <c r="Y53" s="93">
        <f t="shared" si="10"/>
        <v>1</v>
      </c>
      <c r="Z53" s="3">
        <v>0</v>
      </c>
      <c r="AA53" t="s">
        <v>6157</v>
      </c>
      <c r="AD53" s="6">
        <f t="shared" si="1"/>
        <v>174.81</v>
      </c>
      <c r="AE53" s="263">
        <v>199.21959137000002</v>
      </c>
      <c r="AF53" s="17">
        <f t="shared" si="11"/>
        <v>209.77199999999999</v>
      </c>
      <c r="AG53" s="6">
        <f t="shared" si="12"/>
        <v>129.49</v>
      </c>
      <c r="AH53" s="59"/>
      <c r="AI53">
        <v>0.65</v>
      </c>
      <c r="AJ53" s="18">
        <v>0.35</v>
      </c>
      <c r="AK53" s="6">
        <f t="shared" si="13"/>
        <v>173.06</v>
      </c>
      <c r="AL53" s="6">
        <f t="shared" si="14"/>
        <v>171.31</v>
      </c>
      <c r="AM53" s="6">
        <f t="shared" si="15"/>
        <v>169.57</v>
      </c>
      <c r="AN53" s="6">
        <f t="shared" si="16"/>
        <v>169.57</v>
      </c>
      <c r="AO53" s="6">
        <f t="shared" si="17"/>
        <v>174.81</v>
      </c>
      <c r="AP53" s="12"/>
      <c r="AQ53" s="12"/>
      <c r="AR53" s="3"/>
      <c r="AS53" s="3"/>
      <c r="AT53" s="3"/>
      <c r="AU53" s="3"/>
      <c r="AV53" s="3"/>
      <c r="AW53" s="3"/>
      <c r="AX53" s="3"/>
      <c r="AY53" s="3"/>
      <c r="AZ53" s="3"/>
      <c r="BA53" s="3"/>
      <c r="BB53" s="3"/>
      <c r="BC53" s="3"/>
      <c r="BD53" s="3"/>
      <c r="BE53" s="3"/>
      <c r="BF53" s="3"/>
      <c r="BG53" s="12">
        <v>0.01</v>
      </c>
      <c r="BH53" s="12">
        <v>0.02</v>
      </c>
      <c r="BI53" s="12">
        <v>0.03</v>
      </c>
      <c r="BJ53" s="12">
        <v>0.03</v>
      </c>
      <c r="BK53" s="3"/>
      <c r="BL53" s="3"/>
      <c r="BM53" s="3"/>
      <c r="BN53" s="3"/>
      <c r="BO53" s="3"/>
      <c r="BP53" s="3"/>
      <c r="CC53" s="3" t="str">
        <f t="shared" si="18"/>
        <v>Allied-Moulded-AMPFA3000.jpg</v>
      </c>
      <c r="CD53" s="16" t="s">
        <v>111</v>
      </c>
      <c r="CG53" t="s">
        <v>6161</v>
      </c>
      <c r="CI53" s="3" t="s">
        <v>97</v>
      </c>
    </row>
    <row r="54" spans="1:87" ht="15" customHeight="1"/>
    <row r="55" spans="1:87" ht="15" customHeight="1"/>
    <row r="56" spans="1:87" ht="15" customHeight="1"/>
    <row r="57" spans="1:87" ht="15" customHeight="1"/>
    <row r="58" spans="1:87" ht="15" customHeight="1"/>
    <row r="59" spans="1:87" ht="15" customHeight="1"/>
    <row r="60" spans="1:87" ht="15" customHeight="1"/>
    <row r="61" spans="1:87" ht="15" customHeight="1"/>
    <row r="62" spans="1:87" ht="15" customHeight="1"/>
    <row r="63" spans="1:87" ht="15" customHeight="1"/>
    <row r="64" spans="1:87"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sheetData>
  <autoFilter ref="A3:CK3" xr:uid="{53884366-0876-4736-B754-CD28897C4DB3}">
    <sortState xmlns:xlrd2="http://schemas.microsoft.com/office/spreadsheetml/2017/richdata2" ref="A4:CK36">
      <sortCondition sortBy="cellColor" ref="AE3" dxfId="1"/>
    </sortState>
  </autoFilter>
  <phoneticPr fontId="14" type="noConversion"/>
  <conditionalFormatting sqref="Y1">
    <cfRule type="colorScale" priority="1">
      <colorScale>
        <cfvo type="num" val="0"/>
        <cfvo type="num" val="1"/>
        <color rgb="FFFF0000"/>
        <color rgb="FFFFFF00"/>
      </colorScale>
    </cfRule>
  </conditionalFormatting>
  <conditionalFormatting sqref="Y4:AD35 AF4:AJ35 Y35:Z53 AD36:AD53 AF36:AG53 AJ35:AJ53">
    <cfRule type="colorScale" priority="5">
      <colorScale>
        <cfvo type="num" val="0"/>
        <cfvo type="num" val="1"/>
        <color rgb="FFFF0000"/>
        <color rgb="FFFFFF00"/>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2AB20-7AC7-4CCD-A801-A9989A3719E6}">
  <sheetPr codeName="Sheet2"/>
  <dimension ref="A1:DG33"/>
  <sheetViews>
    <sheetView zoomScale="85" zoomScaleNormal="85" workbookViewId="0">
      <pane xSplit="1" ySplit="3" topLeftCell="P4" activePane="bottomRight" state="frozen"/>
      <selection pane="topRight" activeCell="A22" sqref="A22"/>
      <selection pane="bottomLeft" activeCell="A22" sqref="A22"/>
      <selection pane="bottomRight" sqref="A1:CF3"/>
    </sheetView>
  </sheetViews>
  <sheetFormatPr defaultColWidth="9.140625" defaultRowHeight="15"/>
  <cols>
    <col min="1" max="1" width="42.5703125" style="19" customWidth="1"/>
    <col min="2" max="2" width="29.42578125" style="3" customWidth="1"/>
    <col min="3" max="3" width="22.5703125" style="3" customWidth="1"/>
    <col min="4" max="4" width="23.140625" style="3" customWidth="1"/>
    <col min="5" max="5" width="15" style="3" customWidth="1"/>
    <col min="6" max="6" width="16.42578125" style="3" customWidth="1"/>
    <col min="7" max="8" width="13.85546875" style="3" customWidth="1"/>
    <col min="9" max="9" width="9.140625" style="3"/>
    <col min="10" max="11" width="52" style="3" customWidth="1"/>
    <col min="12" max="12" width="38" style="3" customWidth="1"/>
    <col min="13" max="13" width="67" style="3" customWidth="1"/>
    <col min="14" max="14" width="29.42578125" style="3" customWidth="1"/>
    <col min="15" max="15" width="23.42578125" style="3" customWidth="1"/>
    <col min="16" max="16" width="133.140625" style="3" customWidth="1"/>
    <col min="17" max="17" width="58.42578125" style="3" customWidth="1"/>
    <col min="18" max="18" width="49.42578125" style="5" customWidth="1"/>
    <col min="19" max="20" width="32.42578125" style="5" customWidth="1"/>
    <col min="21" max="23" width="9.140625" style="6"/>
    <col min="24" max="24" width="14.5703125" style="7" bestFit="1" customWidth="1"/>
    <col min="25" max="25" width="10" style="8" customWidth="1"/>
    <col min="26" max="27" width="11.5703125" style="3" customWidth="1"/>
    <col min="28" max="28" width="15.5703125" style="3" bestFit="1" customWidth="1"/>
    <col min="29" max="29" width="11.5703125" style="3" customWidth="1"/>
    <col min="30" max="30" width="10.5703125" style="6" customWidth="1"/>
    <col min="31" max="31" width="13.85546875" style="66" customWidth="1"/>
    <col min="32" max="32" width="9.85546875" style="10" customWidth="1"/>
    <col min="33" max="33" width="9.140625" style="6"/>
    <col min="34" max="34" width="13.42578125" style="3" customWidth="1"/>
    <col min="35" max="35" width="9.140625" style="11"/>
    <col min="36" max="36" width="9.140625" style="3"/>
    <col min="37" max="41" width="9.140625" style="6"/>
    <col min="42" max="43" width="0" style="12" hidden="1" customWidth="1"/>
    <col min="44" max="58" width="0" style="3" hidden="1" customWidth="1"/>
    <col min="59" max="59" width="17.42578125" style="3" customWidth="1"/>
    <col min="60" max="60" width="12.42578125" style="3" customWidth="1"/>
    <col min="61" max="61" width="9.140625" style="3"/>
    <col min="62" max="62" width="15.42578125" style="3" bestFit="1" customWidth="1"/>
    <col min="63" max="63" width="15.42578125" style="3" customWidth="1"/>
    <col min="64" max="68" width="0" style="3" hidden="1" customWidth="1"/>
    <col min="69" max="72" width="0" hidden="1" customWidth="1"/>
    <col min="73" max="73" width="16.42578125" hidden="1" customWidth="1"/>
    <col min="74" max="77" width="0" hidden="1" customWidth="1"/>
    <col min="78" max="78" width="16.42578125" hidden="1" customWidth="1"/>
    <col min="79" max="79" width="0" hidden="1" customWidth="1"/>
    <col min="80" max="80" width="16.42578125" hidden="1" customWidth="1"/>
    <col min="81" max="84" width="31.85546875" style="13" customWidth="1"/>
    <col min="85" max="86" width="28" style="3" customWidth="1"/>
    <col min="87" max="87" width="18.85546875" style="3" customWidth="1"/>
    <col min="88" max="88" width="21.42578125" style="3" customWidth="1"/>
    <col min="89" max="89" width="28" style="3" bestFit="1" customWidth="1"/>
    <col min="90" max="90" width="44.5703125" style="3" bestFit="1" customWidth="1"/>
    <col min="91" max="91" width="26" style="3" bestFit="1" customWidth="1"/>
    <col min="92" max="92" width="19.5703125" style="3" customWidth="1"/>
    <col min="93" max="93" width="29.42578125" style="3" bestFit="1" customWidth="1"/>
    <col min="94" max="94" width="21.140625" style="3" bestFit="1" customWidth="1"/>
    <col min="95" max="95" width="33.5703125" style="88" bestFit="1" customWidth="1"/>
    <col min="96" max="96" width="29.140625" style="3" customWidth="1"/>
    <col min="97" max="97" width="21.42578125" style="3" customWidth="1"/>
    <col min="98" max="98" width="29.140625" style="3" customWidth="1"/>
    <col min="99" max="16384" width="9.140625" style="3"/>
  </cols>
  <sheetData>
    <row r="1" spans="1:111" ht="15.75">
      <c r="A1" s="139" t="s">
        <v>0</v>
      </c>
      <c r="B1" s="158"/>
      <c r="C1" s="159"/>
      <c r="D1" s="160"/>
      <c r="E1" s="159"/>
      <c r="F1" s="161"/>
      <c r="G1" s="161"/>
      <c r="H1" s="162"/>
      <c r="I1" s="162"/>
      <c r="J1" s="161"/>
      <c r="K1" s="162"/>
      <c r="L1" s="163" t="s">
        <v>1</v>
      </c>
      <c r="M1" s="164">
        <v>3</v>
      </c>
      <c r="N1" s="159" t="s">
        <v>2</v>
      </c>
      <c r="O1" s="159"/>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171"/>
      <c r="CE1" s="171"/>
      <c r="CF1" s="171"/>
    </row>
    <row r="2" spans="1:111" ht="15.75">
      <c r="A2" s="172" t="s">
        <v>6023</v>
      </c>
      <c r="B2" s="173" t="s">
        <v>4424</v>
      </c>
      <c r="C2" s="174" t="s">
        <v>5</v>
      </c>
      <c r="D2" s="175" t="s">
        <v>4425</v>
      </c>
      <c r="E2" s="174" t="s">
        <v>6</v>
      </c>
      <c r="F2" s="141" t="s">
        <v>6024</v>
      </c>
      <c r="G2" s="14" t="s">
        <v>7</v>
      </c>
      <c r="H2" s="176" t="s">
        <v>8</v>
      </c>
      <c r="I2" s="177" t="s">
        <v>6025</v>
      </c>
      <c r="J2" s="141" t="s">
        <v>6026</v>
      </c>
      <c r="K2" s="176" t="s">
        <v>10</v>
      </c>
      <c r="L2" s="141" t="s">
        <v>11</v>
      </c>
      <c r="M2" s="141" t="s">
        <v>12</v>
      </c>
      <c r="N2" s="141" t="s">
        <v>13</v>
      </c>
      <c r="O2" s="141" t="s">
        <v>14</v>
      </c>
      <c r="P2" s="141" t="s">
        <v>15</v>
      </c>
      <c r="Q2" s="141" t="s">
        <v>16</v>
      </c>
      <c r="R2" s="178" t="s">
        <v>17</v>
      </c>
      <c r="S2" s="178" t="s">
        <v>18</v>
      </c>
      <c r="T2" s="178" t="s">
        <v>19</v>
      </c>
      <c r="U2" s="142" t="s">
        <v>6027</v>
      </c>
      <c r="V2" s="142" t="s">
        <v>20</v>
      </c>
      <c r="W2" s="177" t="s">
        <v>21</v>
      </c>
      <c r="X2" s="179" t="s">
        <v>22</v>
      </c>
      <c r="Y2" s="180" t="s">
        <v>23</v>
      </c>
      <c r="Z2" s="181" t="s">
        <v>24</v>
      </c>
      <c r="AA2" s="181" t="s">
        <v>25</v>
      </c>
      <c r="AB2" s="182" t="s">
        <v>26</v>
      </c>
      <c r="AC2" s="143" t="s">
        <v>27</v>
      </c>
      <c r="AD2" s="183" t="s">
        <v>28</v>
      </c>
      <c r="AE2" s="184" t="s">
        <v>29</v>
      </c>
      <c r="AF2" s="185" t="s">
        <v>30</v>
      </c>
      <c r="AG2" s="142" t="s">
        <v>6028</v>
      </c>
      <c r="AH2" s="14" t="s">
        <v>31</v>
      </c>
      <c r="AI2" s="14" t="s">
        <v>32</v>
      </c>
      <c r="AJ2" s="186" t="s">
        <v>33</v>
      </c>
      <c r="AK2" s="145" t="s">
        <v>34</v>
      </c>
      <c r="AL2" s="145" t="s">
        <v>35</v>
      </c>
      <c r="AM2" s="145" t="s">
        <v>36</v>
      </c>
      <c r="AN2" s="145" t="s">
        <v>77</v>
      </c>
      <c r="AO2" s="145" t="s">
        <v>78</v>
      </c>
      <c r="AP2" s="14"/>
      <c r="AQ2" s="14"/>
      <c r="AR2" s="14"/>
      <c r="AS2" s="14"/>
      <c r="AT2" s="14"/>
      <c r="AU2" s="14"/>
      <c r="AV2" s="14"/>
      <c r="AW2" s="14"/>
      <c r="AX2" s="14"/>
      <c r="AY2" s="14"/>
      <c r="AZ2" s="14"/>
      <c r="BA2" s="14"/>
      <c r="BB2" s="14"/>
      <c r="BC2" s="14"/>
      <c r="BD2" s="14"/>
      <c r="BE2" s="14"/>
      <c r="BF2" s="14"/>
      <c r="BG2" s="186" t="s">
        <v>37</v>
      </c>
      <c r="BH2" s="186" t="s">
        <v>38</v>
      </c>
      <c r="BI2" s="186" t="s">
        <v>39</v>
      </c>
      <c r="BJ2" s="186" t="s">
        <v>40</v>
      </c>
      <c r="BK2" s="186" t="s">
        <v>41</v>
      </c>
      <c r="BL2" s="14" t="s">
        <v>42</v>
      </c>
      <c r="BM2" s="14" t="s">
        <v>43</v>
      </c>
      <c r="BN2" s="14" t="s">
        <v>44</v>
      </c>
      <c r="BO2" s="14" t="s">
        <v>45</v>
      </c>
      <c r="BP2" s="14" t="s">
        <v>46</v>
      </c>
      <c r="BQ2" s="14" t="s">
        <v>47</v>
      </c>
      <c r="BR2" s="14" t="s">
        <v>48</v>
      </c>
      <c r="BS2" s="14" t="s">
        <v>49</v>
      </c>
      <c r="BT2" s="14" t="s">
        <v>50</v>
      </c>
      <c r="BU2" s="14" t="s">
        <v>51</v>
      </c>
      <c r="BV2" s="14" t="s">
        <v>52</v>
      </c>
      <c r="BW2" s="14" t="s">
        <v>53</v>
      </c>
      <c r="BX2" s="14" t="s">
        <v>54</v>
      </c>
      <c r="BY2" s="14" t="s">
        <v>55</v>
      </c>
      <c r="BZ2" s="14" t="s">
        <v>56</v>
      </c>
      <c r="CA2" s="14" t="s">
        <v>57</v>
      </c>
      <c r="CB2" s="14" t="s">
        <v>58</v>
      </c>
      <c r="CC2" s="187" t="s">
        <v>59</v>
      </c>
      <c r="CD2" s="140" t="s">
        <v>6029</v>
      </c>
      <c r="CE2" s="140" t="s">
        <v>6030</v>
      </c>
      <c r="CF2" s="144" t="s">
        <v>6031</v>
      </c>
      <c r="CG2" s="14" t="s">
        <v>60</v>
      </c>
      <c r="CH2" s="14" t="s">
        <v>61</v>
      </c>
      <c r="CI2" s="14" t="s">
        <v>4648</v>
      </c>
      <c r="CJ2" s="14" t="s">
        <v>63</v>
      </c>
      <c r="CK2" s="14" t="s">
        <v>64</v>
      </c>
      <c r="CL2" s="14" t="s">
        <v>65</v>
      </c>
      <c r="CM2" s="14" t="s">
        <v>66</v>
      </c>
      <c r="CN2" s="14" t="s">
        <v>67</v>
      </c>
      <c r="CO2" s="14" t="s">
        <v>68</v>
      </c>
      <c r="CP2" s="14" t="s">
        <v>70</v>
      </c>
      <c r="CQ2" s="89" t="s">
        <v>4649</v>
      </c>
      <c r="CR2" s="14" t="s">
        <v>73</v>
      </c>
      <c r="CS2" s="14" t="s">
        <v>74</v>
      </c>
      <c r="CT2" s="14" t="s">
        <v>75</v>
      </c>
      <c r="CU2" s="14"/>
      <c r="CV2" s="14"/>
      <c r="CW2" s="14"/>
      <c r="CX2" s="14"/>
      <c r="CY2" s="14"/>
      <c r="CZ2" s="14"/>
      <c r="DA2" s="14"/>
      <c r="DB2" s="14"/>
      <c r="DC2" s="14"/>
      <c r="DD2" s="14"/>
      <c r="DE2" s="14"/>
      <c r="DF2" s="14"/>
      <c r="DG2" s="14"/>
    </row>
    <row r="3" spans="1:111" s="28" customFormat="1" ht="18.75">
      <c r="A3" s="188" t="s">
        <v>6032</v>
      </c>
      <c r="B3" s="189" t="s">
        <v>6033</v>
      </c>
      <c r="C3" s="189" t="s">
        <v>6034</v>
      </c>
      <c r="D3" s="189" t="s">
        <v>6033</v>
      </c>
      <c r="E3" s="189" t="s">
        <v>6035</v>
      </c>
      <c r="F3" s="190" t="s">
        <v>6034</v>
      </c>
      <c r="G3" s="191"/>
      <c r="H3" s="192"/>
      <c r="I3" s="193" t="s">
        <v>6036</v>
      </c>
      <c r="J3" s="194" t="s">
        <v>9</v>
      </c>
      <c r="K3" s="192"/>
      <c r="L3" s="189"/>
      <c r="M3" s="189"/>
      <c r="N3" s="189"/>
      <c r="O3" s="189"/>
      <c r="P3" s="189" t="s">
        <v>6033</v>
      </c>
      <c r="Q3" s="189" t="s">
        <v>6033</v>
      </c>
      <c r="R3" s="195" t="s">
        <v>6033</v>
      </c>
      <c r="S3" s="195" t="s">
        <v>6033</v>
      </c>
      <c r="T3" s="195"/>
      <c r="U3" s="196" t="s">
        <v>6037</v>
      </c>
      <c r="V3" s="196"/>
      <c r="W3" s="197"/>
      <c r="X3" s="189"/>
      <c r="Y3" s="198" t="s">
        <v>76</v>
      </c>
      <c r="Z3" s="189"/>
      <c r="AA3" s="189" t="s">
        <v>79</v>
      </c>
      <c r="AB3" s="199"/>
      <c r="AC3"/>
      <c r="AD3" s="196" t="s">
        <v>6038</v>
      </c>
      <c r="AE3" s="200"/>
      <c r="AF3" s="201" t="s">
        <v>6038</v>
      </c>
      <c r="AG3" s="196" t="s">
        <v>6038</v>
      </c>
      <c r="AH3" s="191"/>
      <c r="AI3" s="191"/>
      <c r="AJ3" s="202"/>
      <c r="AK3" s="203" t="s">
        <v>6039</v>
      </c>
      <c r="AL3" s="203" t="s">
        <v>6040</v>
      </c>
      <c r="AM3" s="203" t="s">
        <v>6041</v>
      </c>
      <c r="AN3" s="203" t="s">
        <v>6042</v>
      </c>
      <c r="AO3" s="203" t="s">
        <v>6043</v>
      </c>
      <c r="AP3" s="203" t="s">
        <v>6044</v>
      </c>
      <c r="AQ3" s="203" t="s">
        <v>6045</v>
      </c>
      <c r="AR3" s="203" t="s">
        <v>6046</v>
      </c>
      <c r="AS3" s="203" t="s">
        <v>6047</v>
      </c>
      <c r="AT3" s="203" t="s">
        <v>6048</v>
      </c>
      <c r="AU3" s="203" t="s">
        <v>6049</v>
      </c>
      <c r="AV3" s="203" t="s">
        <v>6050</v>
      </c>
      <c r="AW3" s="203" t="s">
        <v>6051</v>
      </c>
      <c r="AX3" s="203" t="s">
        <v>6052</v>
      </c>
      <c r="AY3" s="203" t="s">
        <v>6053</v>
      </c>
      <c r="AZ3" s="203" t="s">
        <v>6054</v>
      </c>
      <c r="BA3" s="203" t="s">
        <v>6055</v>
      </c>
      <c r="BB3" s="203" t="s">
        <v>6056</v>
      </c>
      <c r="BC3" s="203" t="s">
        <v>6057</v>
      </c>
      <c r="BD3" s="203" t="s">
        <v>6058</v>
      </c>
      <c r="BE3" s="203" t="s">
        <v>6059</v>
      </c>
      <c r="BF3" s="203" t="s">
        <v>6060</v>
      </c>
      <c r="BG3" s="202" t="s">
        <v>34</v>
      </c>
      <c r="BH3" s="202" t="s">
        <v>35</v>
      </c>
      <c r="BI3" s="202" t="s">
        <v>36</v>
      </c>
      <c r="BJ3" s="204" t="s">
        <v>77</v>
      </c>
      <c r="BK3" s="202" t="s">
        <v>78</v>
      </c>
      <c r="BL3" s="191"/>
      <c r="BM3" s="191"/>
      <c r="BN3" s="191"/>
      <c r="BO3" s="191"/>
      <c r="BP3" s="191"/>
      <c r="BQ3" s="191"/>
      <c r="BR3" s="191"/>
      <c r="BS3" s="191"/>
      <c r="BT3" s="191"/>
      <c r="BU3" s="191"/>
      <c r="BV3" s="191"/>
      <c r="BW3" s="191"/>
      <c r="BX3" s="191"/>
      <c r="BY3" s="191"/>
      <c r="BZ3" s="191"/>
      <c r="CA3" s="191"/>
      <c r="CB3" s="191"/>
      <c r="CC3" s="205" t="s">
        <v>79</v>
      </c>
      <c r="CD3" s="171"/>
      <c r="CE3" s="171"/>
      <c r="CF3" s="171"/>
      <c r="CG3" s="28" t="s">
        <v>80</v>
      </c>
      <c r="CH3" s="28" t="s">
        <v>81</v>
      </c>
      <c r="CI3" s="28" t="s">
        <v>5</v>
      </c>
      <c r="CJ3" s="28" t="s">
        <v>82</v>
      </c>
      <c r="CK3" s="28" t="s">
        <v>83</v>
      </c>
      <c r="CL3" s="28" t="s">
        <v>84</v>
      </c>
      <c r="CM3" s="28" t="s">
        <v>85</v>
      </c>
      <c r="CN3" s="28" t="s">
        <v>86</v>
      </c>
      <c r="CO3" s="28" t="s">
        <v>87</v>
      </c>
      <c r="CP3" s="28" t="s">
        <v>89</v>
      </c>
      <c r="CQ3" s="90" t="s">
        <v>4650</v>
      </c>
      <c r="CR3" s="28" t="s">
        <v>92</v>
      </c>
      <c r="CS3" s="28" t="s">
        <v>93</v>
      </c>
      <c r="CT3" s="28" t="s">
        <v>94</v>
      </c>
    </row>
    <row r="4" spans="1:111" s="22" customFormat="1" ht="12.75" customHeight="1">
      <c r="A4" s="19" t="s">
        <v>4651</v>
      </c>
      <c r="B4" s="19" t="s">
        <v>4652</v>
      </c>
      <c r="C4" s="16" t="s">
        <v>97</v>
      </c>
      <c r="D4" s="19" t="s">
        <v>4653</v>
      </c>
      <c r="E4" s="16" t="s">
        <v>97</v>
      </c>
      <c r="F4" s="150" t="s">
        <v>4654</v>
      </c>
      <c r="G4" s="3"/>
      <c r="H4" s="3"/>
      <c r="I4" s="100" t="s">
        <v>342</v>
      </c>
      <c r="J4" s="16" t="s">
        <v>101</v>
      </c>
      <c r="K4" s="16"/>
      <c r="L4" s="3" t="s">
        <v>102</v>
      </c>
      <c r="M4" s="3" t="s">
        <v>103</v>
      </c>
      <c r="N4" s="16" t="s">
        <v>4655</v>
      </c>
      <c r="O4" s="16" t="s">
        <v>4656</v>
      </c>
      <c r="P4" s="19" t="s">
        <v>4657</v>
      </c>
      <c r="Q4" s="19" t="s">
        <v>4658</v>
      </c>
      <c r="R4" s="19" t="s">
        <v>4659</v>
      </c>
      <c r="S4" s="19" t="s">
        <v>4651</v>
      </c>
      <c r="T4" s="133" t="s">
        <v>4660</v>
      </c>
      <c r="U4" s="6">
        <v>2</v>
      </c>
      <c r="V4" s="6"/>
      <c r="W4" s="6"/>
      <c r="X4" s="31" t="s">
        <v>108</v>
      </c>
      <c r="Y4" s="93">
        <f t="shared" ref="Y4:Y33" si="0">IF(AD4=0, 0, IF(OR(H4="", H4&lt;&gt;0), 1, 0))</f>
        <v>1</v>
      </c>
      <c r="Z4" s="3">
        <v>0</v>
      </c>
      <c r="AA4" s="3" t="s">
        <v>4661</v>
      </c>
      <c r="AB4" s="3"/>
      <c r="AC4" s="3"/>
      <c r="AD4" s="6">
        <f t="shared" ref="AD4:AD33" si="1">ROUND((AG4*(1+AJ4)),2)</f>
        <v>58.86</v>
      </c>
      <c r="AE4" s="67">
        <v>67.072070449999998</v>
      </c>
      <c r="AF4" s="17">
        <f>AD4*1.2</f>
        <v>70.631999999999991</v>
      </c>
      <c r="AG4" s="6">
        <f t="shared" ref="AG4:AG33" si="2">ROUND((AE4*AI4),2)</f>
        <v>43.6</v>
      </c>
      <c r="AH4" s="30" t="s">
        <v>110</v>
      </c>
      <c r="AI4" s="3">
        <v>0.65</v>
      </c>
      <c r="AJ4" s="18">
        <v>0.35</v>
      </c>
      <c r="AK4" s="6">
        <f t="shared" ref="AK4:AK33" si="3">ROUND((AD4-(AD4*BG4)),2)</f>
        <v>58.27</v>
      </c>
      <c r="AL4" s="6">
        <f t="shared" ref="AL4:AL33" si="4">ROUND((AD4-(AD4*BH4)),2)</f>
        <v>57.68</v>
      </c>
      <c r="AM4" s="6">
        <f t="shared" ref="AM4:AM33" si="5">ROUND((AD4-(AD4*BI4)),2)</f>
        <v>57.09</v>
      </c>
      <c r="AN4" s="6">
        <f t="shared" ref="AN4:AN33" si="6">ROUND((AD4-(AD4*BJ4)),2)</f>
        <v>57.09</v>
      </c>
      <c r="AO4" s="6">
        <f t="shared" ref="AO4:AO33" si="7">ROUND((AD4-(AD4*BK4)),2)</f>
        <v>58.86</v>
      </c>
      <c r="AP4" s="12"/>
      <c r="AQ4" s="12"/>
      <c r="AR4" s="3"/>
      <c r="AS4" s="3"/>
      <c r="AT4" s="3"/>
      <c r="AU4" s="3"/>
      <c r="AV4" s="3"/>
      <c r="AW4" s="3"/>
      <c r="AX4" s="3"/>
      <c r="AY4" s="3"/>
      <c r="AZ4" s="3"/>
      <c r="BA4" s="3"/>
      <c r="BB4" s="3"/>
      <c r="BC4" s="3"/>
      <c r="BD4" s="3"/>
      <c r="BE4" s="3"/>
      <c r="BF4" s="3"/>
      <c r="BG4" s="12">
        <v>0.01</v>
      </c>
      <c r="BH4" s="12">
        <v>0.02</v>
      </c>
      <c r="BI4" s="12">
        <v>0.03</v>
      </c>
      <c r="BJ4" s="12">
        <v>0.03</v>
      </c>
      <c r="BK4" s="12"/>
      <c r="BL4" s="3"/>
      <c r="BM4" s="3"/>
      <c r="BN4" s="3"/>
      <c r="BO4" s="3"/>
      <c r="BP4" s="3"/>
      <c r="BQ4"/>
      <c r="BR4"/>
      <c r="BS4"/>
      <c r="BT4"/>
      <c r="BU4"/>
      <c r="BV4"/>
      <c r="BW4"/>
      <c r="BX4"/>
      <c r="BY4"/>
      <c r="BZ4"/>
      <c r="CA4"/>
      <c r="CB4"/>
      <c r="CC4" s="3" t="str">
        <f t="shared" ref="CC4:CC33" si="8">IF(B4&lt;&gt;"",CONCATENATE(SUBSTITUTE(B4," ","-"),".jpg"),"")</f>
        <v>Allied-Moulded-AM1PB.jpg</v>
      </c>
      <c r="CD4" s="16" t="s">
        <v>111</v>
      </c>
      <c r="CE4" s="3"/>
      <c r="CF4" s="3"/>
      <c r="CG4" s="3" t="s">
        <v>4662</v>
      </c>
      <c r="CH4" s="3"/>
      <c r="CI4" s="3" t="s">
        <v>97</v>
      </c>
      <c r="CJ4" s="3" t="s">
        <v>844</v>
      </c>
      <c r="CK4" s="3" t="s">
        <v>114</v>
      </c>
      <c r="CL4" s="3" t="s">
        <v>115</v>
      </c>
      <c r="CM4" s="3"/>
      <c r="CN4" s="16" t="s">
        <v>349</v>
      </c>
      <c r="CO4" s="16" t="s">
        <v>350</v>
      </c>
      <c r="CP4" s="3" t="s">
        <v>120</v>
      </c>
      <c r="CQ4" s="26">
        <v>1</v>
      </c>
      <c r="CR4" s="16" t="s">
        <v>2636</v>
      </c>
      <c r="CS4" s="16" t="s">
        <v>657</v>
      </c>
      <c r="CT4" s="16" t="s">
        <v>2584</v>
      </c>
      <c r="CU4" s="3"/>
      <c r="CV4" s="3"/>
      <c r="CW4" s="3"/>
      <c r="CX4" s="3"/>
      <c r="CY4" s="3"/>
      <c r="CZ4" s="3"/>
      <c r="DA4" s="3"/>
      <c r="DB4" s="3"/>
      <c r="DC4" s="3"/>
      <c r="DD4" s="3"/>
      <c r="DE4" s="3"/>
      <c r="DF4" s="3"/>
      <c r="DG4" s="3"/>
    </row>
    <row r="5" spans="1:111" ht="12.75" customHeight="1">
      <c r="A5" s="19" t="s">
        <v>4663</v>
      </c>
      <c r="B5" s="19" t="s">
        <v>4664</v>
      </c>
      <c r="C5" s="16" t="s">
        <v>97</v>
      </c>
      <c r="D5" s="19" t="s">
        <v>4665</v>
      </c>
      <c r="E5" s="16" t="s">
        <v>97</v>
      </c>
      <c r="F5" s="150" t="s">
        <v>4666</v>
      </c>
      <c r="I5" s="100" t="s">
        <v>342</v>
      </c>
      <c r="J5" s="16" t="s">
        <v>101</v>
      </c>
      <c r="K5" s="16"/>
      <c r="L5" s="3" t="s">
        <v>102</v>
      </c>
      <c r="M5" s="3" t="s">
        <v>103</v>
      </c>
      <c r="N5" s="16" t="s">
        <v>4655</v>
      </c>
      <c r="O5" s="16" t="s">
        <v>4656</v>
      </c>
      <c r="P5" s="19" t="s">
        <v>4667</v>
      </c>
      <c r="Q5" s="19" t="s">
        <v>4668</v>
      </c>
      <c r="R5" s="19" t="s">
        <v>4669</v>
      </c>
      <c r="S5" s="19" t="s">
        <v>4663</v>
      </c>
      <c r="T5" s="133" t="s">
        <v>4660</v>
      </c>
      <c r="U5" s="6">
        <v>2</v>
      </c>
      <c r="X5" s="31" t="s">
        <v>108</v>
      </c>
      <c r="Y5" s="93">
        <f t="shared" si="0"/>
        <v>1</v>
      </c>
      <c r="Z5" s="3">
        <v>0</v>
      </c>
      <c r="AA5" s="3" t="s">
        <v>4670</v>
      </c>
      <c r="AD5" s="6">
        <f t="shared" si="1"/>
        <v>60.16</v>
      </c>
      <c r="AE5" s="67">
        <v>68.560967379999994</v>
      </c>
      <c r="AF5" s="17">
        <f t="shared" ref="AF5:AF33" si="9">AD5*1.2</f>
        <v>72.191999999999993</v>
      </c>
      <c r="AG5" s="6">
        <f t="shared" si="2"/>
        <v>44.56</v>
      </c>
      <c r="AH5" s="30" t="s">
        <v>110</v>
      </c>
      <c r="AI5" s="3">
        <v>0.65</v>
      </c>
      <c r="AJ5" s="18">
        <v>0.35</v>
      </c>
      <c r="AK5" s="6">
        <f t="shared" si="3"/>
        <v>59.56</v>
      </c>
      <c r="AL5" s="6">
        <f t="shared" si="4"/>
        <v>58.96</v>
      </c>
      <c r="AM5" s="6">
        <f t="shared" si="5"/>
        <v>58.36</v>
      </c>
      <c r="AN5" s="6">
        <f t="shared" si="6"/>
        <v>58.36</v>
      </c>
      <c r="AO5" s="6">
        <f t="shared" si="7"/>
        <v>60.16</v>
      </c>
      <c r="BG5" s="12">
        <v>0.01</v>
      </c>
      <c r="BH5" s="12">
        <v>0.02</v>
      </c>
      <c r="BI5" s="12">
        <v>0.03</v>
      </c>
      <c r="BJ5" s="12">
        <v>0.03</v>
      </c>
      <c r="BK5" s="12"/>
      <c r="CC5" s="3" t="str">
        <f t="shared" si="8"/>
        <v>Allied-Moulded-AM2PB.jpg</v>
      </c>
      <c r="CD5" s="16" t="s">
        <v>111</v>
      </c>
      <c r="CE5" s="3"/>
      <c r="CF5" s="3"/>
      <c r="CG5" s="3" t="s">
        <v>4662</v>
      </c>
      <c r="CI5" s="3" t="s">
        <v>97</v>
      </c>
      <c r="CJ5" s="3" t="s">
        <v>844</v>
      </c>
      <c r="CK5" s="3" t="s">
        <v>114</v>
      </c>
      <c r="CL5" s="3" t="s">
        <v>115</v>
      </c>
      <c r="CN5" s="16" t="s">
        <v>349</v>
      </c>
      <c r="CO5" s="16" t="s">
        <v>350</v>
      </c>
      <c r="CP5" s="3" t="s">
        <v>120</v>
      </c>
      <c r="CQ5" s="26">
        <v>2</v>
      </c>
      <c r="CR5" s="16" t="s">
        <v>2636</v>
      </c>
      <c r="CS5" s="16" t="s">
        <v>657</v>
      </c>
      <c r="CT5" s="16" t="s">
        <v>2584</v>
      </c>
    </row>
    <row r="6" spans="1:111" ht="12.75" customHeight="1">
      <c r="A6" s="19" t="s">
        <v>4671</v>
      </c>
      <c r="B6" s="19" t="s">
        <v>4672</v>
      </c>
      <c r="C6" s="16" t="s">
        <v>97</v>
      </c>
      <c r="D6" s="19" t="s">
        <v>4673</v>
      </c>
      <c r="E6" s="16" t="s">
        <v>97</v>
      </c>
      <c r="F6" s="150" t="s">
        <v>4674</v>
      </c>
      <c r="I6" s="100" t="s">
        <v>342</v>
      </c>
      <c r="J6" s="16" t="s">
        <v>101</v>
      </c>
      <c r="K6" s="16"/>
      <c r="L6" s="3" t="s">
        <v>102</v>
      </c>
      <c r="M6" s="3" t="s">
        <v>103</v>
      </c>
      <c r="N6" s="16" t="s">
        <v>4655</v>
      </c>
      <c r="O6" s="16" t="s">
        <v>4656</v>
      </c>
      <c r="P6" s="19" t="s">
        <v>4675</v>
      </c>
      <c r="Q6" s="19" t="s">
        <v>4676</v>
      </c>
      <c r="R6" s="19" t="s">
        <v>4677</v>
      </c>
      <c r="S6" s="19" t="s">
        <v>4671</v>
      </c>
      <c r="T6" s="133" t="s">
        <v>4660</v>
      </c>
      <c r="U6" s="6">
        <v>2</v>
      </c>
      <c r="X6" s="31" t="s">
        <v>108</v>
      </c>
      <c r="Y6" s="93">
        <f t="shared" si="0"/>
        <v>1</v>
      </c>
      <c r="Z6" s="3">
        <v>0</v>
      </c>
      <c r="AA6" s="3" t="s">
        <v>4678</v>
      </c>
      <c r="AD6" s="6">
        <f t="shared" si="1"/>
        <v>64.31</v>
      </c>
      <c r="AE6" s="67">
        <v>73.296732280000001</v>
      </c>
      <c r="AF6" s="17">
        <f t="shared" si="9"/>
        <v>77.171999999999997</v>
      </c>
      <c r="AG6" s="6">
        <f t="shared" si="2"/>
        <v>47.64</v>
      </c>
      <c r="AH6" s="30" t="s">
        <v>110</v>
      </c>
      <c r="AI6" s="3">
        <v>0.65</v>
      </c>
      <c r="AJ6" s="18">
        <v>0.35</v>
      </c>
      <c r="AK6" s="6">
        <f t="shared" si="3"/>
        <v>63.67</v>
      </c>
      <c r="AL6" s="6">
        <f t="shared" si="4"/>
        <v>63.02</v>
      </c>
      <c r="AM6" s="6">
        <f t="shared" si="5"/>
        <v>62.38</v>
      </c>
      <c r="AN6" s="6">
        <f t="shared" si="6"/>
        <v>62.38</v>
      </c>
      <c r="AO6" s="6">
        <f t="shared" si="7"/>
        <v>64.31</v>
      </c>
      <c r="BG6" s="12">
        <v>0.01</v>
      </c>
      <c r="BH6" s="12">
        <v>0.02</v>
      </c>
      <c r="BI6" s="12">
        <v>0.03</v>
      </c>
      <c r="BJ6" s="12">
        <v>0.03</v>
      </c>
      <c r="BK6" s="12"/>
      <c r="CC6" s="3" t="str">
        <f t="shared" si="8"/>
        <v>Allied-Moulded-AM3PB.jpg</v>
      </c>
      <c r="CD6" s="16" t="s">
        <v>111</v>
      </c>
      <c r="CE6" s="3"/>
      <c r="CF6" s="3"/>
      <c r="CG6" s="3" t="s">
        <v>4662</v>
      </c>
      <c r="CI6" s="3" t="s">
        <v>97</v>
      </c>
      <c r="CJ6" s="3" t="s">
        <v>844</v>
      </c>
      <c r="CK6" s="3" t="s">
        <v>114</v>
      </c>
      <c r="CL6" s="3" t="s">
        <v>115</v>
      </c>
      <c r="CN6" s="16" t="s">
        <v>349</v>
      </c>
      <c r="CO6" s="16" t="s">
        <v>350</v>
      </c>
      <c r="CP6" s="3" t="s">
        <v>120</v>
      </c>
      <c r="CQ6" s="26">
        <v>3</v>
      </c>
      <c r="CR6" s="16" t="s">
        <v>2654</v>
      </c>
      <c r="CS6" s="16" t="s">
        <v>657</v>
      </c>
      <c r="CT6" s="16" t="s">
        <v>2584</v>
      </c>
    </row>
    <row r="7" spans="1:111" ht="12.75" customHeight="1">
      <c r="A7" s="19" t="s">
        <v>4679</v>
      </c>
      <c r="B7" s="19" t="s">
        <v>4680</v>
      </c>
      <c r="C7" s="16" t="s">
        <v>97</v>
      </c>
      <c r="D7" s="19" t="s">
        <v>4681</v>
      </c>
      <c r="E7" s="16" t="s">
        <v>97</v>
      </c>
      <c r="F7" s="150" t="s">
        <v>4682</v>
      </c>
      <c r="I7" s="100" t="s">
        <v>342</v>
      </c>
      <c r="J7" s="16" t="s">
        <v>101</v>
      </c>
      <c r="K7" s="16"/>
      <c r="L7" s="3" t="s">
        <v>102</v>
      </c>
      <c r="M7" s="3" t="s">
        <v>103</v>
      </c>
      <c r="N7" s="16" t="s">
        <v>4655</v>
      </c>
      <c r="O7" s="16" t="s">
        <v>4656</v>
      </c>
      <c r="P7" s="19" t="s">
        <v>4683</v>
      </c>
      <c r="Q7" s="19" t="s">
        <v>4684</v>
      </c>
      <c r="R7" s="19" t="s">
        <v>4685</v>
      </c>
      <c r="S7" s="19" t="s">
        <v>4679</v>
      </c>
      <c r="T7" s="133" t="s">
        <v>4660</v>
      </c>
      <c r="U7" s="6">
        <v>2</v>
      </c>
      <c r="X7" s="31" t="s">
        <v>108</v>
      </c>
      <c r="Y7" s="93">
        <f t="shared" si="0"/>
        <v>1</v>
      </c>
      <c r="Z7" s="3">
        <v>0</v>
      </c>
      <c r="AA7" s="3" t="s">
        <v>4686</v>
      </c>
      <c r="AD7" s="6">
        <f t="shared" si="1"/>
        <v>58.86</v>
      </c>
      <c r="AE7" s="67">
        <v>67.072070449999998</v>
      </c>
      <c r="AF7" s="17">
        <f t="shared" si="9"/>
        <v>70.631999999999991</v>
      </c>
      <c r="AG7" s="6">
        <f t="shared" si="2"/>
        <v>43.6</v>
      </c>
      <c r="AH7" s="30" t="s">
        <v>110</v>
      </c>
      <c r="AI7" s="3">
        <v>0.65</v>
      </c>
      <c r="AJ7" s="18">
        <v>0.35</v>
      </c>
      <c r="AK7" s="6">
        <f t="shared" si="3"/>
        <v>58.27</v>
      </c>
      <c r="AL7" s="6">
        <f t="shared" si="4"/>
        <v>57.68</v>
      </c>
      <c r="AM7" s="6">
        <f t="shared" si="5"/>
        <v>57.09</v>
      </c>
      <c r="AN7" s="6">
        <f t="shared" si="6"/>
        <v>57.09</v>
      </c>
      <c r="AO7" s="6">
        <f t="shared" si="7"/>
        <v>58.86</v>
      </c>
      <c r="BG7" s="12">
        <v>0.01</v>
      </c>
      <c r="BH7" s="12">
        <v>0.02</v>
      </c>
      <c r="BI7" s="12">
        <v>0.03</v>
      </c>
      <c r="BJ7" s="12">
        <v>0.03</v>
      </c>
      <c r="BK7" s="12"/>
      <c r="CC7" s="3" t="str">
        <f t="shared" si="8"/>
        <v>Allied-Moulded-AM1PB22.jpg</v>
      </c>
      <c r="CD7" s="16" t="s">
        <v>111</v>
      </c>
      <c r="CE7" s="3"/>
      <c r="CF7" s="3"/>
      <c r="CG7" s="3" t="s">
        <v>4662</v>
      </c>
      <c r="CI7" s="3" t="s">
        <v>97</v>
      </c>
      <c r="CJ7" s="3" t="s">
        <v>844</v>
      </c>
      <c r="CK7" s="3" t="s">
        <v>114</v>
      </c>
      <c r="CL7" s="3" t="s">
        <v>115</v>
      </c>
      <c r="CN7" s="16" t="s">
        <v>349</v>
      </c>
      <c r="CO7" s="16" t="s">
        <v>350</v>
      </c>
      <c r="CP7" s="3" t="s">
        <v>120</v>
      </c>
      <c r="CQ7" s="26">
        <v>1</v>
      </c>
      <c r="CR7" s="16" t="s">
        <v>2636</v>
      </c>
      <c r="CS7" s="16" t="s">
        <v>657</v>
      </c>
      <c r="CT7" s="16" t="s">
        <v>2584</v>
      </c>
    </row>
    <row r="8" spans="1:111" ht="12.75" customHeight="1">
      <c r="A8" s="19" t="s">
        <v>4687</v>
      </c>
      <c r="B8" s="19" t="s">
        <v>4688</v>
      </c>
      <c r="C8" s="16" t="s">
        <v>97</v>
      </c>
      <c r="D8" s="19" t="s">
        <v>4689</v>
      </c>
      <c r="E8" s="16" t="s">
        <v>97</v>
      </c>
      <c r="F8" s="150" t="s">
        <v>4690</v>
      </c>
      <c r="I8" s="100" t="s">
        <v>342</v>
      </c>
      <c r="J8" s="16" t="s">
        <v>101</v>
      </c>
      <c r="K8" s="16"/>
      <c r="L8" s="3" t="s">
        <v>102</v>
      </c>
      <c r="M8" s="3" t="s">
        <v>103</v>
      </c>
      <c r="N8" s="16" t="s">
        <v>4655</v>
      </c>
      <c r="O8" s="16" t="s">
        <v>4656</v>
      </c>
      <c r="P8" s="19" t="s">
        <v>4691</v>
      </c>
      <c r="Q8" s="19" t="s">
        <v>4692</v>
      </c>
      <c r="R8" s="19" t="s">
        <v>4693</v>
      </c>
      <c r="S8" s="19" t="s">
        <v>4687</v>
      </c>
      <c r="T8" s="133" t="s">
        <v>4660</v>
      </c>
      <c r="U8" s="6">
        <v>2</v>
      </c>
      <c r="X8" s="31" t="s">
        <v>108</v>
      </c>
      <c r="Y8" s="93">
        <f t="shared" si="0"/>
        <v>1</v>
      </c>
      <c r="Z8" s="3">
        <v>0</v>
      </c>
      <c r="AA8" s="3" t="s">
        <v>4694</v>
      </c>
      <c r="AD8" s="6">
        <f t="shared" si="1"/>
        <v>60.16</v>
      </c>
      <c r="AE8" s="67">
        <v>68.560967379999994</v>
      </c>
      <c r="AF8" s="17">
        <f t="shared" si="9"/>
        <v>72.191999999999993</v>
      </c>
      <c r="AG8" s="6">
        <f t="shared" si="2"/>
        <v>44.56</v>
      </c>
      <c r="AH8" s="30" t="s">
        <v>110</v>
      </c>
      <c r="AI8" s="3">
        <v>0.65</v>
      </c>
      <c r="AJ8" s="18">
        <v>0.35</v>
      </c>
      <c r="AK8" s="6">
        <f t="shared" si="3"/>
        <v>59.56</v>
      </c>
      <c r="AL8" s="6">
        <f t="shared" si="4"/>
        <v>58.96</v>
      </c>
      <c r="AM8" s="6">
        <f t="shared" si="5"/>
        <v>58.36</v>
      </c>
      <c r="AN8" s="6">
        <f t="shared" si="6"/>
        <v>58.36</v>
      </c>
      <c r="AO8" s="6">
        <f t="shared" si="7"/>
        <v>60.16</v>
      </c>
      <c r="BG8" s="12">
        <v>0.01</v>
      </c>
      <c r="BH8" s="12">
        <v>0.02</v>
      </c>
      <c r="BI8" s="12">
        <v>0.03</v>
      </c>
      <c r="BJ8" s="12">
        <v>0.03</v>
      </c>
      <c r="BK8" s="12"/>
      <c r="CC8" s="3" t="str">
        <f t="shared" si="8"/>
        <v>Allied-Moulded-AM2PB22.jpg</v>
      </c>
      <c r="CD8" s="16" t="s">
        <v>111</v>
      </c>
      <c r="CE8" s="3"/>
      <c r="CF8" s="3"/>
      <c r="CG8" s="3" t="s">
        <v>4662</v>
      </c>
      <c r="CI8" s="3" t="s">
        <v>97</v>
      </c>
      <c r="CJ8" s="3" t="s">
        <v>844</v>
      </c>
      <c r="CK8" s="3" t="s">
        <v>114</v>
      </c>
      <c r="CL8" s="3" t="s">
        <v>115</v>
      </c>
      <c r="CN8" s="16" t="s">
        <v>349</v>
      </c>
      <c r="CO8" s="16" t="s">
        <v>350</v>
      </c>
      <c r="CP8" s="3" t="s">
        <v>120</v>
      </c>
      <c r="CQ8" s="26">
        <v>2</v>
      </c>
      <c r="CR8" s="16" t="s">
        <v>2636</v>
      </c>
      <c r="CS8" s="16" t="s">
        <v>657</v>
      </c>
      <c r="CT8" s="16" t="s">
        <v>2584</v>
      </c>
    </row>
    <row r="9" spans="1:111" ht="12.75" customHeight="1">
      <c r="A9" s="19" t="s">
        <v>4695</v>
      </c>
      <c r="B9" s="19" t="s">
        <v>4696</v>
      </c>
      <c r="C9" s="16" t="s">
        <v>97</v>
      </c>
      <c r="D9" s="19" t="s">
        <v>4697</v>
      </c>
      <c r="E9" s="16" t="s">
        <v>97</v>
      </c>
      <c r="F9" s="150" t="s">
        <v>4698</v>
      </c>
      <c r="I9" s="100" t="s">
        <v>342</v>
      </c>
      <c r="J9" s="16" t="s">
        <v>101</v>
      </c>
      <c r="K9" s="16"/>
      <c r="L9" s="3" t="s">
        <v>102</v>
      </c>
      <c r="M9" s="3" t="s">
        <v>103</v>
      </c>
      <c r="N9" s="16" t="s">
        <v>4655</v>
      </c>
      <c r="O9" s="16" t="s">
        <v>4656</v>
      </c>
      <c r="P9" s="19" t="s">
        <v>4699</v>
      </c>
      <c r="Q9" s="19" t="s">
        <v>4700</v>
      </c>
      <c r="R9" s="19" t="s">
        <v>4701</v>
      </c>
      <c r="S9" s="19" t="s">
        <v>4695</v>
      </c>
      <c r="T9" s="133" t="s">
        <v>4660</v>
      </c>
      <c r="U9" s="6">
        <v>2</v>
      </c>
      <c r="X9" s="31" t="s">
        <v>108</v>
      </c>
      <c r="Y9" s="93">
        <f t="shared" si="0"/>
        <v>1</v>
      </c>
      <c r="Z9" s="3">
        <v>0</v>
      </c>
      <c r="AA9" s="3" t="s">
        <v>4702</v>
      </c>
      <c r="AD9" s="6">
        <f t="shared" si="1"/>
        <v>64.31</v>
      </c>
      <c r="AE9" s="67">
        <v>73.296732280000001</v>
      </c>
      <c r="AF9" s="17">
        <f t="shared" si="9"/>
        <v>77.171999999999997</v>
      </c>
      <c r="AG9" s="6">
        <f t="shared" si="2"/>
        <v>47.64</v>
      </c>
      <c r="AH9" s="30" t="s">
        <v>110</v>
      </c>
      <c r="AI9" s="3">
        <v>0.65</v>
      </c>
      <c r="AJ9" s="18">
        <v>0.35</v>
      </c>
      <c r="AK9" s="6">
        <f t="shared" si="3"/>
        <v>63.67</v>
      </c>
      <c r="AL9" s="6">
        <f t="shared" si="4"/>
        <v>63.02</v>
      </c>
      <c r="AM9" s="6">
        <f t="shared" si="5"/>
        <v>62.38</v>
      </c>
      <c r="AN9" s="6">
        <f t="shared" si="6"/>
        <v>62.38</v>
      </c>
      <c r="AO9" s="6">
        <f t="shared" si="7"/>
        <v>64.31</v>
      </c>
      <c r="BG9" s="12">
        <v>0.01</v>
      </c>
      <c r="BH9" s="12">
        <v>0.02</v>
      </c>
      <c r="BI9" s="12">
        <v>0.03</v>
      </c>
      <c r="BJ9" s="12">
        <v>0.03</v>
      </c>
      <c r="BK9" s="12"/>
      <c r="CC9" s="3" t="str">
        <f t="shared" si="8"/>
        <v>Allied-Moulded-AM3PB22.jpg</v>
      </c>
      <c r="CD9" s="16" t="s">
        <v>111</v>
      </c>
      <c r="CE9" s="3"/>
      <c r="CF9" s="3"/>
      <c r="CG9" s="3" t="s">
        <v>4662</v>
      </c>
      <c r="CI9" s="3" t="s">
        <v>97</v>
      </c>
      <c r="CJ9" s="3" t="s">
        <v>844</v>
      </c>
      <c r="CK9" s="3" t="s">
        <v>114</v>
      </c>
      <c r="CL9" s="3" t="s">
        <v>115</v>
      </c>
      <c r="CN9" s="16" t="s">
        <v>349</v>
      </c>
      <c r="CO9" s="16" t="s">
        <v>350</v>
      </c>
      <c r="CP9" s="3" t="s">
        <v>120</v>
      </c>
      <c r="CQ9" s="26">
        <v>3</v>
      </c>
      <c r="CR9" s="16" t="s">
        <v>2654</v>
      </c>
      <c r="CS9" s="16" t="s">
        <v>657</v>
      </c>
      <c r="CT9" s="16" t="s">
        <v>2584</v>
      </c>
    </row>
    <row r="10" spans="1:111" ht="12.75" customHeight="1">
      <c r="A10" s="86" t="s">
        <v>4703</v>
      </c>
      <c r="B10" s="80" t="s">
        <v>4704</v>
      </c>
      <c r="C10" s="16" t="s">
        <v>97</v>
      </c>
      <c r="D10" s="80" t="s">
        <v>4705</v>
      </c>
      <c r="E10" s="16" t="s">
        <v>97</v>
      </c>
      <c r="F10" s="150" t="s">
        <v>4706</v>
      </c>
      <c r="I10" s="100" t="s">
        <v>342</v>
      </c>
      <c r="J10" s="16" t="s">
        <v>101</v>
      </c>
      <c r="K10" s="16"/>
      <c r="L10" s="3" t="s">
        <v>102</v>
      </c>
      <c r="M10" s="3" t="s">
        <v>103</v>
      </c>
      <c r="N10" s="16" t="s">
        <v>4655</v>
      </c>
      <c r="O10" s="16" t="s">
        <v>4656</v>
      </c>
      <c r="P10" s="80" t="s">
        <v>4707</v>
      </c>
      <c r="Q10" s="80" t="s">
        <v>4708</v>
      </c>
      <c r="R10" s="80" t="s">
        <v>4709</v>
      </c>
      <c r="S10" s="80" t="s">
        <v>4703</v>
      </c>
      <c r="T10" s="132" t="s">
        <v>107</v>
      </c>
      <c r="U10" s="6">
        <v>3</v>
      </c>
      <c r="X10" s="31" t="s">
        <v>108</v>
      </c>
      <c r="Y10" s="93">
        <f t="shared" si="0"/>
        <v>1</v>
      </c>
      <c r="Z10" s="3">
        <v>0</v>
      </c>
      <c r="AA10" s="3" t="s">
        <v>4710</v>
      </c>
      <c r="AD10" s="6">
        <f t="shared" si="1"/>
        <v>81.45</v>
      </c>
      <c r="AE10" s="67">
        <v>92.813825299999991</v>
      </c>
      <c r="AF10" s="17">
        <f t="shared" si="9"/>
        <v>97.74</v>
      </c>
      <c r="AG10" s="6">
        <f t="shared" si="2"/>
        <v>60.33</v>
      </c>
      <c r="AH10" s="30" t="s">
        <v>110</v>
      </c>
      <c r="AI10" s="3">
        <v>0.65</v>
      </c>
      <c r="AJ10" s="18">
        <v>0.35</v>
      </c>
      <c r="AK10" s="6">
        <f t="shared" si="3"/>
        <v>80.64</v>
      </c>
      <c r="AL10" s="6">
        <f t="shared" si="4"/>
        <v>79.819999999999993</v>
      </c>
      <c r="AM10" s="6">
        <f t="shared" si="5"/>
        <v>79.010000000000005</v>
      </c>
      <c r="AN10" s="6">
        <f t="shared" si="6"/>
        <v>79.010000000000005</v>
      </c>
      <c r="AO10" s="6">
        <f t="shared" si="7"/>
        <v>81.45</v>
      </c>
      <c r="BG10" s="12">
        <v>0.01</v>
      </c>
      <c r="BH10" s="12">
        <v>0.02</v>
      </c>
      <c r="BI10" s="12">
        <v>0.03</v>
      </c>
      <c r="BJ10" s="12">
        <v>0.03</v>
      </c>
      <c r="BK10" s="12"/>
      <c r="CC10" s="3" t="str">
        <f t="shared" si="8"/>
        <v>Allied-Moulded-AM664P4.jpg</v>
      </c>
      <c r="CD10" s="16" t="s">
        <v>111</v>
      </c>
      <c r="CE10" s="3"/>
      <c r="CF10" s="3"/>
      <c r="CG10" s="3" t="s">
        <v>4662</v>
      </c>
      <c r="CI10" s="3" t="s">
        <v>97</v>
      </c>
      <c r="CJ10" s="3" t="s">
        <v>844</v>
      </c>
      <c r="CK10" s="3" t="s">
        <v>114</v>
      </c>
      <c r="CL10" s="3" t="s">
        <v>115</v>
      </c>
      <c r="CN10" s="16" t="s">
        <v>349</v>
      </c>
      <c r="CO10" s="16" t="s">
        <v>350</v>
      </c>
      <c r="CP10" s="3" t="s">
        <v>120</v>
      </c>
      <c r="CQ10" s="26">
        <v>4</v>
      </c>
      <c r="CR10" s="16" t="s">
        <v>351</v>
      </c>
      <c r="CS10" s="16" t="s">
        <v>351</v>
      </c>
      <c r="CT10" s="16" t="s">
        <v>657</v>
      </c>
    </row>
    <row r="11" spans="1:111" ht="12.75" customHeight="1">
      <c r="A11" s="78" t="s">
        <v>4711</v>
      </c>
      <c r="B11" s="23" t="s">
        <v>4712</v>
      </c>
      <c r="C11" s="16" t="s">
        <v>97</v>
      </c>
      <c r="D11" s="23" t="s">
        <v>4713</v>
      </c>
      <c r="E11" s="16" t="s">
        <v>97</v>
      </c>
      <c r="F11" s="150" t="s">
        <v>4714</v>
      </c>
      <c r="I11" s="100" t="s">
        <v>342</v>
      </c>
      <c r="J11" s="16" t="s">
        <v>101</v>
      </c>
      <c r="K11" s="16"/>
      <c r="L11" s="3" t="s">
        <v>102</v>
      </c>
      <c r="M11" s="3" t="s">
        <v>103</v>
      </c>
      <c r="N11" s="16" t="s">
        <v>4655</v>
      </c>
      <c r="O11" s="16" t="s">
        <v>4656</v>
      </c>
      <c r="P11" s="23" t="s">
        <v>4715</v>
      </c>
      <c r="Q11" s="23" t="s">
        <v>4716</v>
      </c>
      <c r="R11" s="23" t="s">
        <v>4717</v>
      </c>
      <c r="S11" s="23" t="s">
        <v>4711</v>
      </c>
      <c r="T11" s="132" t="s">
        <v>107</v>
      </c>
      <c r="U11" s="6">
        <v>4</v>
      </c>
      <c r="X11" s="31" t="s">
        <v>108</v>
      </c>
      <c r="Y11" s="93">
        <f t="shared" si="0"/>
        <v>1</v>
      </c>
      <c r="Z11" s="3">
        <v>0</v>
      </c>
      <c r="AA11" s="3" t="s">
        <v>4718</v>
      </c>
      <c r="AD11" s="6">
        <f t="shared" si="1"/>
        <v>89.01</v>
      </c>
      <c r="AE11" s="67">
        <v>101.42430703000001</v>
      </c>
      <c r="AF11" s="17">
        <f t="shared" si="9"/>
        <v>106.812</v>
      </c>
      <c r="AG11" s="6">
        <f t="shared" si="2"/>
        <v>65.930000000000007</v>
      </c>
      <c r="AH11" s="30" t="s">
        <v>110</v>
      </c>
      <c r="AI11" s="3">
        <v>0.65</v>
      </c>
      <c r="AJ11" s="18">
        <v>0.35</v>
      </c>
      <c r="AK11" s="6">
        <f t="shared" si="3"/>
        <v>88.12</v>
      </c>
      <c r="AL11" s="6">
        <f t="shared" si="4"/>
        <v>87.23</v>
      </c>
      <c r="AM11" s="6">
        <f t="shared" si="5"/>
        <v>86.34</v>
      </c>
      <c r="AN11" s="6">
        <f t="shared" si="6"/>
        <v>86.34</v>
      </c>
      <c r="AO11" s="6">
        <f t="shared" si="7"/>
        <v>89.01</v>
      </c>
      <c r="BG11" s="12">
        <v>0.01</v>
      </c>
      <c r="BH11" s="12">
        <v>0.02</v>
      </c>
      <c r="BI11" s="12">
        <v>0.03</v>
      </c>
      <c r="BJ11" s="12">
        <v>0.03</v>
      </c>
      <c r="BK11" s="12"/>
      <c r="CC11" s="3" t="str">
        <f t="shared" si="8"/>
        <v>Allied-Moulded-AM864P6.jpg</v>
      </c>
      <c r="CD11" s="16" t="s">
        <v>111</v>
      </c>
      <c r="CE11" s="3"/>
      <c r="CF11" s="3"/>
      <c r="CG11" s="3" t="s">
        <v>4662</v>
      </c>
      <c r="CI11" s="3" t="s">
        <v>97</v>
      </c>
      <c r="CJ11" s="3" t="s">
        <v>844</v>
      </c>
      <c r="CK11" s="3" t="s">
        <v>114</v>
      </c>
      <c r="CL11" s="3" t="s">
        <v>115</v>
      </c>
      <c r="CN11" s="16" t="s">
        <v>349</v>
      </c>
      <c r="CO11" s="16" t="s">
        <v>350</v>
      </c>
      <c r="CP11" s="3" t="s">
        <v>120</v>
      </c>
      <c r="CQ11" s="26">
        <v>6</v>
      </c>
      <c r="CR11" s="16" t="s">
        <v>385</v>
      </c>
      <c r="CS11" s="16" t="s">
        <v>351</v>
      </c>
      <c r="CT11" s="16" t="s">
        <v>657</v>
      </c>
    </row>
    <row r="12" spans="1:111" ht="12.75" customHeight="1">
      <c r="A12" s="78" t="s">
        <v>4719</v>
      </c>
      <c r="B12" s="23" t="s">
        <v>4720</v>
      </c>
      <c r="C12" s="16" t="s">
        <v>97</v>
      </c>
      <c r="D12" s="23" t="s">
        <v>4721</v>
      </c>
      <c r="E12" s="16" t="s">
        <v>97</v>
      </c>
      <c r="F12" s="150" t="s">
        <v>4722</v>
      </c>
      <c r="I12" s="100" t="s">
        <v>342</v>
      </c>
      <c r="J12" s="16" t="s">
        <v>101</v>
      </c>
      <c r="K12" s="16"/>
      <c r="L12" s="3" t="s">
        <v>102</v>
      </c>
      <c r="M12" s="3" t="s">
        <v>103</v>
      </c>
      <c r="N12" s="16" t="s">
        <v>4655</v>
      </c>
      <c r="O12" s="16" t="s">
        <v>4656</v>
      </c>
      <c r="P12" s="23" t="s">
        <v>4723</v>
      </c>
      <c r="Q12" s="23" t="s">
        <v>4724</v>
      </c>
      <c r="R12" s="23" t="s">
        <v>4725</v>
      </c>
      <c r="S12" s="23" t="s">
        <v>4719</v>
      </c>
      <c r="T12" s="132" t="s">
        <v>107</v>
      </c>
      <c r="U12" s="6">
        <v>5</v>
      </c>
      <c r="X12" s="31" t="s">
        <v>108</v>
      </c>
      <c r="Y12" s="93">
        <f t="shared" si="0"/>
        <v>1</v>
      </c>
      <c r="Z12" s="3">
        <v>0</v>
      </c>
      <c r="AA12" s="3" t="s">
        <v>4726</v>
      </c>
      <c r="AD12" s="6">
        <f t="shared" si="1"/>
        <v>109.5</v>
      </c>
      <c r="AE12" s="67">
        <v>124.78024198000001</v>
      </c>
      <c r="AF12" s="17">
        <f t="shared" si="9"/>
        <v>131.4</v>
      </c>
      <c r="AG12" s="6">
        <f t="shared" si="2"/>
        <v>81.11</v>
      </c>
      <c r="AH12" s="30" t="s">
        <v>110</v>
      </c>
      <c r="AI12" s="3">
        <v>0.65</v>
      </c>
      <c r="AJ12" s="18">
        <v>0.35</v>
      </c>
      <c r="AK12" s="6">
        <f t="shared" si="3"/>
        <v>108.41</v>
      </c>
      <c r="AL12" s="6">
        <f t="shared" si="4"/>
        <v>107.31</v>
      </c>
      <c r="AM12" s="6">
        <f t="shared" si="5"/>
        <v>106.22</v>
      </c>
      <c r="AN12" s="6">
        <f t="shared" si="6"/>
        <v>106.22</v>
      </c>
      <c r="AO12" s="6">
        <f t="shared" si="7"/>
        <v>109.5</v>
      </c>
      <c r="BG12" s="12">
        <v>0.01</v>
      </c>
      <c r="BH12" s="12">
        <v>0.02</v>
      </c>
      <c r="BI12" s="12">
        <v>0.03</v>
      </c>
      <c r="BJ12" s="12">
        <v>0.03</v>
      </c>
      <c r="BK12" s="12"/>
      <c r="CC12" s="3" t="str">
        <f t="shared" si="8"/>
        <v>Allied-Moulded-AM1084P9.jpg</v>
      </c>
      <c r="CD12" s="16" t="s">
        <v>111</v>
      </c>
      <c r="CE12" s="3"/>
      <c r="CF12" s="3"/>
      <c r="CG12" s="3" t="s">
        <v>4662</v>
      </c>
      <c r="CI12" s="3" t="s">
        <v>97</v>
      </c>
      <c r="CJ12" s="3" t="s">
        <v>844</v>
      </c>
      <c r="CK12" s="3" t="s">
        <v>114</v>
      </c>
      <c r="CL12" s="3" t="s">
        <v>115</v>
      </c>
      <c r="CN12" s="16" t="s">
        <v>349</v>
      </c>
      <c r="CO12" s="16" t="s">
        <v>350</v>
      </c>
      <c r="CP12" s="3" t="s">
        <v>120</v>
      </c>
      <c r="CQ12" s="26">
        <v>9</v>
      </c>
      <c r="CR12" s="16" t="s">
        <v>167</v>
      </c>
      <c r="CS12" s="16" t="s">
        <v>385</v>
      </c>
      <c r="CT12" s="16" t="s">
        <v>657</v>
      </c>
    </row>
    <row r="13" spans="1:111" ht="12.75" customHeight="1">
      <c r="A13" s="78" t="s">
        <v>4727</v>
      </c>
      <c r="B13" s="23" t="s">
        <v>4728</v>
      </c>
      <c r="C13" s="16" t="s">
        <v>97</v>
      </c>
      <c r="D13" s="23" t="s">
        <v>4729</v>
      </c>
      <c r="E13" s="16" t="s">
        <v>97</v>
      </c>
      <c r="F13" s="150" t="s">
        <v>4730</v>
      </c>
      <c r="I13" s="100" t="s">
        <v>342</v>
      </c>
      <c r="J13" s="16" t="s">
        <v>101</v>
      </c>
      <c r="K13" s="16"/>
      <c r="L13" s="3" t="s">
        <v>102</v>
      </c>
      <c r="M13" s="3" t="s">
        <v>103</v>
      </c>
      <c r="N13" s="16" t="s">
        <v>4655</v>
      </c>
      <c r="O13" s="16" t="s">
        <v>4656</v>
      </c>
      <c r="P13" s="23" t="s">
        <v>4731</v>
      </c>
      <c r="Q13" s="23" t="s">
        <v>4732</v>
      </c>
      <c r="R13" s="23" t="s">
        <v>4733</v>
      </c>
      <c r="S13" s="23" t="s">
        <v>4727</v>
      </c>
      <c r="T13" s="132" t="s">
        <v>107</v>
      </c>
      <c r="U13" s="6">
        <v>6</v>
      </c>
      <c r="X13" s="31" t="s">
        <v>108</v>
      </c>
      <c r="Y13" s="93">
        <f t="shared" si="0"/>
        <v>1</v>
      </c>
      <c r="Z13" s="3">
        <v>0</v>
      </c>
      <c r="AA13" s="3" t="s">
        <v>4734</v>
      </c>
      <c r="AD13" s="6">
        <f t="shared" si="1"/>
        <v>114.36</v>
      </c>
      <c r="AE13" s="67">
        <v>130.32323847999999</v>
      </c>
      <c r="AF13" s="17">
        <f t="shared" si="9"/>
        <v>137.232</v>
      </c>
      <c r="AG13" s="6">
        <f t="shared" si="2"/>
        <v>84.71</v>
      </c>
      <c r="AH13" s="30" t="s">
        <v>110</v>
      </c>
      <c r="AI13" s="3">
        <v>0.65</v>
      </c>
      <c r="AJ13" s="18">
        <v>0.35</v>
      </c>
      <c r="AK13" s="6">
        <f t="shared" si="3"/>
        <v>113.22</v>
      </c>
      <c r="AL13" s="6">
        <f t="shared" si="4"/>
        <v>112.07</v>
      </c>
      <c r="AM13" s="6">
        <f t="shared" si="5"/>
        <v>110.93</v>
      </c>
      <c r="AN13" s="6">
        <f t="shared" si="6"/>
        <v>110.93</v>
      </c>
      <c r="AO13" s="6">
        <f t="shared" si="7"/>
        <v>114.36</v>
      </c>
      <c r="BG13" s="12">
        <v>0.01</v>
      </c>
      <c r="BH13" s="12">
        <v>0.02</v>
      </c>
      <c r="BI13" s="12">
        <v>0.03</v>
      </c>
      <c r="BJ13" s="12">
        <v>0.03</v>
      </c>
      <c r="BK13" s="12"/>
      <c r="CC13" s="3" t="str">
        <f t="shared" si="8"/>
        <v>Allied-Moulded-AM1086P9.jpg</v>
      </c>
      <c r="CD13" s="16" t="s">
        <v>111</v>
      </c>
      <c r="CE13" s="3"/>
      <c r="CF13" s="3"/>
      <c r="CG13" s="3" t="s">
        <v>4662</v>
      </c>
      <c r="CI13" s="3" t="s">
        <v>97</v>
      </c>
      <c r="CJ13" s="3" t="s">
        <v>844</v>
      </c>
      <c r="CK13" s="3" t="s">
        <v>114</v>
      </c>
      <c r="CL13" s="3" t="s">
        <v>115</v>
      </c>
      <c r="CN13" s="16" t="s">
        <v>349</v>
      </c>
      <c r="CO13" s="16" t="s">
        <v>350</v>
      </c>
      <c r="CP13" s="3" t="s">
        <v>120</v>
      </c>
      <c r="CQ13" s="26">
        <v>9</v>
      </c>
      <c r="CR13" s="16" t="s">
        <v>167</v>
      </c>
      <c r="CS13" s="16" t="s">
        <v>385</v>
      </c>
      <c r="CT13" s="16" t="s">
        <v>351</v>
      </c>
    </row>
    <row r="14" spans="1:111" ht="12.75" customHeight="1">
      <c r="A14" s="78" t="s">
        <v>4735</v>
      </c>
      <c r="B14" s="23" t="s">
        <v>4736</v>
      </c>
      <c r="C14" s="16" t="s">
        <v>97</v>
      </c>
      <c r="D14" s="23" t="s">
        <v>4737</v>
      </c>
      <c r="E14" s="16" t="s">
        <v>97</v>
      </c>
      <c r="F14" s="150" t="s">
        <v>4738</v>
      </c>
      <c r="I14" s="100" t="s">
        <v>342</v>
      </c>
      <c r="J14" s="16" t="s">
        <v>101</v>
      </c>
      <c r="K14" s="16"/>
      <c r="L14" s="3" t="s">
        <v>102</v>
      </c>
      <c r="M14" s="3" t="s">
        <v>103</v>
      </c>
      <c r="N14" s="16" t="s">
        <v>4655</v>
      </c>
      <c r="O14" s="16" t="s">
        <v>4656</v>
      </c>
      <c r="P14" s="23" t="s">
        <v>4739</v>
      </c>
      <c r="Q14" s="23" t="s">
        <v>4740</v>
      </c>
      <c r="R14" s="23" t="s">
        <v>4741</v>
      </c>
      <c r="S14" s="23" t="s">
        <v>4735</v>
      </c>
      <c r="T14" s="132" t="s">
        <v>107</v>
      </c>
      <c r="U14" s="6">
        <v>6</v>
      </c>
      <c r="X14" s="31" t="s">
        <v>108</v>
      </c>
      <c r="Y14" s="93">
        <f t="shared" si="0"/>
        <v>1</v>
      </c>
      <c r="Z14" s="3">
        <v>0</v>
      </c>
      <c r="AA14" s="3" t="s">
        <v>4742</v>
      </c>
      <c r="AD14" s="6">
        <f t="shared" si="1"/>
        <v>125.67</v>
      </c>
      <c r="AE14" s="67">
        <v>143.22102723</v>
      </c>
      <c r="AF14" s="17">
        <f t="shared" si="9"/>
        <v>150.804</v>
      </c>
      <c r="AG14" s="6">
        <f t="shared" si="2"/>
        <v>93.09</v>
      </c>
      <c r="AH14" s="30" t="s">
        <v>110</v>
      </c>
      <c r="AI14" s="3">
        <v>0.65</v>
      </c>
      <c r="AJ14" s="18">
        <v>0.35</v>
      </c>
      <c r="AK14" s="6">
        <f t="shared" si="3"/>
        <v>124.41</v>
      </c>
      <c r="AL14" s="6">
        <f t="shared" si="4"/>
        <v>123.16</v>
      </c>
      <c r="AM14" s="6">
        <f t="shared" si="5"/>
        <v>121.9</v>
      </c>
      <c r="AN14" s="6">
        <f t="shared" si="6"/>
        <v>121.9</v>
      </c>
      <c r="AO14" s="6">
        <f t="shared" si="7"/>
        <v>125.67</v>
      </c>
      <c r="BG14" s="12">
        <v>0.01</v>
      </c>
      <c r="BH14" s="12">
        <v>0.02</v>
      </c>
      <c r="BI14" s="12">
        <v>0.03</v>
      </c>
      <c r="BJ14" s="12">
        <v>0.03</v>
      </c>
      <c r="BK14" s="12"/>
      <c r="CC14" s="3" t="str">
        <f t="shared" si="8"/>
        <v>Allied-Moulded-AM1086P12.jpg</v>
      </c>
      <c r="CD14" s="16" t="s">
        <v>111</v>
      </c>
      <c r="CE14" s="3"/>
      <c r="CF14" s="3"/>
      <c r="CG14" s="3" t="s">
        <v>4662</v>
      </c>
      <c r="CI14" s="3" t="s">
        <v>97</v>
      </c>
      <c r="CJ14" s="3" t="s">
        <v>844</v>
      </c>
      <c r="CK14" s="3" t="s">
        <v>114</v>
      </c>
      <c r="CL14" s="3" t="s">
        <v>115</v>
      </c>
      <c r="CN14" s="16" t="s">
        <v>349</v>
      </c>
      <c r="CO14" s="16" t="s">
        <v>350</v>
      </c>
      <c r="CP14" s="3" t="s">
        <v>120</v>
      </c>
      <c r="CQ14" s="26">
        <v>12</v>
      </c>
      <c r="CR14" s="16" t="s">
        <v>167</v>
      </c>
      <c r="CS14" s="16" t="s">
        <v>385</v>
      </c>
      <c r="CT14" s="16" t="s">
        <v>351</v>
      </c>
    </row>
    <row r="15" spans="1:111" ht="12.75" customHeight="1">
      <c r="A15" s="78" t="s">
        <v>4743</v>
      </c>
      <c r="B15" s="23" t="s">
        <v>4744</v>
      </c>
      <c r="C15" s="16" t="s">
        <v>97</v>
      </c>
      <c r="D15" s="23" t="s">
        <v>4745</v>
      </c>
      <c r="E15" s="16" t="s">
        <v>97</v>
      </c>
      <c r="F15" s="150" t="s">
        <v>4746</v>
      </c>
      <c r="I15" s="100" t="s">
        <v>342</v>
      </c>
      <c r="J15" s="16" t="s">
        <v>101</v>
      </c>
      <c r="K15" s="16"/>
      <c r="L15" s="3" t="s">
        <v>102</v>
      </c>
      <c r="M15" s="3" t="s">
        <v>103</v>
      </c>
      <c r="N15" s="16" t="s">
        <v>4655</v>
      </c>
      <c r="O15" s="16" t="s">
        <v>4656</v>
      </c>
      <c r="P15" s="23" t="s">
        <v>4747</v>
      </c>
      <c r="Q15" s="23" t="s">
        <v>4748</v>
      </c>
      <c r="R15" s="23" t="s">
        <v>4749</v>
      </c>
      <c r="S15" s="23" t="s">
        <v>4743</v>
      </c>
      <c r="T15" s="132" t="s">
        <v>107</v>
      </c>
      <c r="U15" s="6">
        <v>7</v>
      </c>
      <c r="X15" s="31" t="s">
        <v>108</v>
      </c>
      <c r="Y15" s="93">
        <f t="shared" si="0"/>
        <v>1</v>
      </c>
      <c r="Z15" s="3">
        <v>0</v>
      </c>
      <c r="AA15" s="3" t="s">
        <v>4750</v>
      </c>
      <c r="AD15" s="6">
        <f t="shared" si="1"/>
        <v>146.72999999999999</v>
      </c>
      <c r="AE15" s="67">
        <v>167.22274540000001</v>
      </c>
      <c r="AF15" s="17">
        <f t="shared" si="9"/>
        <v>176.07599999999999</v>
      </c>
      <c r="AG15" s="6">
        <f t="shared" si="2"/>
        <v>108.69</v>
      </c>
      <c r="AH15" s="30" t="s">
        <v>110</v>
      </c>
      <c r="AI15" s="3">
        <v>0.65</v>
      </c>
      <c r="AJ15" s="18">
        <v>0.35</v>
      </c>
      <c r="AK15" s="6">
        <f t="shared" si="3"/>
        <v>145.26</v>
      </c>
      <c r="AL15" s="6">
        <f t="shared" si="4"/>
        <v>143.80000000000001</v>
      </c>
      <c r="AM15" s="6">
        <f t="shared" si="5"/>
        <v>142.33000000000001</v>
      </c>
      <c r="AN15" s="6">
        <f t="shared" si="6"/>
        <v>142.33000000000001</v>
      </c>
      <c r="AO15" s="6">
        <f t="shared" si="7"/>
        <v>146.72999999999999</v>
      </c>
      <c r="BG15" s="12">
        <v>0.01</v>
      </c>
      <c r="BH15" s="12">
        <v>0.02</v>
      </c>
      <c r="BI15" s="12">
        <v>0.03</v>
      </c>
      <c r="BJ15" s="12">
        <v>0.03</v>
      </c>
      <c r="BK15" s="12"/>
      <c r="CC15" s="3" t="str">
        <f t="shared" si="8"/>
        <v>Allied-Moulded-AM1206P16.jpg</v>
      </c>
      <c r="CD15" s="16" t="s">
        <v>111</v>
      </c>
      <c r="CE15" s="3"/>
      <c r="CF15" s="3"/>
      <c r="CG15" s="3" t="s">
        <v>4662</v>
      </c>
      <c r="CI15" s="3" t="s">
        <v>97</v>
      </c>
      <c r="CJ15" s="3" t="s">
        <v>844</v>
      </c>
      <c r="CK15" s="3" t="s">
        <v>114</v>
      </c>
      <c r="CL15" s="3" t="s">
        <v>115</v>
      </c>
      <c r="CN15" s="16" t="s">
        <v>349</v>
      </c>
      <c r="CO15" s="16" t="s">
        <v>350</v>
      </c>
      <c r="CP15" s="3" t="s">
        <v>120</v>
      </c>
      <c r="CQ15" s="26">
        <v>16</v>
      </c>
      <c r="CR15" s="16" t="s">
        <v>125</v>
      </c>
      <c r="CS15" s="16" t="s">
        <v>167</v>
      </c>
      <c r="CT15" s="16" t="s">
        <v>351</v>
      </c>
    </row>
    <row r="16" spans="1:111" ht="12.75" customHeight="1">
      <c r="A16" s="78" t="s">
        <v>4751</v>
      </c>
      <c r="B16" s="23" t="s">
        <v>4752</v>
      </c>
      <c r="C16" s="16" t="s">
        <v>97</v>
      </c>
      <c r="D16" s="23" t="s">
        <v>4753</v>
      </c>
      <c r="E16" s="16" t="s">
        <v>97</v>
      </c>
      <c r="F16" s="150" t="s">
        <v>4754</v>
      </c>
      <c r="I16" s="100" t="s">
        <v>342</v>
      </c>
      <c r="J16" s="16" t="s">
        <v>101</v>
      </c>
      <c r="K16" s="16"/>
      <c r="L16" s="3" t="s">
        <v>102</v>
      </c>
      <c r="M16" s="3" t="s">
        <v>103</v>
      </c>
      <c r="N16" s="16" t="s">
        <v>4655</v>
      </c>
      <c r="O16" s="16" t="s">
        <v>4656</v>
      </c>
      <c r="P16" s="23" t="s">
        <v>4755</v>
      </c>
      <c r="Q16" s="23" t="s">
        <v>4756</v>
      </c>
      <c r="R16" s="23" t="s">
        <v>4757</v>
      </c>
      <c r="S16" s="23" t="s">
        <v>4751</v>
      </c>
      <c r="T16" s="132" t="s">
        <v>107</v>
      </c>
      <c r="U16" s="6">
        <v>7</v>
      </c>
      <c r="X16" s="31" t="s">
        <v>108</v>
      </c>
      <c r="Y16" s="93">
        <f t="shared" si="0"/>
        <v>1</v>
      </c>
      <c r="Z16" s="3">
        <v>0</v>
      </c>
      <c r="AA16" s="3" t="s">
        <v>4758</v>
      </c>
      <c r="AD16" s="6">
        <f t="shared" si="1"/>
        <v>154.28</v>
      </c>
      <c r="AE16" s="67">
        <v>175.81528865000001</v>
      </c>
      <c r="AF16" s="17">
        <f t="shared" si="9"/>
        <v>185.136</v>
      </c>
      <c r="AG16" s="6">
        <f t="shared" si="2"/>
        <v>114.28</v>
      </c>
      <c r="AH16" s="30" t="s">
        <v>110</v>
      </c>
      <c r="AI16" s="3">
        <v>0.65</v>
      </c>
      <c r="AJ16" s="18">
        <v>0.35</v>
      </c>
      <c r="AK16" s="6">
        <f t="shared" si="3"/>
        <v>152.74</v>
      </c>
      <c r="AL16" s="6">
        <f t="shared" si="4"/>
        <v>151.19</v>
      </c>
      <c r="AM16" s="6">
        <f t="shared" si="5"/>
        <v>149.65</v>
      </c>
      <c r="AN16" s="6">
        <f t="shared" si="6"/>
        <v>149.65</v>
      </c>
      <c r="AO16" s="6">
        <f t="shared" si="7"/>
        <v>154.28</v>
      </c>
      <c r="BG16" s="12">
        <v>0.01</v>
      </c>
      <c r="BH16" s="12">
        <v>0.02</v>
      </c>
      <c r="BI16" s="12">
        <v>0.03</v>
      </c>
      <c r="BJ16" s="12">
        <v>0.03</v>
      </c>
      <c r="BK16" s="12"/>
      <c r="CC16" s="3" t="str">
        <f t="shared" si="8"/>
        <v>Allied-Moulded-AM1206P20.jpg</v>
      </c>
      <c r="CD16" s="16" t="s">
        <v>111</v>
      </c>
      <c r="CE16" s="3"/>
      <c r="CF16" s="3"/>
      <c r="CG16" s="3" t="s">
        <v>4662</v>
      </c>
      <c r="CI16" s="3" t="s">
        <v>97</v>
      </c>
      <c r="CJ16" s="3" t="s">
        <v>844</v>
      </c>
      <c r="CK16" s="3" t="s">
        <v>114</v>
      </c>
      <c r="CL16" s="3" t="s">
        <v>115</v>
      </c>
      <c r="CN16" s="16" t="s">
        <v>349</v>
      </c>
      <c r="CO16" s="16" t="s">
        <v>350</v>
      </c>
      <c r="CP16" s="3" t="s">
        <v>120</v>
      </c>
      <c r="CQ16" s="26">
        <v>20</v>
      </c>
      <c r="CR16" s="16" t="s">
        <v>125</v>
      </c>
      <c r="CS16" s="16" t="s">
        <v>167</v>
      </c>
      <c r="CT16" s="16" t="s">
        <v>351</v>
      </c>
    </row>
    <row r="17" spans="1:98" ht="12.75" customHeight="1">
      <c r="A17" s="78" t="s">
        <v>4759</v>
      </c>
      <c r="B17" s="23" t="s">
        <v>4760</v>
      </c>
      <c r="C17" s="16" t="s">
        <v>97</v>
      </c>
      <c r="D17" s="23" t="s">
        <v>4761</v>
      </c>
      <c r="E17" s="16" t="s">
        <v>97</v>
      </c>
      <c r="F17" s="150" t="s">
        <v>4762</v>
      </c>
      <c r="I17" s="100" t="s">
        <v>342</v>
      </c>
      <c r="J17" s="16" t="s">
        <v>101</v>
      </c>
      <c r="K17" s="16"/>
      <c r="L17" s="3" t="s">
        <v>102</v>
      </c>
      <c r="M17" s="3" t="s">
        <v>103</v>
      </c>
      <c r="N17" s="16" t="s">
        <v>4655</v>
      </c>
      <c r="O17" s="16" t="s">
        <v>4656</v>
      </c>
      <c r="P17" s="23" t="s">
        <v>4763</v>
      </c>
      <c r="Q17" s="23" t="s">
        <v>4764</v>
      </c>
      <c r="R17" s="23" t="s">
        <v>4765</v>
      </c>
      <c r="S17" s="23" t="s">
        <v>4759</v>
      </c>
      <c r="T17" s="132" t="s">
        <v>107</v>
      </c>
      <c r="U17" s="6">
        <v>8</v>
      </c>
      <c r="X17" s="31" t="s">
        <v>108</v>
      </c>
      <c r="Y17" s="93">
        <f t="shared" si="0"/>
        <v>1</v>
      </c>
      <c r="Z17" s="3">
        <v>0</v>
      </c>
      <c r="AA17" s="3" t="s">
        <v>4766</v>
      </c>
      <c r="AD17" s="6">
        <f t="shared" si="1"/>
        <v>172.64</v>
      </c>
      <c r="AE17" s="67">
        <v>196.73158619999998</v>
      </c>
      <c r="AF17" s="17">
        <f t="shared" si="9"/>
        <v>207.16799999999998</v>
      </c>
      <c r="AG17" s="6">
        <f t="shared" si="2"/>
        <v>127.88</v>
      </c>
      <c r="AH17" s="30" t="s">
        <v>110</v>
      </c>
      <c r="AI17" s="3">
        <v>0.65</v>
      </c>
      <c r="AJ17" s="18">
        <v>0.35</v>
      </c>
      <c r="AK17" s="6">
        <f t="shared" si="3"/>
        <v>170.91</v>
      </c>
      <c r="AL17" s="6">
        <f t="shared" si="4"/>
        <v>169.19</v>
      </c>
      <c r="AM17" s="6">
        <f t="shared" si="5"/>
        <v>167.46</v>
      </c>
      <c r="AN17" s="6">
        <f t="shared" si="6"/>
        <v>167.46</v>
      </c>
      <c r="AO17" s="6">
        <f t="shared" si="7"/>
        <v>172.64</v>
      </c>
      <c r="BG17" s="12">
        <v>0.01</v>
      </c>
      <c r="BH17" s="12">
        <v>0.02</v>
      </c>
      <c r="BI17" s="12">
        <v>0.03</v>
      </c>
      <c r="BJ17" s="12">
        <v>0.03</v>
      </c>
      <c r="BK17" s="12"/>
      <c r="BQ17" s="21"/>
      <c r="BR17" s="21"/>
      <c r="BS17" s="21"/>
      <c r="BT17" s="21"/>
      <c r="BU17" s="21"/>
      <c r="BV17" s="21"/>
      <c r="BW17" s="21"/>
      <c r="BX17" s="21"/>
      <c r="BY17" s="21"/>
      <c r="BZ17" s="21"/>
      <c r="CA17" s="21"/>
      <c r="CB17" s="21"/>
      <c r="CC17" s="3" t="str">
        <f t="shared" si="8"/>
        <v>Allied-Moulded-AM1426P25.jpg</v>
      </c>
      <c r="CD17" s="16" t="s">
        <v>111</v>
      </c>
      <c r="CE17" s="3"/>
      <c r="CF17" s="3"/>
      <c r="CG17" s="3" t="s">
        <v>4662</v>
      </c>
      <c r="CI17" s="3" t="s">
        <v>97</v>
      </c>
      <c r="CJ17" s="3" t="s">
        <v>844</v>
      </c>
      <c r="CK17" s="3" t="s">
        <v>114</v>
      </c>
      <c r="CL17" s="3" t="s">
        <v>115</v>
      </c>
      <c r="CN17" s="16" t="s">
        <v>349</v>
      </c>
      <c r="CO17" s="16" t="s">
        <v>350</v>
      </c>
      <c r="CP17" s="3" t="s">
        <v>120</v>
      </c>
      <c r="CQ17" s="26">
        <v>25</v>
      </c>
      <c r="CR17" s="16" t="s">
        <v>1037</v>
      </c>
      <c r="CS17" s="16" t="s">
        <v>125</v>
      </c>
      <c r="CT17" s="16" t="s">
        <v>351</v>
      </c>
    </row>
    <row r="18" spans="1:98" ht="12.75" customHeight="1">
      <c r="A18" s="78" t="s">
        <v>4767</v>
      </c>
      <c r="B18" s="23" t="s">
        <v>4768</v>
      </c>
      <c r="C18" s="16" t="s">
        <v>97</v>
      </c>
      <c r="D18" s="23" t="s">
        <v>4769</v>
      </c>
      <c r="E18" s="16" t="s">
        <v>97</v>
      </c>
      <c r="F18" s="150" t="s">
        <v>4770</v>
      </c>
      <c r="I18" s="100" t="s">
        <v>342</v>
      </c>
      <c r="J18" s="16" t="s">
        <v>101</v>
      </c>
      <c r="K18" s="16"/>
      <c r="L18" s="3" t="s">
        <v>102</v>
      </c>
      <c r="M18" s="3" t="s">
        <v>103</v>
      </c>
      <c r="N18" s="16" t="s">
        <v>4655</v>
      </c>
      <c r="O18" s="16" t="s">
        <v>4656</v>
      </c>
      <c r="P18" s="23" t="s">
        <v>4771</v>
      </c>
      <c r="Q18" s="23" t="s">
        <v>4772</v>
      </c>
      <c r="R18" s="23" t="s">
        <v>4773</v>
      </c>
      <c r="S18" s="23" t="s">
        <v>4767</v>
      </c>
      <c r="T18" s="132" t="s">
        <v>107</v>
      </c>
      <c r="U18" s="6">
        <v>14</v>
      </c>
      <c r="X18" s="31" t="s">
        <v>108</v>
      </c>
      <c r="Y18" s="93">
        <f t="shared" si="0"/>
        <v>1</v>
      </c>
      <c r="Z18" s="3">
        <v>0</v>
      </c>
      <c r="AA18" s="3" t="s">
        <v>4774</v>
      </c>
      <c r="AD18" s="6">
        <f t="shared" si="1"/>
        <v>195.28</v>
      </c>
      <c r="AE18" s="67">
        <v>222.54509703000002</v>
      </c>
      <c r="AF18" s="17">
        <f t="shared" si="9"/>
        <v>234.33599999999998</v>
      </c>
      <c r="AG18" s="6">
        <f t="shared" si="2"/>
        <v>144.65</v>
      </c>
      <c r="AH18" s="30" t="s">
        <v>110</v>
      </c>
      <c r="AI18" s="3">
        <v>0.65</v>
      </c>
      <c r="AJ18" s="18">
        <v>0.35</v>
      </c>
      <c r="AK18" s="6">
        <f t="shared" si="3"/>
        <v>193.33</v>
      </c>
      <c r="AL18" s="6">
        <f t="shared" si="4"/>
        <v>191.37</v>
      </c>
      <c r="AM18" s="6">
        <f t="shared" si="5"/>
        <v>189.42</v>
      </c>
      <c r="AN18" s="6">
        <f t="shared" si="6"/>
        <v>189.42</v>
      </c>
      <c r="AO18" s="6">
        <f t="shared" si="7"/>
        <v>195.28</v>
      </c>
      <c r="BG18" s="12">
        <v>0.01</v>
      </c>
      <c r="BH18" s="12">
        <v>0.02</v>
      </c>
      <c r="BI18" s="12">
        <v>0.03</v>
      </c>
      <c r="BJ18" s="12">
        <v>0.03</v>
      </c>
      <c r="BK18" s="12"/>
      <c r="CC18" s="3" t="str">
        <f t="shared" si="8"/>
        <v>Allied-Moulded-AM1648P30.jpg</v>
      </c>
      <c r="CD18" s="16" t="s">
        <v>111</v>
      </c>
      <c r="CE18" s="3"/>
      <c r="CF18" s="3"/>
      <c r="CG18" s="3" t="s">
        <v>4662</v>
      </c>
      <c r="CI18" s="3" t="s">
        <v>97</v>
      </c>
      <c r="CJ18" s="3" t="s">
        <v>844</v>
      </c>
      <c r="CK18" s="3" t="s">
        <v>114</v>
      </c>
      <c r="CL18" s="3" t="s">
        <v>115</v>
      </c>
      <c r="CN18" s="16" t="s">
        <v>349</v>
      </c>
      <c r="CO18" s="16" t="s">
        <v>350</v>
      </c>
      <c r="CP18" s="3" t="s">
        <v>120</v>
      </c>
      <c r="CQ18" s="26">
        <v>30</v>
      </c>
      <c r="CR18" s="16" t="s">
        <v>242</v>
      </c>
      <c r="CS18" s="16" t="s">
        <v>1037</v>
      </c>
      <c r="CT18" s="16" t="s">
        <v>385</v>
      </c>
    </row>
    <row r="19" spans="1:98" ht="12.75" customHeight="1">
      <c r="A19" s="78" t="s">
        <v>4775</v>
      </c>
      <c r="B19" s="23" t="s">
        <v>4776</v>
      </c>
      <c r="C19" s="16" t="s">
        <v>97</v>
      </c>
      <c r="D19" s="23" t="s">
        <v>4777</v>
      </c>
      <c r="E19" s="16" t="s">
        <v>97</v>
      </c>
      <c r="F19" s="150" t="s">
        <v>4778</v>
      </c>
      <c r="I19" s="100" t="s">
        <v>342</v>
      </c>
      <c r="J19" s="16" t="s">
        <v>101</v>
      </c>
      <c r="K19" s="16"/>
      <c r="L19" s="3" t="s">
        <v>102</v>
      </c>
      <c r="M19" s="3" t="s">
        <v>103</v>
      </c>
      <c r="N19" s="16" t="s">
        <v>4655</v>
      </c>
      <c r="O19" s="16" t="s">
        <v>4656</v>
      </c>
      <c r="P19" s="23" t="s">
        <v>4779</v>
      </c>
      <c r="Q19" s="23" t="s">
        <v>4780</v>
      </c>
      <c r="R19" s="23" t="s">
        <v>4781</v>
      </c>
      <c r="S19" s="23" t="s">
        <v>4775</v>
      </c>
      <c r="T19" s="132" t="s">
        <v>107</v>
      </c>
      <c r="U19" s="6">
        <v>17</v>
      </c>
      <c r="X19" s="31" t="s">
        <v>108</v>
      </c>
      <c r="Y19" s="93">
        <f t="shared" si="0"/>
        <v>1</v>
      </c>
      <c r="Z19" s="3">
        <v>0</v>
      </c>
      <c r="AA19" s="3" t="s">
        <v>4782</v>
      </c>
      <c r="AD19" s="6">
        <f t="shared" si="1"/>
        <v>275.67</v>
      </c>
      <c r="AE19" s="67">
        <v>314.15704314000004</v>
      </c>
      <c r="AF19" s="17">
        <f t="shared" si="9"/>
        <v>330.80400000000003</v>
      </c>
      <c r="AG19" s="6">
        <f t="shared" si="2"/>
        <v>204.2</v>
      </c>
      <c r="AH19" s="30" t="s">
        <v>110</v>
      </c>
      <c r="AI19" s="3">
        <v>0.65</v>
      </c>
      <c r="AJ19" s="18">
        <v>0.35</v>
      </c>
      <c r="AK19" s="6">
        <f t="shared" si="3"/>
        <v>272.91000000000003</v>
      </c>
      <c r="AL19" s="6">
        <f t="shared" si="4"/>
        <v>270.16000000000003</v>
      </c>
      <c r="AM19" s="6">
        <f t="shared" si="5"/>
        <v>267.39999999999998</v>
      </c>
      <c r="AN19" s="6">
        <f t="shared" si="6"/>
        <v>267.39999999999998</v>
      </c>
      <c r="AO19" s="6">
        <f t="shared" si="7"/>
        <v>275.67</v>
      </c>
      <c r="BG19" s="12">
        <v>0.01</v>
      </c>
      <c r="BH19" s="12">
        <v>0.02</v>
      </c>
      <c r="BI19" s="12">
        <v>0.03</v>
      </c>
      <c r="BJ19" s="12">
        <v>0.03</v>
      </c>
      <c r="BK19" s="12"/>
      <c r="CC19" s="3" t="str">
        <f t="shared" si="8"/>
        <v>Allied-Moulded-AM1868P42.jpg</v>
      </c>
      <c r="CD19" s="16" t="s">
        <v>111</v>
      </c>
      <c r="CE19" s="3"/>
      <c r="CF19" s="3"/>
      <c r="CG19" s="3" t="s">
        <v>4662</v>
      </c>
      <c r="CI19" s="3" t="s">
        <v>97</v>
      </c>
      <c r="CJ19" s="3" t="s">
        <v>844</v>
      </c>
      <c r="CK19" s="3" t="s">
        <v>114</v>
      </c>
      <c r="CL19" s="3" t="s">
        <v>115</v>
      </c>
      <c r="CN19" s="16" t="s">
        <v>349</v>
      </c>
      <c r="CO19" s="16" t="s">
        <v>350</v>
      </c>
      <c r="CP19" s="3" t="s">
        <v>120</v>
      </c>
      <c r="CQ19" s="26">
        <v>42</v>
      </c>
      <c r="CR19" s="16" t="s">
        <v>1814</v>
      </c>
      <c r="CS19" s="16" t="s">
        <v>242</v>
      </c>
      <c r="CT19" s="16" t="s">
        <v>385</v>
      </c>
    </row>
    <row r="20" spans="1:98" ht="12.75" customHeight="1">
      <c r="A20" s="78" t="s">
        <v>4783</v>
      </c>
      <c r="B20" s="23" t="s">
        <v>4784</v>
      </c>
      <c r="C20" s="16" t="s">
        <v>97</v>
      </c>
      <c r="D20" s="23" t="s">
        <v>4785</v>
      </c>
      <c r="E20" s="16" t="s">
        <v>97</v>
      </c>
      <c r="F20" s="150" t="s">
        <v>4786</v>
      </c>
      <c r="I20" s="100" t="s">
        <v>342</v>
      </c>
      <c r="J20" s="16" t="s">
        <v>101</v>
      </c>
      <c r="K20" s="16"/>
      <c r="L20" s="3" t="s">
        <v>102</v>
      </c>
      <c r="M20" s="3" t="s">
        <v>103</v>
      </c>
      <c r="N20" s="16" t="s">
        <v>4655</v>
      </c>
      <c r="O20" s="16" t="s">
        <v>4656</v>
      </c>
      <c r="P20" s="23" t="s">
        <v>4787</v>
      </c>
      <c r="Q20" s="23" t="s">
        <v>4788</v>
      </c>
      <c r="R20" s="23" t="s">
        <v>4789</v>
      </c>
      <c r="S20" s="23" t="s">
        <v>4783</v>
      </c>
      <c r="T20" s="132" t="s">
        <v>107</v>
      </c>
      <c r="U20" s="6">
        <v>3</v>
      </c>
      <c r="X20" s="31" t="s">
        <v>108</v>
      </c>
      <c r="Y20" s="93">
        <f t="shared" si="0"/>
        <v>1</v>
      </c>
      <c r="Z20" s="3">
        <v>0</v>
      </c>
      <c r="AA20" s="3" t="s">
        <v>4790</v>
      </c>
      <c r="AD20" s="6">
        <f t="shared" si="1"/>
        <v>86.85</v>
      </c>
      <c r="AE20" s="67">
        <v>98.966735270000015</v>
      </c>
      <c r="AF20" s="17">
        <f t="shared" si="9"/>
        <v>104.21999999999998</v>
      </c>
      <c r="AG20" s="6">
        <f t="shared" si="2"/>
        <v>64.33</v>
      </c>
      <c r="AH20" s="30" t="s">
        <v>110</v>
      </c>
      <c r="AI20" s="3">
        <v>0.65</v>
      </c>
      <c r="AJ20" s="18">
        <v>0.35</v>
      </c>
      <c r="AK20" s="6">
        <f t="shared" si="3"/>
        <v>85.98</v>
      </c>
      <c r="AL20" s="6">
        <f t="shared" si="4"/>
        <v>85.11</v>
      </c>
      <c r="AM20" s="6">
        <f t="shared" si="5"/>
        <v>84.24</v>
      </c>
      <c r="AN20" s="6">
        <f t="shared" si="6"/>
        <v>84.24</v>
      </c>
      <c r="AO20" s="6">
        <f t="shared" si="7"/>
        <v>86.85</v>
      </c>
      <c r="BG20" s="12">
        <v>0.01</v>
      </c>
      <c r="BH20" s="12">
        <v>0.02</v>
      </c>
      <c r="BI20" s="12">
        <v>0.03</v>
      </c>
      <c r="BJ20" s="12">
        <v>0.03</v>
      </c>
      <c r="BK20" s="12"/>
      <c r="CC20" s="3" t="str">
        <f t="shared" si="8"/>
        <v>Allied-Moulded-AM664HP4.jpg</v>
      </c>
      <c r="CD20" s="16" t="s">
        <v>111</v>
      </c>
      <c r="CE20" s="3"/>
      <c r="CF20" s="3"/>
      <c r="CG20" s="3" t="s">
        <v>4662</v>
      </c>
      <c r="CI20" s="3" t="s">
        <v>97</v>
      </c>
      <c r="CJ20" s="3" t="s">
        <v>844</v>
      </c>
      <c r="CK20" s="3" t="s">
        <v>114</v>
      </c>
      <c r="CL20" s="3" t="s">
        <v>115</v>
      </c>
      <c r="CM20" s="3" t="s">
        <v>116</v>
      </c>
      <c r="CN20" s="16" t="s">
        <v>349</v>
      </c>
      <c r="CO20" s="16" t="s">
        <v>350</v>
      </c>
      <c r="CP20" s="3" t="s">
        <v>120</v>
      </c>
      <c r="CQ20" s="26">
        <v>4</v>
      </c>
      <c r="CR20" s="16" t="s">
        <v>351</v>
      </c>
      <c r="CS20" s="16" t="s">
        <v>351</v>
      </c>
      <c r="CT20" s="16" t="s">
        <v>657</v>
      </c>
    </row>
    <row r="21" spans="1:98" ht="12.75" customHeight="1">
      <c r="A21" s="78" t="s">
        <v>4791</v>
      </c>
      <c r="B21" s="23" t="s">
        <v>4792</v>
      </c>
      <c r="C21" s="16" t="s">
        <v>97</v>
      </c>
      <c r="D21" s="23" t="s">
        <v>4793</v>
      </c>
      <c r="E21" s="16" t="s">
        <v>97</v>
      </c>
      <c r="F21" s="150" t="s">
        <v>4794</v>
      </c>
      <c r="I21" s="100" t="s">
        <v>342</v>
      </c>
      <c r="J21" s="16" t="s">
        <v>101</v>
      </c>
      <c r="K21" s="16"/>
      <c r="L21" s="3" t="s">
        <v>102</v>
      </c>
      <c r="M21" s="3" t="s">
        <v>103</v>
      </c>
      <c r="N21" s="16" t="s">
        <v>4655</v>
      </c>
      <c r="O21" s="16" t="s">
        <v>4656</v>
      </c>
      <c r="P21" s="23" t="s">
        <v>4795</v>
      </c>
      <c r="Q21" s="23" t="s">
        <v>4796</v>
      </c>
      <c r="R21" s="23" t="s">
        <v>4797</v>
      </c>
      <c r="S21" s="23" t="s">
        <v>4791</v>
      </c>
      <c r="T21" s="132" t="s">
        <v>107</v>
      </c>
      <c r="U21" s="6">
        <v>4</v>
      </c>
      <c r="X21" s="31" t="s">
        <v>108</v>
      </c>
      <c r="Y21" s="93">
        <f t="shared" si="0"/>
        <v>1</v>
      </c>
      <c r="Z21" s="3">
        <v>0</v>
      </c>
      <c r="AA21" s="3" t="s">
        <v>4798</v>
      </c>
      <c r="AD21" s="6">
        <f t="shared" si="1"/>
        <v>94.93</v>
      </c>
      <c r="AE21" s="67">
        <v>108.18712532000001</v>
      </c>
      <c r="AF21" s="17">
        <f t="shared" si="9"/>
        <v>113.91600000000001</v>
      </c>
      <c r="AG21" s="6">
        <f t="shared" si="2"/>
        <v>70.319999999999993</v>
      </c>
      <c r="AH21" s="30" t="s">
        <v>110</v>
      </c>
      <c r="AI21" s="3">
        <v>0.65</v>
      </c>
      <c r="AJ21" s="18">
        <v>0.35</v>
      </c>
      <c r="AK21" s="6">
        <f t="shared" si="3"/>
        <v>93.98</v>
      </c>
      <c r="AL21" s="6">
        <f t="shared" si="4"/>
        <v>93.03</v>
      </c>
      <c r="AM21" s="6">
        <f t="shared" si="5"/>
        <v>92.08</v>
      </c>
      <c r="AN21" s="6">
        <f t="shared" si="6"/>
        <v>92.08</v>
      </c>
      <c r="AO21" s="6">
        <f t="shared" si="7"/>
        <v>94.93</v>
      </c>
      <c r="BG21" s="12">
        <v>0.01</v>
      </c>
      <c r="BH21" s="12">
        <v>0.02</v>
      </c>
      <c r="BI21" s="12">
        <v>0.03</v>
      </c>
      <c r="BJ21" s="12">
        <v>0.03</v>
      </c>
      <c r="BK21" s="12"/>
      <c r="CC21" s="3" t="str">
        <f t="shared" si="8"/>
        <v>Allied-Moulded-AM864HP6.jpg</v>
      </c>
      <c r="CD21" s="16" t="s">
        <v>111</v>
      </c>
      <c r="CE21" s="3"/>
      <c r="CF21" s="3"/>
      <c r="CG21" s="3" t="s">
        <v>4662</v>
      </c>
      <c r="CI21" s="3" t="s">
        <v>97</v>
      </c>
      <c r="CJ21" s="3" t="s">
        <v>844</v>
      </c>
      <c r="CK21" s="3" t="s">
        <v>114</v>
      </c>
      <c r="CL21" s="3" t="s">
        <v>115</v>
      </c>
      <c r="CM21" s="3" t="s">
        <v>116</v>
      </c>
      <c r="CN21" s="16" t="s">
        <v>349</v>
      </c>
      <c r="CO21" s="16" t="s">
        <v>350</v>
      </c>
      <c r="CP21" s="3" t="s">
        <v>120</v>
      </c>
      <c r="CQ21" s="26">
        <v>6</v>
      </c>
      <c r="CR21" s="16" t="s">
        <v>385</v>
      </c>
      <c r="CS21" s="16" t="s">
        <v>351</v>
      </c>
      <c r="CT21" s="16" t="s">
        <v>657</v>
      </c>
    </row>
    <row r="22" spans="1:98" ht="12.75" customHeight="1">
      <c r="A22" s="78" t="s">
        <v>4799</v>
      </c>
      <c r="B22" s="23" t="s">
        <v>4800</v>
      </c>
      <c r="C22" s="16" t="s">
        <v>97</v>
      </c>
      <c r="D22" s="23" t="s">
        <v>4801</v>
      </c>
      <c r="E22" s="16" t="s">
        <v>97</v>
      </c>
      <c r="F22" s="150" t="s">
        <v>4802</v>
      </c>
      <c r="I22" s="100" t="s">
        <v>342</v>
      </c>
      <c r="J22" s="16" t="s">
        <v>101</v>
      </c>
      <c r="K22" s="16"/>
      <c r="L22" s="3" t="s">
        <v>102</v>
      </c>
      <c r="M22" s="3" t="s">
        <v>103</v>
      </c>
      <c r="N22" s="16" t="s">
        <v>4655</v>
      </c>
      <c r="O22" s="16" t="s">
        <v>4656</v>
      </c>
      <c r="P22" s="23" t="s">
        <v>4803</v>
      </c>
      <c r="Q22" s="23" t="s">
        <v>4804</v>
      </c>
      <c r="R22" s="23" t="s">
        <v>4805</v>
      </c>
      <c r="S22" s="23" t="s">
        <v>4799</v>
      </c>
      <c r="T22" s="132" t="s">
        <v>107</v>
      </c>
      <c r="U22" s="6">
        <v>5</v>
      </c>
      <c r="X22" s="31" t="s">
        <v>108</v>
      </c>
      <c r="Y22" s="93">
        <f t="shared" si="0"/>
        <v>1</v>
      </c>
      <c r="Z22" s="3">
        <v>0</v>
      </c>
      <c r="AA22" s="3" t="s">
        <v>4806</v>
      </c>
      <c r="AD22" s="6">
        <f t="shared" si="1"/>
        <v>131.07</v>
      </c>
      <c r="AE22" s="67">
        <v>149.37393205000001</v>
      </c>
      <c r="AF22" s="17">
        <f t="shared" si="9"/>
        <v>157.28399999999999</v>
      </c>
      <c r="AG22" s="6">
        <f t="shared" si="2"/>
        <v>97.09</v>
      </c>
      <c r="AH22" s="30" t="s">
        <v>110</v>
      </c>
      <c r="AI22" s="3">
        <v>0.65</v>
      </c>
      <c r="AJ22" s="18">
        <v>0.35</v>
      </c>
      <c r="AK22" s="6">
        <f t="shared" si="3"/>
        <v>129.76</v>
      </c>
      <c r="AL22" s="6">
        <f t="shared" si="4"/>
        <v>128.44999999999999</v>
      </c>
      <c r="AM22" s="6">
        <f t="shared" si="5"/>
        <v>127.14</v>
      </c>
      <c r="AN22" s="6">
        <f t="shared" si="6"/>
        <v>127.14</v>
      </c>
      <c r="AO22" s="6">
        <f t="shared" si="7"/>
        <v>131.07</v>
      </c>
      <c r="BG22" s="12">
        <v>0.01</v>
      </c>
      <c r="BH22" s="12">
        <v>0.02</v>
      </c>
      <c r="BI22" s="12">
        <v>0.03</v>
      </c>
      <c r="BJ22" s="12">
        <v>0.03</v>
      </c>
      <c r="BK22" s="12"/>
      <c r="CC22" s="3" t="str">
        <f t="shared" si="8"/>
        <v>Allied-Moulded-AM1084HP9.jpg</v>
      </c>
      <c r="CD22" s="16" t="s">
        <v>111</v>
      </c>
      <c r="CE22" s="3"/>
      <c r="CF22" s="3"/>
      <c r="CG22" s="3" t="s">
        <v>4662</v>
      </c>
      <c r="CI22" s="3" t="s">
        <v>97</v>
      </c>
      <c r="CJ22" s="3" t="s">
        <v>844</v>
      </c>
      <c r="CK22" s="3" t="s">
        <v>114</v>
      </c>
      <c r="CL22" s="3" t="s">
        <v>115</v>
      </c>
      <c r="CM22" s="3" t="s">
        <v>116</v>
      </c>
      <c r="CN22" s="16" t="s">
        <v>349</v>
      </c>
      <c r="CO22" s="16" t="s">
        <v>350</v>
      </c>
      <c r="CP22" s="3" t="s">
        <v>120</v>
      </c>
      <c r="CQ22" s="26">
        <v>9</v>
      </c>
      <c r="CR22" s="16" t="s">
        <v>167</v>
      </c>
      <c r="CS22" s="16" t="s">
        <v>385</v>
      </c>
      <c r="CT22" s="16" t="s">
        <v>657</v>
      </c>
    </row>
    <row r="23" spans="1:98" ht="12.75" customHeight="1">
      <c r="A23" s="78" t="s">
        <v>4807</v>
      </c>
      <c r="B23" s="23" t="s">
        <v>4808</v>
      </c>
      <c r="C23" s="16" t="s">
        <v>97</v>
      </c>
      <c r="D23" s="23" t="s">
        <v>4809</v>
      </c>
      <c r="E23" s="16" t="s">
        <v>97</v>
      </c>
      <c r="F23" s="150" t="s">
        <v>4810</v>
      </c>
      <c r="I23" s="100" t="s">
        <v>342</v>
      </c>
      <c r="J23" s="16" t="s">
        <v>101</v>
      </c>
      <c r="K23" s="16"/>
      <c r="L23" s="3" t="s">
        <v>102</v>
      </c>
      <c r="M23" s="3" t="s">
        <v>103</v>
      </c>
      <c r="N23" s="16" t="s">
        <v>4655</v>
      </c>
      <c r="O23" s="16" t="s">
        <v>4656</v>
      </c>
      <c r="P23" s="23" t="s">
        <v>4811</v>
      </c>
      <c r="Q23" s="23" t="s">
        <v>4812</v>
      </c>
      <c r="R23" s="23" t="s">
        <v>4813</v>
      </c>
      <c r="S23" s="23" t="s">
        <v>4807</v>
      </c>
      <c r="T23" s="132" t="s">
        <v>107</v>
      </c>
      <c r="U23" s="6">
        <v>6</v>
      </c>
      <c r="X23" s="31" t="s">
        <v>108</v>
      </c>
      <c r="Y23" s="93">
        <f t="shared" si="0"/>
        <v>1</v>
      </c>
      <c r="Z23" s="3">
        <v>0</v>
      </c>
      <c r="AA23" s="3" t="s">
        <v>4814</v>
      </c>
      <c r="AD23" s="6">
        <f t="shared" si="1"/>
        <v>135.91999999999999</v>
      </c>
      <c r="AE23" s="67">
        <v>154.89899213000001</v>
      </c>
      <c r="AF23" s="17">
        <f t="shared" si="9"/>
        <v>163.10399999999998</v>
      </c>
      <c r="AG23" s="6">
        <f t="shared" si="2"/>
        <v>100.68</v>
      </c>
      <c r="AH23" s="30" t="s">
        <v>110</v>
      </c>
      <c r="AI23" s="3">
        <v>0.65</v>
      </c>
      <c r="AJ23" s="18">
        <v>0.35</v>
      </c>
      <c r="AK23" s="6">
        <f t="shared" si="3"/>
        <v>134.56</v>
      </c>
      <c r="AL23" s="6">
        <f t="shared" si="4"/>
        <v>133.19999999999999</v>
      </c>
      <c r="AM23" s="6">
        <f t="shared" si="5"/>
        <v>131.84</v>
      </c>
      <c r="AN23" s="6">
        <f t="shared" si="6"/>
        <v>131.84</v>
      </c>
      <c r="AO23" s="6">
        <f t="shared" si="7"/>
        <v>135.91999999999999</v>
      </c>
      <c r="BG23" s="12">
        <v>0.01</v>
      </c>
      <c r="BH23" s="12">
        <v>0.02</v>
      </c>
      <c r="BI23" s="12">
        <v>0.03</v>
      </c>
      <c r="BJ23" s="12">
        <v>0.03</v>
      </c>
      <c r="BK23" s="12"/>
      <c r="CC23" s="3" t="str">
        <f t="shared" si="8"/>
        <v>Allied-Moulded-AM1086HP9.jpg</v>
      </c>
      <c r="CD23" s="16" t="s">
        <v>111</v>
      </c>
      <c r="CE23" s="3"/>
      <c r="CF23" s="3"/>
      <c r="CG23" s="3" t="s">
        <v>4662</v>
      </c>
      <c r="CI23" s="3" t="s">
        <v>97</v>
      </c>
      <c r="CJ23" s="3" t="s">
        <v>844</v>
      </c>
      <c r="CK23" s="3" t="s">
        <v>114</v>
      </c>
      <c r="CL23" s="3" t="s">
        <v>115</v>
      </c>
      <c r="CM23" s="3" t="s">
        <v>116</v>
      </c>
      <c r="CN23" s="16" t="s">
        <v>349</v>
      </c>
      <c r="CO23" s="16" t="s">
        <v>350</v>
      </c>
      <c r="CP23" s="3" t="s">
        <v>120</v>
      </c>
      <c r="CQ23" s="26">
        <v>9</v>
      </c>
      <c r="CR23" s="16" t="s">
        <v>167</v>
      </c>
      <c r="CS23" s="16" t="s">
        <v>385</v>
      </c>
      <c r="CT23" s="16" t="s">
        <v>351</v>
      </c>
    </row>
    <row r="24" spans="1:98" ht="12.75" customHeight="1">
      <c r="A24" s="78" t="s">
        <v>4815</v>
      </c>
      <c r="B24" s="23" t="s">
        <v>4816</v>
      </c>
      <c r="C24" s="16" t="s">
        <v>97</v>
      </c>
      <c r="D24" s="23" t="s">
        <v>4817</v>
      </c>
      <c r="E24" s="16" t="s">
        <v>97</v>
      </c>
      <c r="F24" s="150" t="s">
        <v>4818</v>
      </c>
      <c r="I24" s="100" t="s">
        <v>342</v>
      </c>
      <c r="J24" s="16" t="s">
        <v>101</v>
      </c>
      <c r="K24" s="16"/>
      <c r="L24" s="3" t="s">
        <v>102</v>
      </c>
      <c r="M24" s="3" t="s">
        <v>103</v>
      </c>
      <c r="N24" s="16" t="s">
        <v>4655</v>
      </c>
      <c r="O24" s="16" t="s">
        <v>4656</v>
      </c>
      <c r="P24" s="23" t="s">
        <v>4819</v>
      </c>
      <c r="Q24" s="23" t="s">
        <v>4820</v>
      </c>
      <c r="R24" s="23" t="s">
        <v>4821</v>
      </c>
      <c r="S24" s="23" t="s">
        <v>4815</v>
      </c>
      <c r="T24" s="132" t="s">
        <v>107</v>
      </c>
      <c r="U24" s="6">
        <v>6</v>
      </c>
      <c r="X24" s="31" t="s">
        <v>108</v>
      </c>
      <c r="Y24" s="93">
        <f t="shared" si="0"/>
        <v>1</v>
      </c>
      <c r="Z24" s="3">
        <v>0</v>
      </c>
      <c r="AA24" s="3" t="s">
        <v>4822</v>
      </c>
      <c r="AD24" s="6">
        <f t="shared" si="1"/>
        <v>142.43</v>
      </c>
      <c r="AE24" s="67">
        <v>162.30759569999998</v>
      </c>
      <c r="AF24" s="17">
        <f t="shared" si="9"/>
        <v>170.916</v>
      </c>
      <c r="AG24" s="6">
        <f t="shared" si="2"/>
        <v>105.5</v>
      </c>
      <c r="AH24" s="30" t="s">
        <v>110</v>
      </c>
      <c r="AI24" s="3">
        <v>0.65</v>
      </c>
      <c r="AJ24" s="18">
        <v>0.35</v>
      </c>
      <c r="AK24" s="6">
        <f t="shared" si="3"/>
        <v>141.01</v>
      </c>
      <c r="AL24" s="6">
        <f t="shared" si="4"/>
        <v>139.58000000000001</v>
      </c>
      <c r="AM24" s="6">
        <f t="shared" si="5"/>
        <v>138.16</v>
      </c>
      <c r="AN24" s="6">
        <f t="shared" si="6"/>
        <v>138.16</v>
      </c>
      <c r="AO24" s="6">
        <f t="shared" si="7"/>
        <v>142.43</v>
      </c>
      <c r="BG24" s="12">
        <v>0.01</v>
      </c>
      <c r="BH24" s="12">
        <v>0.02</v>
      </c>
      <c r="BI24" s="12">
        <v>0.03</v>
      </c>
      <c r="BJ24" s="12">
        <v>0.03</v>
      </c>
      <c r="BK24" s="12"/>
      <c r="CC24" s="3" t="str">
        <f t="shared" si="8"/>
        <v>Allied-Moulded-AM1086HP12.jpg</v>
      </c>
      <c r="CD24" s="16" t="s">
        <v>111</v>
      </c>
      <c r="CE24" s="3"/>
      <c r="CF24" s="3"/>
      <c r="CG24" s="3" t="s">
        <v>4662</v>
      </c>
      <c r="CI24" s="3" t="s">
        <v>97</v>
      </c>
      <c r="CJ24" s="3" t="s">
        <v>844</v>
      </c>
      <c r="CK24" s="3" t="s">
        <v>114</v>
      </c>
      <c r="CL24" s="3" t="s">
        <v>115</v>
      </c>
      <c r="CM24" s="3" t="s">
        <v>116</v>
      </c>
      <c r="CN24" s="16" t="s">
        <v>349</v>
      </c>
      <c r="CO24" s="16" t="s">
        <v>350</v>
      </c>
      <c r="CP24" s="3" t="s">
        <v>120</v>
      </c>
      <c r="CQ24" s="26">
        <v>12</v>
      </c>
      <c r="CR24" s="16" t="s">
        <v>167</v>
      </c>
      <c r="CS24" s="16" t="s">
        <v>385</v>
      </c>
      <c r="CT24" s="16" t="s">
        <v>351</v>
      </c>
    </row>
    <row r="25" spans="1:98" ht="12.75" customHeight="1">
      <c r="A25" s="78" t="s">
        <v>4823</v>
      </c>
      <c r="B25" s="23" t="s">
        <v>4824</v>
      </c>
      <c r="C25" s="16" t="s">
        <v>97</v>
      </c>
      <c r="D25" s="23" t="s">
        <v>4825</v>
      </c>
      <c r="E25" s="16" t="s">
        <v>97</v>
      </c>
      <c r="F25" s="150" t="s">
        <v>4826</v>
      </c>
      <c r="I25" s="100" t="s">
        <v>342</v>
      </c>
      <c r="J25" s="16" t="s">
        <v>101</v>
      </c>
      <c r="K25" s="16"/>
      <c r="L25" s="3" t="s">
        <v>102</v>
      </c>
      <c r="M25" s="3" t="s">
        <v>103</v>
      </c>
      <c r="N25" s="16" t="s">
        <v>4655</v>
      </c>
      <c r="O25" s="16" t="s">
        <v>4656</v>
      </c>
      <c r="P25" s="23" t="s">
        <v>4827</v>
      </c>
      <c r="Q25" s="23" t="s">
        <v>4828</v>
      </c>
      <c r="R25" s="23" t="s">
        <v>4829</v>
      </c>
      <c r="S25" s="23" t="s">
        <v>4823</v>
      </c>
      <c r="T25" s="132" t="s">
        <v>107</v>
      </c>
      <c r="U25" s="6">
        <v>7</v>
      </c>
      <c r="X25" s="31" t="s">
        <v>108</v>
      </c>
      <c r="Y25" s="93">
        <f t="shared" si="0"/>
        <v>1</v>
      </c>
      <c r="Z25" s="3">
        <v>0</v>
      </c>
      <c r="AA25" s="3" t="s">
        <v>4830</v>
      </c>
      <c r="AD25" s="6">
        <f t="shared" si="1"/>
        <v>154.28</v>
      </c>
      <c r="AE25" s="67">
        <v>175.81528865000001</v>
      </c>
      <c r="AF25" s="17">
        <f t="shared" si="9"/>
        <v>185.136</v>
      </c>
      <c r="AG25" s="6">
        <f t="shared" si="2"/>
        <v>114.28</v>
      </c>
      <c r="AH25" s="30" t="s">
        <v>110</v>
      </c>
      <c r="AI25" s="3">
        <v>0.65</v>
      </c>
      <c r="AJ25" s="18">
        <v>0.35</v>
      </c>
      <c r="AK25" s="6">
        <f t="shared" si="3"/>
        <v>152.74</v>
      </c>
      <c r="AL25" s="6">
        <f t="shared" si="4"/>
        <v>151.19</v>
      </c>
      <c r="AM25" s="6">
        <f t="shared" si="5"/>
        <v>149.65</v>
      </c>
      <c r="AN25" s="6">
        <f t="shared" si="6"/>
        <v>149.65</v>
      </c>
      <c r="AO25" s="6">
        <f t="shared" si="7"/>
        <v>154.28</v>
      </c>
      <c r="BG25" s="12">
        <v>0.01</v>
      </c>
      <c r="BH25" s="12">
        <v>0.02</v>
      </c>
      <c r="BI25" s="12">
        <v>0.03</v>
      </c>
      <c r="BJ25" s="12">
        <v>0.03</v>
      </c>
      <c r="BK25" s="12"/>
      <c r="CC25" s="3" t="str">
        <f t="shared" si="8"/>
        <v>Allied-Moulded-AM1206HP16.jpg</v>
      </c>
      <c r="CD25" s="16" t="s">
        <v>111</v>
      </c>
      <c r="CE25" s="3"/>
      <c r="CF25" s="3"/>
      <c r="CG25" s="3" t="s">
        <v>4662</v>
      </c>
      <c r="CI25" s="3" t="s">
        <v>97</v>
      </c>
      <c r="CJ25" s="3" t="s">
        <v>844</v>
      </c>
      <c r="CK25" s="3" t="s">
        <v>114</v>
      </c>
      <c r="CL25" s="3" t="s">
        <v>115</v>
      </c>
      <c r="CM25" s="3" t="s">
        <v>116</v>
      </c>
      <c r="CN25" s="16" t="s">
        <v>349</v>
      </c>
      <c r="CO25" s="16" t="s">
        <v>350</v>
      </c>
      <c r="CP25" s="3" t="s">
        <v>120</v>
      </c>
      <c r="CQ25" s="26">
        <v>16</v>
      </c>
      <c r="CR25" s="16" t="s">
        <v>125</v>
      </c>
      <c r="CS25" s="16" t="s">
        <v>167</v>
      </c>
      <c r="CT25" s="16" t="s">
        <v>351</v>
      </c>
    </row>
    <row r="26" spans="1:98" ht="12.75" customHeight="1">
      <c r="A26" s="78" t="s">
        <v>4831</v>
      </c>
      <c r="B26" s="23" t="s">
        <v>4832</v>
      </c>
      <c r="C26" s="16" t="s">
        <v>97</v>
      </c>
      <c r="D26" s="23" t="s">
        <v>4833</v>
      </c>
      <c r="E26" s="16" t="s">
        <v>97</v>
      </c>
      <c r="F26" s="150" t="s">
        <v>4834</v>
      </c>
      <c r="I26" s="100" t="s">
        <v>342</v>
      </c>
      <c r="J26" s="16" t="s">
        <v>101</v>
      </c>
      <c r="K26" s="16"/>
      <c r="L26" s="3" t="s">
        <v>102</v>
      </c>
      <c r="M26" s="3" t="s">
        <v>103</v>
      </c>
      <c r="N26" s="16" t="s">
        <v>4655</v>
      </c>
      <c r="O26" s="16" t="s">
        <v>4656</v>
      </c>
      <c r="P26" s="23" t="s">
        <v>4835</v>
      </c>
      <c r="Q26" s="23" t="s">
        <v>4836</v>
      </c>
      <c r="R26" s="23" t="s">
        <v>4837</v>
      </c>
      <c r="S26" s="23" t="s">
        <v>4831</v>
      </c>
      <c r="T26" s="132" t="s">
        <v>107</v>
      </c>
      <c r="U26" s="6">
        <v>7</v>
      </c>
      <c r="X26" s="31" t="s">
        <v>108</v>
      </c>
      <c r="Y26" s="93">
        <f t="shared" si="0"/>
        <v>1</v>
      </c>
      <c r="Z26" s="3">
        <v>0</v>
      </c>
      <c r="AA26" s="3" t="s">
        <v>4838</v>
      </c>
      <c r="AD26" s="6">
        <f t="shared" si="1"/>
        <v>160.76</v>
      </c>
      <c r="AE26" s="67">
        <v>183.20595373999998</v>
      </c>
      <c r="AF26" s="17">
        <f t="shared" si="9"/>
        <v>192.91199999999998</v>
      </c>
      <c r="AG26" s="6">
        <f t="shared" si="2"/>
        <v>119.08</v>
      </c>
      <c r="AH26" s="30" t="s">
        <v>110</v>
      </c>
      <c r="AI26" s="3">
        <v>0.65</v>
      </c>
      <c r="AJ26" s="18">
        <v>0.35</v>
      </c>
      <c r="AK26" s="6">
        <f t="shared" si="3"/>
        <v>159.15</v>
      </c>
      <c r="AL26" s="6">
        <f t="shared" si="4"/>
        <v>157.54</v>
      </c>
      <c r="AM26" s="6">
        <f t="shared" si="5"/>
        <v>155.94</v>
      </c>
      <c r="AN26" s="6">
        <f t="shared" si="6"/>
        <v>155.94</v>
      </c>
      <c r="AO26" s="6">
        <f t="shared" si="7"/>
        <v>160.76</v>
      </c>
      <c r="BG26" s="12">
        <v>0.01</v>
      </c>
      <c r="BH26" s="12">
        <v>0.02</v>
      </c>
      <c r="BI26" s="12">
        <v>0.03</v>
      </c>
      <c r="BJ26" s="12">
        <v>0.03</v>
      </c>
      <c r="BK26" s="12"/>
      <c r="CC26" s="3" t="str">
        <f t="shared" si="8"/>
        <v>Allied-Moulded-AM1206HP20.jpg</v>
      </c>
      <c r="CD26" s="16" t="s">
        <v>111</v>
      </c>
      <c r="CE26" s="3"/>
      <c r="CF26" s="3"/>
      <c r="CG26" s="3" t="s">
        <v>4662</v>
      </c>
      <c r="CI26" s="3" t="s">
        <v>97</v>
      </c>
      <c r="CJ26" s="3" t="s">
        <v>844</v>
      </c>
      <c r="CK26" s="3" t="s">
        <v>114</v>
      </c>
      <c r="CL26" s="3" t="s">
        <v>115</v>
      </c>
      <c r="CM26" s="3" t="s">
        <v>116</v>
      </c>
      <c r="CN26" s="16" t="s">
        <v>349</v>
      </c>
      <c r="CO26" s="16" t="s">
        <v>350</v>
      </c>
      <c r="CP26" s="3" t="s">
        <v>120</v>
      </c>
      <c r="CQ26" s="26">
        <v>20</v>
      </c>
      <c r="CR26" s="16" t="s">
        <v>125</v>
      </c>
      <c r="CS26" s="16" t="s">
        <v>167</v>
      </c>
      <c r="CT26" s="16" t="s">
        <v>351</v>
      </c>
    </row>
    <row r="27" spans="1:98" ht="12.75" customHeight="1">
      <c r="A27" s="78" t="s">
        <v>4839</v>
      </c>
      <c r="B27" s="23" t="s">
        <v>4840</v>
      </c>
      <c r="C27" s="16" t="s">
        <v>97</v>
      </c>
      <c r="D27" s="23" t="s">
        <v>4841</v>
      </c>
      <c r="E27" s="16" t="s">
        <v>97</v>
      </c>
      <c r="F27" s="150" t="s">
        <v>4842</v>
      </c>
      <c r="I27" s="100" t="s">
        <v>342</v>
      </c>
      <c r="J27" s="16" t="s">
        <v>101</v>
      </c>
      <c r="K27" s="16"/>
      <c r="L27" s="3" t="s">
        <v>102</v>
      </c>
      <c r="M27" s="3" t="s">
        <v>103</v>
      </c>
      <c r="N27" s="16" t="s">
        <v>4655</v>
      </c>
      <c r="O27" s="16" t="s">
        <v>4656</v>
      </c>
      <c r="P27" s="23" t="s">
        <v>4843</v>
      </c>
      <c r="Q27" s="23" t="s">
        <v>4844</v>
      </c>
      <c r="R27" s="23" t="s">
        <v>4845</v>
      </c>
      <c r="S27" s="23" t="s">
        <v>4839</v>
      </c>
      <c r="T27" s="132" t="s">
        <v>107</v>
      </c>
      <c r="U27" s="6">
        <v>9</v>
      </c>
      <c r="X27" s="31" t="s">
        <v>108</v>
      </c>
      <c r="Y27" s="93">
        <f t="shared" si="0"/>
        <v>1</v>
      </c>
      <c r="Z27" s="3">
        <v>0</v>
      </c>
      <c r="AA27" s="3" t="s">
        <v>4846</v>
      </c>
      <c r="AD27" s="6">
        <f t="shared" si="1"/>
        <v>179.63</v>
      </c>
      <c r="AE27" s="67">
        <v>204.71422010000001</v>
      </c>
      <c r="AF27" s="17">
        <f t="shared" si="9"/>
        <v>215.55599999999998</v>
      </c>
      <c r="AG27" s="6">
        <f t="shared" si="2"/>
        <v>133.06</v>
      </c>
      <c r="AH27" s="30" t="s">
        <v>110</v>
      </c>
      <c r="AI27" s="3">
        <v>0.65</v>
      </c>
      <c r="AJ27" s="18">
        <v>0.35</v>
      </c>
      <c r="AK27" s="6">
        <f t="shared" si="3"/>
        <v>177.83</v>
      </c>
      <c r="AL27" s="6">
        <f t="shared" si="4"/>
        <v>176.04</v>
      </c>
      <c r="AM27" s="6">
        <f t="shared" si="5"/>
        <v>174.24</v>
      </c>
      <c r="AN27" s="6">
        <f t="shared" si="6"/>
        <v>174.24</v>
      </c>
      <c r="AO27" s="6">
        <f t="shared" si="7"/>
        <v>179.63</v>
      </c>
      <c r="BG27" s="12">
        <v>0.01</v>
      </c>
      <c r="BH27" s="12">
        <v>0.02</v>
      </c>
      <c r="BI27" s="12">
        <v>0.03</v>
      </c>
      <c r="BJ27" s="12">
        <v>0.03</v>
      </c>
      <c r="BK27" s="12"/>
      <c r="CC27" s="3" t="str">
        <f t="shared" si="8"/>
        <v>Allied-Moulded-AM1426HP25.jpg</v>
      </c>
      <c r="CD27" s="16" t="s">
        <v>111</v>
      </c>
      <c r="CE27" s="3"/>
      <c r="CF27" s="3"/>
      <c r="CG27" s="3" t="s">
        <v>4662</v>
      </c>
      <c r="CI27" s="3" t="s">
        <v>97</v>
      </c>
      <c r="CJ27" s="3" t="s">
        <v>844</v>
      </c>
      <c r="CK27" s="3" t="s">
        <v>114</v>
      </c>
      <c r="CL27" s="3" t="s">
        <v>115</v>
      </c>
      <c r="CM27" s="3" t="s">
        <v>116</v>
      </c>
      <c r="CN27" s="16" t="s">
        <v>349</v>
      </c>
      <c r="CO27" s="16" t="s">
        <v>350</v>
      </c>
      <c r="CP27" s="3" t="s">
        <v>120</v>
      </c>
      <c r="CQ27" s="26">
        <v>25</v>
      </c>
      <c r="CR27" s="16" t="s">
        <v>1037</v>
      </c>
      <c r="CS27" s="16" t="s">
        <v>125</v>
      </c>
      <c r="CT27" s="16" t="s">
        <v>351</v>
      </c>
    </row>
    <row r="28" spans="1:98" ht="12.75" customHeight="1">
      <c r="A28" s="78" t="s">
        <v>4847</v>
      </c>
      <c r="B28" s="23" t="s">
        <v>4848</v>
      </c>
      <c r="C28" s="16" t="s">
        <v>97</v>
      </c>
      <c r="D28" s="23" t="s">
        <v>4849</v>
      </c>
      <c r="E28" s="16" t="s">
        <v>97</v>
      </c>
      <c r="F28" s="150" t="s">
        <v>4850</v>
      </c>
      <c r="I28" s="100" t="s">
        <v>342</v>
      </c>
      <c r="J28" s="16" t="s">
        <v>101</v>
      </c>
      <c r="K28" s="16"/>
      <c r="L28" s="3" t="s">
        <v>102</v>
      </c>
      <c r="M28" s="3" t="s">
        <v>103</v>
      </c>
      <c r="N28" s="16" t="s">
        <v>4655</v>
      </c>
      <c r="O28" s="16" t="s">
        <v>4656</v>
      </c>
      <c r="P28" s="23" t="s">
        <v>4851</v>
      </c>
      <c r="Q28" s="23" t="s">
        <v>4852</v>
      </c>
      <c r="R28" s="23" t="s">
        <v>4853</v>
      </c>
      <c r="S28" s="23" t="s">
        <v>4847</v>
      </c>
      <c r="T28" s="132" t="s">
        <v>107</v>
      </c>
      <c r="U28" s="6">
        <v>14</v>
      </c>
      <c r="X28" s="31" t="s">
        <v>108</v>
      </c>
      <c r="Y28" s="93">
        <f t="shared" si="0"/>
        <v>1</v>
      </c>
      <c r="Z28" s="3">
        <v>0</v>
      </c>
      <c r="AA28" s="3" t="s">
        <v>4854</v>
      </c>
      <c r="AD28" s="6">
        <f t="shared" si="1"/>
        <v>200.65</v>
      </c>
      <c r="AE28" s="67">
        <v>228.66212591999999</v>
      </c>
      <c r="AF28" s="17">
        <f t="shared" si="9"/>
        <v>240.78</v>
      </c>
      <c r="AG28" s="6">
        <f t="shared" si="2"/>
        <v>148.63</v>
      </c>
      <c r="AH28" s="30" t="s">
        <v>110</v>
      </c>
      <c r="AI28" s="3">
        <v>0.65</v>
      </c>
      <c r="AJ28" s="18">
        <v>0.35</v>
      </c>
      <c r="AK28" s="6">
        <f t="shared" si="3"/>
        <v>198.64</v>
      </c>
      <c r="AL28" s="6">
        <f t="shared" si="4"/>
        <v>196.64</v>
      </c>
      <c r="AM28" s="6">
        <f t="shared" si="5"/>
        <v>194.63</v>
      </c>
      <c r="AN28" s="6">
        <f t="shared" si="6"/>
        <v>194.63</v>
      </c>
      <c r="AO28" s="6">
        <f t="shared" si="7"/>
        <v>200.65</v>
      </c>
      <c r="BG28" s="12">
        <v>0.01</v>
      </c>
      <c r="BH28" s="12">
        <v>0.02</v>
      </c>
      <c r="BI28" s="12">
        <v>0.03</v>
      </c>
      <c r="BJ28" s="12">
        <v>0.03</v>
      </c>
      <c r="BK28" s="12"/>
      <c r="CC28" s="3" t="str">
        <f t="shared" si="8"/>
        <v>Allied-Moulded-AM1648HP30.jpg</v>
      </c>
      <c r="CD28" s="16" t="s">
        <v>111</v>
      </c>
      <c r="CE28" s="3"/>
      <c r="CF28" s="3"/>
      <c r="CG28" s="3" t="s">
        <v>4662</v>
      </c>
      <c r="CI28" s="3" t="s">
        <v>97</v>
      </c>
      <c r="CJ28" s="3" t="s">
        <v>844</v>
      </c>
      <c r="CK28" s="3" t="s">
        <v>114</v>
      </c>
      <c r="CL28" s="3" t="s">
        <v>115</v>
      </c>
      <c r="CM28" s="3" t="s">
        <v>116</v>
      </c>
      <c r="CN28" s="16" t="s">
        <v>349</v>
      </c>
      <c r="CO28" s="16" t="s">
        <v>350</v>
      </c>
      <c r="CP28" s="3" t="s">
        <v>120</v>
      </c>
      <c r="CQ28" s="26">
        <v>30</v>
      </c>
      <c r="CR28" s="16" t="s">
        <v>242</v>
      </c>
      <c r="CS28" s="16" t="s">
        <v>1037</v>
      </c>
      <c r="CT28" s="16" t="s">
        <v>385</v>
      </c>
    </row>
    <row r="29" spans="1:98" ht="12.75" customHeight="1">
      <c r="A29" s="78" t="s">
        <v>4855</v>
      </c>
      <c r="B29" s="23" t="s">
        <v>4856</v>
      </c>
      <c r="C29" s="16" t="s">
        <v>97</v>
      </c>
      <c r="D29" s="23" t="s">
        <v>4857</v>
      </c>
      <c r="E29" s="16" t="s">
        <v>97</v>
      </c>
      <c r="F29" s="150" t="s">
        <v>4858</v>
      </c>
      <c r="I29" s="100" t="s">
        <v>342</v>
      </c>
      <c r="J29" s="16" t="s">
        <v>101</v>
      </c>
      <c r="K29" s="16"/>
      <c r="L29" s="3" t="s">
        <v>102</v>
      </c>
      <c r="M29" s="3" t="s">
        <v>103</v>
      </c>
      <c r="N29" s="16" t="s">
        <v>4655</v>
      </c>
      <c r="O29" s="16" t="s">
        <v>4656</v>
      </c>
      <c r="P29" s="23" t="s">
        <v>4859</v>
      </c>
      <c r="Q29" s="23" t="s">
        <v>4860</v>
      </c>
      <c r="R29" s="23" t="s">
        <v>4861</v>
      </c>
      <c r="S29" s="23" t="s">
        <v>4855</v>
      </c>
      <c r="T29" s="132" t="s">
        <v>107</v>
      </c>
      <c r="U29" s="6">
        <v>17</v>
      </c>
      <c r="X29" s="31" t="s">
        <v>108</v>
      </c>
      <c r="Y29" s="93">
        <f t="shared" si="0"/>
        <v>1</v>
      </c>
      <c r="Z29" s="3">
        <v>0</v>
      </c>
      <c r="AA29" s="3" t="s">
        <v>4862</v>
      </c>
      <c r="AD29" s="6">
        <f t="shared" si="1"/>
        <v>277.83</v>
      </c>
      <c r="AE29" s="67">
        <v>316.61461696000003</v>
      </c>
      <c r="AF29" s="17">
        <f t="shared" si="9"/>
        <v>333.39599999999996</v>
      </c>
      <c r="AG29" s="6">
        <f t="shared" si="2"/>
        <v>205.8</v>
      </c>
      <c r="AH29" s="30" t="s">
        <v>110</v>
      </c>
      <c r="AI29" s="3">
        <v>0.65</v>
      </c>
      <c r="AJ29" s="18">
        <v>0.35</v>
      </c>
      <c r="AK29" s="6">
        <f t="shared" si="3"/>
        <v>275.05</v>
      </c>
      <c r="AL29" s="6">
        <f t="shared" si="4"/>
        <v>272.27</v>
      </c>
      <c r="AM29" s="6">
        <f t="shared" si="5"/>
        <v>269.5</v>
      </c>
      <c r="AN29" s="6">
        <f t="shared" si="6"/>
        <v>269.5</v>
      </c>
      <c r="AO29" s="6">
        <f t="shared" si="7"/>
        <v>277.83</v>
      </c>
      <c r="BG29" s="12">
        <v>0.01</v>
      </c>
      <c r="BH29" s="12">
        <v>0.02</v>
      </c>
      <c r="BI29" s="12">
        <v>0.03</v>
      </c>
      <c r="BJ29" s="12">
        <v>0.03</v>
      </c>
      <c r="BK29" s="12"/>
      <c r="CC29" s="3" t="str">
        <f t="shared" si="8"/>
        <v>Allied-Moulded-AM1868HP42.jpg</v>
      </c>
      <c r="CD29" s="16" t="s">
        <v>111</v>
      </c>
      <c r="CE29" s="3"/>
      <c r="CF29" s="3"/>
      <c r="CG29" s="3" t="s">
        <v>4662</v>
      </c>
      <c r="CI29" s="3" t="s">
        <v>97</v>
      </c>
      <c r="CJ29" s="3" t="s">
        <v>844</v>
      </c>
      <c r="CK29" s="3" t="s">
        <v>114</v>
      </c>
      <c r="CL29" s="3" t="s">
        <v>115</v>
      </c>
      <c r="CM29" s="3" t="s">
        <v>116</v>
      </c>
      <c r="CN29" s="16" t="s">
        <v>349</v>
      </c>
      <c r="CO29" s="16" t="s">
        <v>350</v>
      </c>
      <c r="CP29" s="3" t="s">
        <v>120</v>
      </c>
      <c r="CQ29" s="26">
        <v>42</v>
      </c>
      <c r="CR29" s="16" t="s">
        <v>1814</v>
      </c>
      <c r="CS29" s="16" t="s">
        <v>242</v>
      </c>
      <c r="CT29" s="16" t="s">
        <v>385</v>
      </c>
    </row>
    <row r="30" spans="1:98" ht="12.75" customHeight="1">
      <c r="A30" s="87" t="s">
        <v>4863</v>
      </c>
      <c r="B30" s="81" t="s">
        <v>4864</v>
      </c>
      <c r="C30" s="16" t="s">
        <v>97</v>
      </c>
      <c r="D30" s="82" t="s">
        <v>4865</v>
      </c>
      <c r="E30" s="16" t="s">
        <v>97</v>
      </c>
      <c r="F30" s="131" t="s">
        <v>4866</v>
      </c>
      <c r="I30" s="100" t="s">
        <v>342</v>
      </c>
      <c r="J30" s="16" t="s">
        <v>101</v>
      </c>
      <c r="K30" s="16"/>
      <c r="L30" s="3" t="s">
        <v>102</v>
      </c>
      <c r="M30" s="3" t="s">
        <v>103</v>
      </c>
      <c r="N30" s="16" t="s">
        <v>4655</v>
      </c>
      <c r="O30" s="16" t="s">
        <v>4656</v>
      </c>
      <c r="P30" s="83" t="s">
        <v>4867</v>
      </c>
      <c r="Q30" s="84" t="s">
        <v>4863</v>
      </c>
      <c r="R30" s="84" t="s">
        <v>4863</v>
      </c>
      <c r="S30" s="82"/>
      <c r="T30" s="137" t="s">
        <v>2582</v>
      </c>
      <c r="U30" s="58">
        <v>2</v>
      </c>
      <c r="V30" s="58"/>
      <c r="W30" s="58"/>
      <c r="X30" s="59" t="s">
        <v>108</v>
      </c>
      <c r="Y30" s="93">
        <f t="shared" si="0"/>
        <v>1</v>
      </c>
      <c r="Z30" s="3">
        <v>0</v>
      </c>
      <c r="AA30" s="3" t="s">
        <v>4868</v>
      </c>
      <c r="AD30" s="6">
        <f t="shared" si="1"/>
        <v>38.79</v>
      </c>
      <c r="AE30" s="74">
        <v>44.204939099999997</v>
      </c>
      <c r="AF30" s="17">
        <f t="shared" si="9"/>
        <v>46.547999999999995</v>
      </c>
      <c r="AG30" s="6">
        <f t="shared" si="2"/>
        <v>28.73</v>
      </c>
      <c r="AH30" s="30" t="s">
        <v>110</v>
      </c>
      <c r="AI30" s="3">
        <v>0.65</v>
      </c>
      <c r="AJ30" s="18">
        <v>0.35</v>
      </c>
      <c r="AK30" s="6">
        <f t="shared" si="3"/>
        <v>38.4</v>
      </c>
      <c r="AL30" s="6">
        <f t="shared" si="4"/>
        <v>38.01</v>
      </c>
      <c r="AM30" s="6">
        <f t="shared" si="5"/>
        <v>37.630000000000003</v>
      </c>
      <c r="AN30" s="6">
        <f t="shared" si="6"/>
        <v>37.630000000000003</v>
      </c>
      <c r="AO30" s="6">
        <f t="shared" si="7"/>
        <v>38.79</v>
      </c>
      <c r="BG30" s="12">
        <v>0.01</v>
      </c>
      <c r="BH30" s="12">
        <v>0.02</v>
      </c>
      <c r="BI30" s="12">
        <v>0.03</v>
      </c>
      <c r="BJ30" s="12">
        <v>0.03</v>
      </c>
      <c r="CC30" s="3" t="str">
        <f t="shared" si="8"/>
        <v>Allied-Moulded-AMP1PB.jpg</v>
      </c>
      <c r="CD30" s="16" t="s">
        <v>111</v>
      </c>
      <c r="CE30" s="3"/>
      <c r="CF30" s="3"/>
      <c r="CG30" s="3" t="s">
        <v>4662</v>
      </c>
      <c r="CI30" s="3" t="s">
        <v>97</v>
      </c>
      <c r="CJ30" s="3" t="s">
        <v>481</v>
      </c>
      <c r="CK30" s="3" t="s">
        <v>114</v>
      </c>
      <c r="CL30" s="3" t="s">
        <v>115</v>
      </c>
      <c r="CM30" s="16"/>
      <c r="CN30" s="16" t="s">
        <v>349</v>
      </c>
      <c r="CO30" s="3" t="s">
        <v>482</v>
      </c>
      <c r="CP30" s="3" t="s">
        <v>120</v>
      </c>
      <c r="CQ30" s="88">
        <v>1</v>
      </c>
      <c r="CR30" s="16" t="s">
        <v>657</v>
      </c>
      <c r="CS30" s="3" t="s">
        <v>657</v>
      </c>
      <c r="CT30" s="16" t="s">
        <v>2584</v>
      </c>
    </row>
    <row r="31" spans="1:98" ht="15" customHeight="1">
      <c r="A31" t="s">
        <v>4869</v>
      </c>
      <c r="B31" s="3" t="s">
        <v>4870</v>
      </c>
      <c r="C31" s="16" t="s">
        <v>97</v>
      </c>
      <c r="D31" s="41" t="s">
        <v>4871</v>
      </c>
      <c r="E31" s="16" t="s">
        <v>97</v>
      </c>
      <c r="F31" s="131" t="s">
        <v>4872</v>
      </c>
      <c r="I31" s="100" t="s">
        <v>342</v>
      </c>
      <c r="J31" s="16" t="s">
        <v>101</v>
      </c>
      <c r="K31" s="16"/>
      <c r="L31" s="3" t="s">
        <v>102</v>
      </c>
      <c r="M31" s="3" t="s">
        <v>103</v>
      </c>
      <c r="N31" s="16" t="s">
        <v>4655</v>
      </c>
      <c r="O31" s="16" t="s">
        <v>4656</v>
      </c>
      <c r="P31" s="2" t="s">
        <v>4873</v>
      </c>
      <c r="Q31" s="45" t="s">
        <v>4869</v>
      </c>
      <c r="R31" s="45" t="s">
        <v>4869</v>
      </c>
      <c r="S31" s="36"/>
      <c r="T31" s="138" t="s">
        <v>2582</v>
      </c>
      <c r="U31" s="52">
        <v>2</v>
      </c>
      <c r="V31" s="54"/>
      <c r="W31" s="54"/>
      <c r="X31" s="59" t="s">
        <v>108</v>
      </c>
      <c r="Y31" s="93">
        <f t="shared" si="0"/>
        <v>1</v>
      </c>
      <c r="Z31" s="3">
        <v>0</v>
      </c>
      <c r="AA31" s="3" t="s">
        <v>4874</v>
      </c>
      <c r="AD31" s="6">
        <f t="shared" si="1"/>
        <v>38.79</v>
      </c>
      <c r="AE31" s="68">
        <v>44.204939099999997</v>
      </c>
      <c r="AF31" s="17">
        <f t="shared" si="9"/>
        <v>46.547999999999995</v>
      </c>
      <c r="AG31" s="6">
        <f t="shared" si="2"/>
        <v>28.73</v>
      </c>
      <c r="AH31" s="30" t="s">
        <v>110</v>
      </c>
      <c r="AI31" s="3">
        <v>0.65</v>
      </c>
      <c r="AJ31" s="18">
        <v>0.35</v>
      </c>
      <c r="AK31" s="6">
        <f t="shared" si="3"/>
        <v>38.4</v>
      </c>
      <c r="AL31" s="6">
        <f t="shared" si="4"/>
        <v>38.01</v>
      </c>
      <c r="AM31" s="6">
        <f t="shared" si="5"/>
        <v>37.630000000000003</v>
      </c>
      <c r="AN31" s="6">
        <f t="shared" si="6"/>
        <v>37.630000000000003</v>
      </c>
      <c r="AO31" s="6">
        <f t="shared" si="7"/>
        <v>38.79</v>
      </c>
      <c r="BG31" s="12">
        <v>0.01</v>
      </c>
      <c r="BH31" s="12">
        <v>0.02</v>
      </c>
      <c r="BI31" s="12">
        <v>0.03</v>
      </c>
      <c r="BJ31" s="12">
        <v>0.03</v>
      </c>
      <c r="CC31" s="3" t="str">
        <f t="shared" si="8"/>
        <v>Allied-Moulded-AMP1PB22.jpg</v>
      </c>
      <c r="CD31" s="16" t="s">
        <v>111</v>
      </c>
      <c r="CE31" s="3"/>
      <c r="CF31" s="3"/>
      <c r="CG31" s="3" t="s">
        <v>4662</v>
      </c>
      <c r="CI31" s="3" t="s">
        <v>97</v>
      </c>
      <c r="CJ31" s="3" t="s">
        <v>481</v>
      </c>
      <c r="CK31" s="3" t="s">
        <v>114</v>
      </c>
      <c r="CL31" s="3" t="s">
        <v>115</v>
      </c>
      <c r="CM31" s="16"/>
      <c r="CN31" s="16" t="s">
        <v>349</v>
      </c>
      <c r="CO31" s="3" t="s">
        <v>482</v>
      </c>
      <c r="CP31" s="3" t="s">
        <v>120</v>
      </c>
      <c r="CQ31" s="88">
        <v>1</v>
      </c>
      <c r="CR31" s="16" t="s">
        <v>657</v>
      </c>
      <c r="CS31" s="3" t="s">
        <v>657</v>
      </c>
      <c r="CT31" s="16" t="s">
        <v>2584</v>
      </c>
    </row>
    <row r="32" spans="1:98" ht="15.75">
      <c r="A32" t="s">
        <v>4875</v>
      </c>
      <c r="B32" s="3" t="s">
        <v>4876</v>
      </c>
      <c r="C32" s="16" t="s">
        <v>97</v>
      </c>
      <c r="D32" s="40" t="s">
        <v>4877</v>
      </c>
      <c r="E32" s="16" t="s">
        <v>97</v>
      </c>
      <c r="F32" s="131" t="s">
        <v>4878</v>
      </c>
      <c r="I32" s="100" t="s">
        <v>342</v>
      </c>
      <c r="J32" s="16" t="s">
        <v>101</v>
      </c>
      <c r="K32" s="16"/>
      <c r="L32" s="3" t="s">
        <v>102</v>
      </c>
      <c r="M32" s="3" t="s">
        <v>103</v>
      </c>
      <c r="N32" s="3" t="s">
        <v>4655</v>
      </c>
      <c r="O32" s="3" t="s">
        <v>4656</v>
      </c>
      <c r="P32" s="3" t="s">
        <v>4879</v>
      </c>
      <c r="Q32" t="s">
        <v>4875</v>
      </c>
      <c r="R32" s="3" t="s">
        <v>4879</v>
      </c>
      <c r="S32" s="85" t="s">
        <v>4875</v>
      </c>
      <c r="T32" s="135" t="s">
        <v>4660</v>
      </c>
      <c r="U32" s="51">
        <v>2</v>
      </c>
      <c r="V32" s="58"/>
      <c r="W32" s="58"/>
      <c r="X32" s="59" t="s">
        <v>108</v>
      </c>
      <c r="Y32" s="93">
        <f t="shared" si="0"/>
        <v>1</v>
      </c>
      <c r="Z32" s="3">
        <v>0</v>
      </c>
      <c r="AA32" s="3" t="s">
        <v>4880</v>
      </c>
      <c r="AD32" s="6">
        <f t="shared" si="1"/>
        <v>68.47</v>
      </c>
      <c r="AE32" s="69">
        <v>78.03249821</v>
      </c>
      <c r="AF32" s="17">
        <f t="shared" si="9"/>
        <v>82.164000000000001</v>
      </c>
      <c r="AG32" s="6">
        <f t="shared" si="2"/>
        <v>50.72</v>
      </c>
      <c r="AH32" s="30" t="s">
        <v>110</v>
      </c>
      <c r="AI32" s="3">
        <v>0.65</v>
      </c>
      <c r="AJ32" s="18">
        <v>0.35</v>
      </c>
      <c r="AK32" s="6">
        <f t="shared" si="3"/>
        <v>67.790000000000006</v>
      </c>
      <c r="AL32" s="6">
        <f t="shared" si="4"/>
        <v>67.099999999999994</v>
      </c>
      <c r="AM32" s="6">
        <f t="shared" si="5"/>
        <v>66.42</v>
      </c>
      <c r="AN32" s="6">
        <f t="shared" si="6"/>
        <v>66.42</v>
      </c>
      <c r="AO32" s="6">
        <f t="shared" si="7"/>
        <v>68.47</v>
      </c>
      <c r="BG32" s="12">
        <v>0.01</v>
      </c>
      <c r="BH32" s="12">
        <v>0.02</v>
      </c>
      <c r="BI32" s="12">
        <v>0.03</v>
      </c>
      <c r="BJ32" s="12">
        <v>0.03</v>
      </c>
      <c r="CC32" s="3" t="str">
        <f t="shared" si="8"/>
        <v>Allied-Moulded-AM4PB.jpg</v>
      </c>
      <c r="CD32" s="16" t="s">
        <v>111</v>
      </c>
      <c r="CE32" s="3"/>
      <c r="CF32" s="3"/>
      <c r="CG32" s="3" t="s">
        <v>4662</v>
      </c>
      <c r="CI32" s="3" t="s">
        <v>97</v>
      </c>
      <c r="CJ32" s="3" t="s">
        <v>844</v>
      </c>
      <c r="CK32" s="3" t="s">
        <v>114</v>
      </c>
      <c r="CL32" s="3" t="s">
        <v>115</v>
      </c>
      <c r="CM32" s="16"/>
      <c r="CN32" s="16" t="s">
        <v>349</v>
      </c>
      <c r="CO32" s="16" t="s">
        <v>350</v>
      </c>
      <c r="CP32" s="3" t="s">
        <v>120</v>
      </c>
      <c r="CQ32" s="88">
        <v>4</v>
      </c>
      <c r="CR32" s="16" t="s">
        <v>2654</v>
      </c>
      <c r="CS32" s="16" t="s">
        <v>657</v>
      </c>
      <c r="CT32" s="16" t="s">
        <v>2584</v>
      </c>
    </row>
    <row r="33" spans="1:98" ht="15.75">
      <c r="A33" t="s">
        <v>4881</v>
      </c>
      <c r="B33" s="3" t="s">
        <v>4882</v>
      </c>
      <c r="C33" s="16" t="s">
        <v>97</v>
      </c>
      <c r="D33" s="39" t="s">
        <v>4883</v>
      </c>
      <c r="E33" s="16" t="s">
        <v>97</v>
      </c>
      <c r="F33" s="131" t="s">
        <v>4884</v>
      </c>
      <c r="I33" s="100" t="s">
        <v>342</v>
      </c>
      <c r="J33" s="16" t="s">
        <v>101</v>
      </c>
      <c r="K33" s="16"/>
      <c r="L33" s="3" t="s">
        <v>102</v>
      </c>
      <c r="M33" s="3" t="s">
        <v>103</v>
      </c>
      <c r="N33" s="3" t="s">
        <v>4655</v>
      </c>
      <c r="O33" s="3" t="s">
        <v>4656</v>
      </c>
      <c r="P33" s="3" t="s">
        <v>4885</v>
      </c>
      <c r="Q33" t="s">
        <v>4881</v>
      </c>
      <c r="R33" s="3" t="s">
        <v>4885</v>
      </c>
      <c r="S33" t="s">
        <v>4881</v>
      </c>
      <c r="T33" s="130" t="s">
        <v>4660</v>
      </c>
      <c r="U33" s="50">
        <v>2</v>
      </c>
      <c r="V33" s="54"/>
      <c r="W33" s="54"/>
      <c r="X33" s="59" t="s">
        <v>108</v>
      </c>
      <c r="Y33" s="93">
        <f t="shared" si="0"/>
        <v>1</v>
      </c>
      <c r="Z33" s="3">
        <v>0</v>
      </c>
      <c r="AA33" s="3" t="s">
        <v>4886</v>
      </c>
      <c r="AD33" s="6">
        <f t="shared" si="1"/>
        <v>68.47</v>
      </c>
      <c r="AE33" s="69">
        <v>78.03249821</v>
      </c>
      <c r="AF33" s="17">
        <f t="shared" si="9"/>
        <v>82.164000000000001</v>
      </c>
      <c r="AG33" s="6">
        <f t="shared" si="2"/>
        <v>50.72</v>
      </c>
      <c r="AH33" s="30" t="s">
        <v>110</v>
      </c>
      <c r="AI33" s="3">
        <v>0.65</v>
      </c>
      <c r="AJ33" s="18">
        <v>0.35</v>
      </c>
      <c r="AK33" s="6">
        <f t="shared" si="3"/>
        <v>67.790000000000006</v>
      </c>
      <c r="AL33" s="6">
        <f t="shared" si="4"/>
        <v>67.099999999999994</v>
      </c>
      <c r="AM33" s="6">
        <f t="shared" si="5"/>
        <v>66.42</v>
      </c>
      <c r="AN33" s="6">
        <f t="shared" si="6"/>
        <v>66.42</v>
      </c>
      <c r="AO33" s="6">
        <f t="shared" si="7"/>
        <v>68.47</v>
      </c>
      <c r="BG33" s="12">
        <v>0.01</v>
      </c>
      <c r="BH33" s="12">
        <v>0.02</v>
      </c>
      <c r="BI33" s="12">
        <v>0.03</v>
      </c>
      <c r="BJ33" s="12">
        <v>0.03</v>
      </c>
      <c r="CC33" s="3" t="str">
        <f t="shared" si="8"/>
        <v>Allied-Moulded-AM4PB22.jpg</v>
      </c>
      <c r="CD33" s="16" t="s">
        <v>111</v>
      </c>
      <c r="CE33" s="3"/>
      <c r="CF33" s="3"/>
      <c r="CG33" s="3" t="s">
        <v>4662</v>
      </c>
      <c r="CI33" s="3" t="s">
        <v>97</v>
      </c>
      <c r="CJ33" s="3" t="s">
        <v>844</v>
      </c>
      <c r="CK33" s="3" t="s">
        <v>114</v>
      </c>
      <c r="CL33" s="3" t="s">
        <v>115</v>
      </c>
      <c r="CM33" s="16"/>
      <c r="CN33" s="16" t="s">
        <v>349</v>
      </c>
      <c r="CO33" s="16" t="s">
        <v>350</v>
      </c>
      <c r="CP33" s="3" t="s">
        <v>120</v>
      </c>
      <c r="CQ33" s="88">
        <v>4</v>
      </c>
      <c r="CR33" s="16" t="s">
        <v>2654</v>
      </c>
      <c r="CS33" s="16" t="s">
        <v>657</v>
      </c>
      <c r="CT33" s="16" t="s">
        <v>2584</v>
      </c>
    </row>
  </sheetData>
  <autoFilter ref="A3:DG3" xr:uid="{42FF4AF2-D39A-47B2-8334-E95C208A7643}">
    <sortState xmlns:xlrd2="http://schemas.microsoft.com/office/spreadsheetml/2017/richdata2" ref="A4:DG33">
      <sortCondition descending="1" ref="Y3"/>
    </sortState>
  </autoFilter>
  <phoneticPr fontId="14" type="noConversion"/>
  <conditionalFormatting sqref="Y1">
    <cfRule type="colorScale" priority="1">
      <colorScale>
        <cfvo type="num" val="0"/>
        <cfvo type="num" val="1"/>
        <color rgb="FFFF0000"/>
        <color rgb="FFFFFF00"/>
      </colorScale>
    </cfRule>
  </conditionalFormatting>
  <conditionalFormatting sqref="Y31:AD33 AG31:AJ33">
    <cfRule type="colorScale" priority="6">
      <colorScale>
        <cfvo type="num" val="0"/>
        <cfvo type="num" val="1"/>
        <color rgb="FFFF0000"/>
        <color rgb="FFFFFF00"/>
      </colorScale>
    </cfRule>
  </conditionalFormatting>
  <conditionalFormatting sqref="Y124:AD1048576 Y33:AD33 AG33:AJ33 AF124:AJ1048576 Y5:AD30 Z4:AD4 AG4:AJ30">
    <cfRule type="colorScale" priority="8">
      <colorScale>
        <cfvo type="num" val="0"/>
        <cfvo type="num" val="1"/>
        <color rgb="FFFF0000"/>
        <color rgb="FFFFFF00"/>
      </colorScale>
    </cfRule>
  </conditionalFormatting>
  <conditionalFormatting sqref="AF4:AF33">
    <cfRule type="colorScale" priority="4">
      <colorScale>
        <cfvo type="num" val="0"/>
        <cfvo type="num" val="1"/>
        <color rgb="FFFF0000"/>
        <color rgb="FFFFFF0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CAE08-276B-4ABC-A494-22CF092C0623}">
  <sheetPr codeName="Sheet7"/>
  <dimension ref="A1:DK35"/>
  <sheetViews>
    <sheetView zoomScale="98" zoomScaleNormal="98" workbookViewId="0">
      <pane xSplit="1" ySplit="3" topLeftCell="S21" activePane="bottomRight" state="frozen"/>
      <selection pane="topRight" activeCell="A22" sqref="A22"/>
      <selection pane="bottomLeft" activeCell="A22" sqref="A22"/>
      <selection pane="bottomRight" activeCell="Q4" sqref="Q4:Q35"/>
    </sheetView>
  </sheetViews>
  <sheetFormatPr defaultRowHeight="15"/>
  <cols>
    <col min="1" max="1" width="50.140625" customWidth="1"/>
    <col min="2" max="2" width="28.140625" customWidth="1"/>
    <col min="3" max="3" width="34.42578125" customWidth="1"/>
    <col min="4" max="4" width="29.85546875" customWidth="1"/>
    <col min="10" max="10" width="99.85546875" bestFit="1" customWidth="1"/>
    <col min="11" max="11" width="21.85546875" bestFit="1" customWidth="1"/>
    <col min="12" max="12" width="49.42578125" bestFit="1" customWidth="1"/>
    <col min="13" max="13" width="83.85546875" bestFit="1" customWidth="1"/>
    <col min="16" max="16" width="23" customWidth="1"/>
    <col min="17" max="17" width="27.42578125" customWidth="1"/>
    <col min="21" max="22" width="9.140625" style="62"/>
    <col min="28" max="28" width="15.5703125" bestFit="1" customWidth="1"/>
    <col min="31" max="31" width="9.140625" style="55"/>
    <col min="42" max="58" width="0" hidden="1" customWidth="1"/>
    <col min="64" max="80" width="0" hidden="1" customWidth="1"/>
    <col min="85" max="85" width="25.28515625" customWidth="1"/>
    <col min="86" max="86" width="29.42578125" customWidth="1"/>
    <col min="87" max="87" width="15.5703125" bestFit="1" customWidth="1"/>
    <col min="88" max="88" width="23" bestFit="1" customWidth="1"/>
    <col min="89" max="89" width="17.5703125" bestFit="1" customWidth="1"/>
    <col min="90" max="90" width="21.85546875" bestFit="1" customWidth="1"/>
  </cols>
  <sheetData>
    <row r="1" spans="1:115" s="3" customFormat="1" ht="15.75">
      <c r="A1" s="139" t="s">
        <v>0</v>
      </c>
      <c r="B1" s="158"/>
      <c r="C1" s="159"/>
      <c r="D1" s="160"/>
      <c r="E1" s="159"/>
      <c r="F1" s="161"/>
      <c r="G1" s="161"/>
      <c r="H1" s="162"/>
      <c r="I1" s="162"/>
      <c r="J1" s="161"/>
      <c r="K1" s="162"/>
      <c r="L1" s="163" t="s">
        <v>1</v>
      </c>
      <c r="M1" s="164">
        <v>3</v>
      </c>
      <c r="N1" s="159" t="s">
        <v>2</v>
      </c>
      <c r="O1" s="159"/>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171"/>
      <c r="CE1" s="171"/>
      <c r="CF1" s="171"/>
    </row>
    <row r="2" spans="1:115" s="3" customFormat="1" ht="15.75">
      <c r="A2" s="172" t="s">
        <v>6023</v>
      </c>
      <c r="B2" s="173" t="s">
        <v>4424</v>
      </c>
      <c r="C2" s="174" t="s">
        <v>5</v>
      </c>
      <c r="D2" s="175" t="s">
        <v>4425</v>
      </c>
      <c r="E2" s="174" t="s">
        <v>6</v>
      </c>
      <c r="F2" s="141" t="s">
        <v>6024</v>
      </c>
      <c r="G2" s="14" t="s">
        <v>7</v>
      </c>
      <c r="H2" s="176" t="s">
        <v>8</v>
      </c>
      <c r="I2" s="177" t="s">
        <v>6025</v>
      </c>
      <c r="J2" s="141" t="s">
        <v>6026</v>
      </c>
      <c r="K2" s="176" t="s">
        <v>10</v>
      </c>
      <c r="L2" s="141" t="s">
        <v>11</v>
      </c>
      <c r="M2" s="141" t="s">
        <v>12</v>
      </c>
      <c r="N2" s="141" t="s">
        <v>13</v>
      </c>
      <c r="O2" s="141" t="s">
        <v>14</v>
      </c>
      <c r="P2" s="141" t="s">
        <v>15</v>
      </c>
      <c r="Q2" s="141" t="s">
        <v>16</v>
      </c>
      <c r="R2" s="178" t="s">
        <v>17</v>
      </c>
      <c r="S2" s="178" t="s">
        <v>18</v>
      </c>
      <c r="T2" s="178" t="s">
        <v>19</v>
      </c>
      <c r="U2" s="142" t="s">
        <v>6027</v>
      </c>
      <c r="V2" s="142" t="s">
        <v>20</v>
      </c>
      <c r="W2" s="177" t="s">
        <v>21</v>
      </c>
      <c r="X2" s="179" t="s">
        <v>22</v>
      </c>
      <c r="Y2" s="180" t="s">
        <v>23</v>
      </c>
      <c r="Z2" s="181" t="s">
        <v>24</v>
      </c>
      <c r="AA2" s="181" t="s">
        <v>25</v>
      </c>
      <c r="AB2" s="182" t="s">
        <v>26</v>
      </c>
      <c r="AC2" s="143" t="s">
        <v>27</v>
      </c>
      <c r="AD2" s="183" t="s">
        <v>28</v>
      </c>
      <c r="AE2" s="184" t="s">
        <v>29</v>
      </c>
      <c r="AF2" s="185" t="s">
        <v>30</v>
      </c>
      <c r="AG2" s="142" t="s">
        <v>6028</v>
      </c>
      <c r="AH2" s="14" t="s">
        <v>31</v>
      </c>
      <c r="AI2" s="14" t="s">
        <v>32</v>
      </c>
      <c r="AJ2" s="186" t="s">
        <v>33</v>
      </c>
      <c r="AK2" s="145" t="s">
        <v>34</v>
      </c>
      <c r="AL2" s="145" t="s">
        <v>35</v>
      </c>
      <c r="AM2" s="145" t="s">
        <v>36</v>
      </c>
      <c r="AN2" s="145" t="s">
        <v>77</v>
      </c>
      <c r="AO2" s="145" t="s">
        <v>78</v>
      </c>
      <c r="AP2" s="14"/>
      <c r="AQ2" s="14"/>
      <c r="AR2" s="14"/>
      <c r="AS2" s="14"/>
      <c r="AT2" s="14"/>
      <c r="AU2" s="14"/>
      <c r="AV2" s="14"/>
      <c r="AW2" s="14"/>
      <c r="AX2" s="14"/>
      <c r="AY2" s="14"/>
      <c r="AZ2" s="14"/>
      <c r="BA2" s="14"/>
      <c r="BB2" s="14"/>
      <c r="BC2" s="14"/>
      <c r="BD2" s="14"/>
      <c r="BE2" s="14"/>
      <c r="BF2" s="14"/>
      <c r="BG2" s="186" t="s">
        <v>37</v>
      </c>
      <c r="BH2" s="186" t="s">
        <v>38</v>
      </c>
      <c r="BI2" s="186" t="s">
        <v>39</v>
      </c>
      <c r="BJ2" s="186" t="s">
        <v>40</v>
      </c>
      <c r="BK2" s="186" t="s">
        <v>41</v>
      </c>
      <c r="BL2" s="14" t="s">
        <v>42</v>
      </c>
      <c r="BM2" s="14" t="s">
        <v>43</v>
      </c>
      <c r="BN2" s="14" t="s">
        <v>44</v>
      </c>
      <c r="BO2" s="14" t="s">
        <v>45</v>
      </c>
      <c r="BP2" s="14" t="s">
        <v>46</v>
      </c>
      <c r="BQ2" s="14" t="s">
        <v>47</v>
      </c>
      <c r="BR2" s="14" t="s">
        <v>48</v>
      </c>
      <c r="BS2" s="14" t="s">
        <v>49</v>
      </c>
      <c r="BT2" s="14" t="s">
        <v>50</v>
      </c>
      <c r="BU2" s="14" t="s">
        <v>51</v>
      </c>
      <c r="BV2" s="14" t="s">
        <v>52</v>
      </c>
      <c r="BW2" s="14" t="s">
        <v>53</v>
      </c>
      <c r="BX2" s="14" t="s">
        <v>54</v>
      </c>
      <c r="BY2" s="14" t="s">
        <v>55</v>
      </c>
      <c r="BZ2" s="14" t="s">
        <v>56</v>
      </c>
      <c r="CA2" s="14" t="s">
        <v>57</v>
      </c>
      <c r="CB2" s="14" t="s">
        <v>58</v>
      </c>
      <c r="CC2" s="187" t="s">
        <v>59</v>
      </c>
      <c r="CD2" s="140" t="s">
        <v>6029</v>
      </c>
      <c r="CE2" s="140" t="s">
        <v>6030</v>
      </c>
      <c r="CF2" s="144" t="s">
        <v>6031</v>
      </c>
      <c r="CG2" s="14" t="s">
        <v>60</v>
      </c>
      <c r="CH2" s="14" t="s">
        <v>61</v>
      </c>
      <c r="CI2" s="14" t="s">
        <v>62</v>
      </c>
      <c r="CJ2" s="14" t="s">
        <v>4426</v>
      </c>
      <c r="CK2" s="14" t="s">
        <v>64</v>
      </c>
      <c r="CL2" s="14" t="s">
        <v>4887</v>
      </c>
      <c r="CM2" s="14"/>
      <c r="CN2" s="14"/>
      <c r="CO2" s="14"/>
      <c r="CP2" s="14"/>
      <c r="CQ2" s="14"/>
      <c r="CR2" s="14"/>
      <c r="CS2" s="14"/>
      <c r="CT2" s="14"/>
      <c r="CU2" s="14"/>
      <c r="CV2" s="14"/>
      <c r="CW2" s="14"/>
      <c r="CX2" s="14"/>
      <c r="CY2" s="14"/>
      <c r="CZ2" s="14"/>
      <c r="DA2" s="14"/>
      <c r="DB2" s="14"/>
      <c r="DC2" s="14"/>
      <c r="DD2" s="14"/>
      <c r="DE2" s="14"/>
      <c r="DF2" s="14"/>
      <c r="DG2" s="14"/>
      <c r="DH2" s="14"/>
      <c r="DI2" s="14"/>
      <c r="DJ2" s="14"/>
      <c r="DK2" s="14"/>
    </row>
    <row r="3" spans="1:115" s="28" customFormat="1" ht="18.75">
      <c r="A3" s="188" t="s">
        <v>6032</v>
      </c>
      <c r="B3" s="189" t="s">
        <v>6033</v>
      </c>
      <c r="C3" s="189" t="s">
        <v>6034</v>
      </c>
      <c r="D3" s="189" t="s">
        <v>6033</v>
      </c>
      <c r="E3" s="189" t="s">
        <v>6035</v>
      </c>
      <c r="F3" s="190" t="s">
        <v>6034</v>
      </c>
      <c r="G3" s="191"/>
      <c r="H3" s="192"/>
      <c r="I3" s="193" t="s">
        <v>6036</v>
      </c>
      <c r="J3" s="194" t="s">
        <v>9</v>
      </c>
      <c r="K3" s="192"/>
      <c r="L3" s="189"/>
      <c r="M3" s="189"/>
      <c r="N3" s="189"/>
      <c r="O3" s="189"/>
      <c r="P3" s="189" t="s">
        <v>6033</v>
      </c>
      <c r="Q3" s="189" t="s">
        <v>6033</v>
      </c>
      <c r="R3" s="195" t="s">
        <v>6033</v>
      </c>
      <c r="S3" s="195" t="s">
        <v>6033</v>
      </c>
      <c r="T3" s="195"/>
      <c r="U3" s="196" t="s">
        <v>6037</v>
      </c>
      <c r="V3" s="196"/>
      <c r="W3" s="197"/>
      <c r="X3" s="189"/>
      <c r="Y3" s="198" t="s">
        <v>76</v>
      </c>
      <c r="Z3" s="189"/>
      <c r="AA3" s="189" t="s">
        <v>79</v>
      </c>
      <c r="AB3" s="199"/>
      <c r="AC3"/>
      <c r="AD3" s="196" t="s">
        <v>6038</v>
      </c>
      <c r="AE3" s="200"/>
      <c r="AF3" s="201" t="s">
        <v>6038</v>
      </c>
      <c r="AG3" s="196" t="s">
        <v>6038</v>
      </c>
      <c r="AH3" s="191"/>
      <c r="AI3" s="191"/>
      <c r="AJ3" s="202"/>
      <c r="AK3" s="203" t="s">
        <v>6039</v>
      </c>
      <c r="AL3" s="203" t="s">
        <v>6040</v>
      </c>
      <c r="AM3" s="203" t="s">
        <v>6041</v>
      </c>
      <c r="AN3" s="203" t="s">
        <v>6042</v>
      </c>
      <c r="AO3" s="203" t="s">
        <v>6043</v>
      </c>
      <c r="AP3" s="203" t="s">
        <v>6044</v>
      </c>
      <c r="AQ3" s="203" t="s">
        <v>6045</v>
      </c>
      <c r="AR3" s="203" t="s">
        <v>6046</v>
      </c>
      <c r="AS3" s="203" t="s">
        <v>6047</v>
      </c>
      <c r="AT3" s="203" t="s">
        <v>6048</v>
      </c>
      <c r="AU3" s="203" t="s">
        <v>6049</v>
      </c>
      <c r="AV3" s="203" t="s">
        <v>6050</v>
      </c>
      <c r="AW3" s="203" t="s">
        <v>6051</v>
      </c>
      <c r="AX3" s="203" t="s">
        <v>6052</v>
      </c>
      <c r="AY3" s="203" t="s">
        <v>6053</v>
      </c>
      <c r="AZ3" s="203" t="s">
        <v>6054</v>
      </c>
      <c r="BA3" s="203" t="s">
        <v>6055</v>
      </c>
      <c r="BB3" s="203" t="s">
        <v>6056</v>
      </c>
      <c r="BC3" s="203" t="s">
        <v>6057</v>
      </c>
      <c r="BD3" s="203" t="s">
        <v>6058</v>
      </c>
      <c r="BE3" s="203" t="s">
        <v>6059</v>
      </c>
      <c r="BF3" s="203" t="s">
        <v>6060</v>
      </c>
      <c r="BG3" s="202" t="s">
        <v>34</v>
      </c>
      <c r="BH3" s="202" t="s">
        <v>35</v>
      </c>
      <c r="BI3" s="202" t="s">
        <v>36</v>
      </c>
      <c r="BJ3" s="204" t="s">
        <v>77</v>
      </c>
      <c r="BK3" s="202" t="s">
        <v>78</v>
      </c>
      <c r="BL3" s="191"/>
      <c r="BM3" s="191"/>
      <c r="BN3" s="191"/>
      <c r="BO3" s="191"/>
      <c r="BP3" s="191"/>
      <c r="BQ3" s="191"/>
      <c r="BR3" s="191"/>
      <c r="BS3" s="191"/>
      <c r="BT3" s="191"/>
      <c r="BU3" s="191"/>
      <c r="BV3" s="191"/>
      <c r="BW3" s="191"/>
      <c r="BX3" s="191"/>
      <c r="BY3" s="191"/>
      <c r="BZ3" s="191"/>
      <c r="CA3" s="191"/>
      <c r="CB3" s="191"/>
      <c r="CC3" s="205" t="s">
        <v>79</v>
      </c>
      <c r="CD3" s="171"/>
      <c r="CE3" s="171"/>
      <c r="CF3" s="171"/>
      <c r="CG3" s="28" t="s">
        <v>80</v>
      </c>
      <c r="CH3" s="28" t="s">
        <v>81</v>
      </c>
      <c r="CI3" s="28" t="s">
        <v>5</v>
      </c>
      <c r="CJ3" s="28" t="s">
        <v>4888</v>
      </c>
      <c r="CK3" s="28" t="s">
        <v>4889</v>
      </c>
      <c r="CL3" s="28" t="s">
        <v>82</v>
      </c>
    </row>
    <row r="4" spans="1:115" s="3" customFormat="1" ht="15.75">
      <c r="A4" t="s">
        <v>4890</v>
      </c>
      <c r="B4" s="3" t="s">
        <v>4891</v>
      </c>
      <c r="C4" s="16" t="s">
        <v>97</v>
      </c>
      <c r="D4" s="38" t="s">
        <v>4892</v>
      </c>
      <c r="E4" s="16" t="s">
        <v>97</v>
      </c>
      <c r="F4" s="131" t="s">
        <v>4893</v>
      </c>
      <c r="I4" s="100" t="s">
        <v>342</v>
      </c>
      <c r="J4" s="16" t="s">
        <v>101</v>
      </c>
      <c r="K4" s="16"/>
      <c r="L4" s="79" t="s">
        <v>4894</v>
      </c>
      <c r="M4" s="79" t="s">
        <v>4895</v>
      </c>
      <c r="P4" s="3" t="s">
        <v>4896</v>
      </c>
      <c r="Q4" s="3" t="s">
        <v>4896</v>
      </c>
      <c r="R4" s="3" t="s">
        <v>4896</v>
      </c>
      <c r="S4" t="s">
        <v>4890</v>
      </c>
      <c r="T4" s="130" t="s">
        <v>4897</v>
      </c>
      <c r="U4" s="49">
        <v>1</v>
      </c>
      <c r="V4" s="58"/>
      <c r="W4" s="58"/>
      <c r="X4" s="59" t="s">
        <v>108</v>
      </c>
      <c r="Y4" s="93">
        <f>IF(AD4=0, 0, IF(OR(H4="", H4&lt;&gt;0), 1, 0))</f>
        <v>1</v>
      </c>
      <c r="Z4" s="3">
        <v>0</v>
      </c>
      <c r="AA4" s="3" t="s">
        <v>4898</v>
      </c>
      <c r="AD4" s="6">
        <f t="shared" ref="AD4:AD35" si="0">ROUND((AG4*(1+AJ4)),2)</f>
        <v>39.26</v>
      </c>
      <c r="AE4" s="68">
        <v>44.732095800000003</v>
      </c>
      <c r="AF4" s="17">
        <f>AD4*1.2</f>
        <v>47.111999999999995</v>
      </c>
      <c r="AG4" s="6">
        <f t="shared" ref="AG4:AG32" si="1">ROUND((AE4*AI4),2)</f>
        <v>29.08</v>
      </c>
      <c r="AH4" s="30" t="s">
        <v>110</v>
      </c>
      <c r="AI4" s="3">
        <v>0.65</v>
      </c>
      <c r="AJ4" s="18">
        <v>0.35</v>
      </c>
      <c r="AK4" s="6">
        <f t="shared" ref="AK4:AK32" si="2">ROUND((AD4-(AD4*BG4)),2)</f>
        <v>38.869999999999997</v>
      </c>
      <c r="AL4" s="6">
        <f t="shared" ref="AL4:AL32" si="3">ROUND((AD4-(AD4*BH4)),2)</f>
        <v>38.47</v>
      </c>
      <c r="AM4" s="6">
        <f t="shared" ref="AM4:AM32" si="4">ROUND((AD4-(AD4*BI4)),2)</f>
        <v>38.08</v>
      </c>
      <c r="AN4" s="6">
        <f t="shared" ref="AN4:AN32" si="5">ROUND((AD4-(AD4*BJ4)),2)</f>
        <v>38.08</v>
      </c>
      <c r="AO4" s="6">
        <f t="shared" ref="AO4:AO32" si="6">ROUND((AD4-(AD4*BK4)),2)</f>
        <v>39.26</v>
      </c>
      <c r="AP4" s="12"/>
      <c r="AQ4" s="12"/>
      <c r="BG4" s="12">
        <v>0.01</v>
      </c>
      <c r="BH4" s="12">
        <v>0.02</v>
      </c>
      <c r="BI4" s="12">
        <v>0.03</v>
      </c>
      <c r="BJ4" s="12">
        <v>0.03</v>
      </c>
      <c r="BQ4"/>
      <c r="BR4"/>
      <c r="BS4"/>
      <c r="BT4"/>
      <c r="BU4"/>
      <c r="BV4"/>
      <c r="BW4"/>
      <c r="BX4"/>
      <c r="BY4"/>
      <c r="BZ4"/>
      <c r="CA4"/>
      <c r="CB4"/>
      <c r="CC4" s="3" t="str">
        <f t="shared" ref="CC4:CC32" si="7">IF(B4&lt;&gt;"",CONCATENATE(SUBSTITUTE(B4," ","-"),".jpg"),"")</f>
        <v>Allied-Moulded-HFP66.jpg</v>
      </c>
      <c r="CD4" s="16" t="s">
        <v>111</v>
      </c>
      <c r="CG4" s="3" t="s">
        <v>4899</v>
      </c>
      <c r="CI4" s="3" t="s">
        <v>97</v>
      </c>
      <c r="CJ4" s="3" t="s">
        <v>351</v>
      </c>
      <c r="CK4" s="3" t="s">
        <v>351</v>
      </c>
      <c r="CL4" s="3" t="s">
        <v>4900</v>
      </c>
    </row>
    <row r="5" spans="1:115" s="3" customFormat="1" ht="15.75">
      <c r="A5" t="s">
        <v>4901</v>
      </c>
      <c r="B5" s="3" t="s">
        <v>4902</v>
      </c>
      <c r="C5" s="16" t="s">
        <v>97</v>
      </c>
      <c r="D5" s="39" t="s">
        <v>4903</v>
      </c>
      <c r="E5" s="16" t="s">
        <v>97</v>
      </c>
      <c r="F5" s="131" t="s">
        <v>4904</v>
      </c>
      <c r="I5" s="100" t="s">
        <v>342</v>
      </c>
      <c r="J5" s="16" t="s">
        <v>101</v>
      </c>
      <c r="K5" s="16"/>
      <c r="L5" s="79" t="s">
        <v>4894</v>
      </c>
      <c r="M5" s="79" t="s">
        <v>4895</v>
      </c>
      <c r="P5" s="3" t="s">
        <v>4905</v>
      </c>
      <c r="Q5" s="3" t="s">
        <v>4905</v>
      </c>
      <c r="R5" s="3" t="s">
        <v>4905</v>
      </c>
      <c r="S5" t="s">
        <v>4901</v>
      </c>
      <c r="T5" s="130" t="s">
        <v>4897</v>
      </c>
      <c r="U5" s="50">
        <v>1</v>
      </c>
      <c r="V5" s="54"/>
      <c r="W5" s="54"/>
      <c r="X5" s="59" t="s">
        <v>108</v>
      </c>
      <c r="Y5" s="93">
        <f t="shared" ref="Y5:Y32" si="8">IF(AD5=0, 0, IF(OR(H5="", H5&lt;&gt;0), 1, 0))</f>
        <v>1</v>
      </c>
      <c r="Z5" s="3">
        <v>0</v>
      </c>
      <c r="AA5" s="3" t="s">
        <v>4906</v>
      </c>
      <c r="AD5" s="6">
        <f t="shared" si="0"/>
        <v>45.79</v>
      </c>
      <c r="AE5" s="69">
        <v>52.182714150000002</v>
      </c>
      <c r="AF5" s="17">
        <f t="shared" ref="AF5:AF32" si="9">AD5*1.2</f>
        <v>54.948</v>
      </c>
      <c r="AG5" s="6">
        <f t="shared" si="1"/>
        <v>33.92</v>
      </c>
      <c r="AH5" s="30" t="s">
        <v>110</v>
      </c>
      <c r="AI5" s="3">
        <v>0.65</v>
      </c>
      <c r="AJ5" s="18">
        <v>0.35</v>
      </c>
      <c r="AK5" s="6">
        <f t="shared" si="2"/>
        <v>45.33</v>
      </c>
      <c r="AL5" s="6">
        <f t="shared" si="3"/>
        <v>44.87</v>
      </c>
      <c r="AM5" s="6">
        <f t="shared" si="4"/>
        <v>44.42</v>
      </c>
      <c r="AN5" s="6">
        <f t="shared" si="5"/>
        <v>44.42</v>
      </c>
      <c r="AO5" s="6">
        <f t="shared" si="6"/>
        <v>45.79</v>
      </c>
      <c r="AP5" s="12"/>
      <c r="AQ5" s="12"/>
      <c r="BG5" s="12">
        <v>0.01</v>
      </c>
      <c r="BH5" s="12">
        <v>0.02</v>
      </c>
      <c r="BI5" s="12">
        <v>0.03</v>
      </c>
      <c r="BJ5" s="12">
        <v>0.03</v>
      </c>
      <c r="BQ5"/>
      <c r="BR5"/>
      <c r="BS5"/>
      <c r="BT5"/>
      <c r="BU5"/>
      <c r="BV5"/>
      <c r="BW5"/>
      <c r="BX5"/>
      <c r="BY5"/>
      <c r="BZ5"/>
      <c r="CA5"/>
      <c r="CB5"/>
      <c r="CC5" s="3" t="str">
        <f t="shared" si="7"/>
        <v>Allied-Moulded-HFP86.jpg</v>
      </c>
      <c r="CD5" s="16" t="s">
        <v>111</v>
      </c>
      <c r="CG5" s="3" t="s">
        <v>4899</v>
      </c>
      <c r="CI5" s="3" t="s">
        <v>97</v>
      </c>
      <c r="CJ5" s="3" t="s">
        <v>385</v>
      </c>
      <c r="CK5" s="3" t="s">
        <v>351</v>
      </c>
      <c r="CL5" s="3" t="s">
        <v>4900</v>
      </c>
    </row>
    <row r="6" spans="1:115" s="3" customFormat="1" ht="15.75">
      <c r="A6" t="s">
        <v>4907</v>
      </c>
      <c r="B6" s="3" t="s">
        <v>4908</v>
      </c>
      <c r="C6" s="16" t="s">
        <v>97</v>
      </c>
      <c r="D6" s="40" t="s">
        <v>4909</v>
      </c>
      <c r="E6" s="16" t="s">
        <v>97</v>
      </c>
      <c r="F6" s="131" t="s">
        <v>4910</v>
      </c>
      <c r="I6" s="100" t="s">
        <v>342</v>
      </c>
      <c r="J6" s="16" t="s">
        <v>101</v>
      </c>
      <c r="K6" s="16"/>
      <c r="L6" s="79" t="s">
        <v>4894</v>
      </c>
      <c r="M6" s="79" t="s">
        <v>4895</v>
      </c>
      <c r="P6" s="3" t="s">
        <v>4911</v>
      </c>
      <c r="Q6" s="3" t="s">
        <v>4911</v>
      </c>
      <c r="R6" s="3" t="s">
        <v>4911</v>
      </c>
      <c r="S6" t="s">
        <v>4907</v>
      </c>
      <c r="T6" s="130" t="s">
        <v>4897</v>
      </c>
      <c r="U6" s="51">
        <v>1</v>
      </c>
      <c r="V6" s="58"/>
      <c r="W6" s="58"/>
      <c r="X6" s="59" t="s">
        <v>108</v>
      </c>
      <c r="Y6" s="93">
        <f t="shared" si="8"/>
        <v>1</v>
      </c>
      <c r="Z6" s="3">
        <v>0</v>
      </c>
      <c r="AA6" s="3" t="s">
        <v>4912</v>
      </c>
      <c r="AD6" s="6">
        <f t="shared" si="0"/>
        <v>52.66</v>
      </c>
      <c r="AE6" s="69">
        <v>60.016507950000005</v>
      </c>
      <c r="AF6" s="17">
        <f t="shared" si="9"/>
        <v>63.191999999999993</v>
      </c>
      <c r="AG6" s="6">
        <f t="shared" si="1"/>
        <v>39.01</v>
      </c>
      <c r="AH6" s="30" t="s">
        <v>110</v>
      </c>
      <c r="AI6" s="3">
        <v>0.65</v>
      </c>
      <c r="AJ6" s="18">
        <v>0.35</v>
      </c>
      <c r="AK6" s="6">
        <f t="shared" si="2"/>
        <v>52.13</v>
      </c>
      <c r="AL6" s="6">
        <f t="shared" si="3"/>
        <v>51.61</v>
      </c>
      <c r="AM6" s="6">
        <f t="shared" si="4"/>
        <v>51.08</v>
      </c>
      <c r="AN6" s="6">
        <f t="shared" si="5"/>
        <v>51.08</v>
      </c>
      <c r="AO6" s="6">
        <f t="shared" si="6"/>
        <v>52.66</v>
      </c>
      <c r="AP6" s="12"/>
      <c r="AQ6" s="12"/>
      <c r="BG6" s="12">
        <v>0.01</v>
      </c>
      <c r="BH6" s="12">
        <v>0.02</v>
      </c>
      <c r="BI6" s="12">
        <v>0.03</v>
      </c>
      <c r="BJ6" s="12">
        <v>0.03</v>
      </c>
      <c r="BQ6"/>
      <c r="BR6"/>
      <c r="BS6"/>
      <c r="BT6"/>
      <c r="BU6"/>
      <c r="BV6"/>
      <c r="BW6"/>
      <c r="BX6"/>
      <c r="BY6"/>
      <c r="BZ6"/>
      <c r="CA6"/>
      <c r="CB6"/>
      <c r="CC6" s="3" t="str">
        <f t="shared" si="7"/>
        <v>Allied-Moulded-HFP108.jpg</v>
      </c>
      <c r="CD6" s="16" t="s">
        <v>111</v>
      </c>
      <c r="CG6" s="3" t="s">
        <v>4899</v>
      </c>
      <c r="CI6" s="3" t="s">
        <v>97</v>
      </c>
      <c r="CJ6" s="3" t="s">
        <v>167</v>
      </c>
      <c r="CK6" s="3" t="s">
        <v>385</v>
      </c>
      <c r="CL6" s="3" t="s">
        <v>4900</v>
      </c>
    </row>
    <row r="7" spans="1:115" s="3" customFormat="1" ht="15.75">
      <c r="A7" t="s">
        <v>4913</v>
      </c>
      <c r="B7" s="3" t="s">
        <v>4914</v>
      </c>
      <c r="C7" s="16" t="s">
        <v>97</v>
      </c>
      <c r="D7" s="39" t="s">
        <v>4915</v>
      </c>
      <c r="E7" s="16" t="s">
        <v>97</v>
      </c>
      <c r="F7" s="131" t="s">
        <v>4916</v>
      </c>
      <c r="I7" s="100" t="s">
        <v>342</v>
      </c>
      <c r="J7" s="16" t="s">
        <v>101</v>
      </c>
      <c r="K7" s="16"/>
      <c r="L7" s="79" t="s">
        <v>4894</v>
      </c>
      <c r="M7" s="79" t="s">
        <v>4895</v>
      </c>
      <c r="P7" s="3" t="s">
        <v>4917</v>
      </c>
      <c r="Q7" s="3" t="s">
        <v>4917</v>
      </c>
      <c r="R7" s="3" t="s">
        <v>4917</v>
      </c>
      <c r="S7" t="s">
        <v>4913</v>
      </c>
      <c r="T7" s="130" t="s">
        <v>4897</v>
      </c>
      <c r="U7" s="50">
        <v>3</v>
      </c>
      <c r="V7" s="54"/>
      <c r="W7" s="54"/>
      <c r="X7" s="59" t="s">
        <v>108</v>
      </c>
      <c r="Y7" s="93">
        <f t="shared" si="8"/>
        <v>1</v>
      </c>
      <c r="Z7" s="3">
        <v>0</v>
      </c>
      <c r="AA7" s="3" t="s">
        <v>4918</v>
      </c>
      <c r="AD7" s="6">
        <f t="shared" si="0"/>
        <v>70.739999999999995</v>
      </c>
      <c r="AE7" s="69">
        <v>80.622790499999994</v>
      </c>
      <c r="AF7" s="17">
        <f t="shared" si="9"/>
        <v>84.887999999999991</v>
      </c>
      <c r="AG7" s="6">
        <f t="shared" si="1"/>
        <v>52.4</v>
      </c>
      <c r="AH7" s="30" t="s">
        <v>110</v>
      </c>
      <c r="AI7" s="3">
        <v>0.65</v>
      </c>
      <c r="AJ7" s="18">
        <v>0.35</v>
      </c>
      <c r="AK7" s="6">
        <f t="shared" si="2"/>
        <v>70.03</v>
      </c>
      <c r="AL7" s="6">
        <f t="shared" si="3"/>
        <v>69.33</v>
      </c>
      <c r="AM7" s="6">
        <f t="shared" si="4"/>
        <v>68.62</v>
      </c>
      <c r="AN7" s="6">
        <f t="shared" si="5"/>
        <v>68.62</v>
      </c>
      <c r="AO7" s="6">
        <f t="shared" si="6"/>
        <v>70.739999999999995</v>
      </c>
      <c r="AP7" s="12"/>
      <c r="AQ7" s="12"/>
      <c r="BG7" s="12">
        <v>0.01</v>
      </c>
      <c r="BH7" s="12">
        <v>0.02</v>
      </c>
      <c r="BI7" s="12">
        <v>0.03</v>
      </c>
      <c r="BJ7" s="12">
        <v>0.03</v>
      </c>
      <c r="BQ7"/>
      <c r="BR7"/>
      <c r="BS7"/>
      <c r="BT7"/>
      <c r="BU7"/>
      <c r="BV7"/>
      <c r="BW7"/>
      <c r="BX7"/>
      <c r="BY7"/>
      <c r="BZ7"/>
      <c r="CA7"/>
      <c r="CB7"/>
      <c r="CC7" s="3" t="str">
        <f t="shared" si="7"/>
        <v>Allied-Moulded-HFP122.jpg</v>
      </c>
      <c r="CD7" s="16" t="s">
        <v>111</v>
      </c>
      <c r="CG7" s="3" t="s">
        <v>4899</v>
      </c>
      <c r="CI7" s="3" t="s">
        <v>97</v>
      </c>
      <c r="CJ7" s="3" t="s">
        <v>125</v>
      </c>
      <c r="CK7" s="3" t="s">
        <v>125</v>
      </c>
      <c r="CL7" s="3" t="s">
        <v>4900</v>
      </c>
    </row>
    <row r="8" spans="1:115" s="3" customFormat="1" ht="15.75">
      <c r="A8" t="s">
        <v>4919</v>
      </c>
      <c r="B8" s="3" t="s">
        <v>4920</v>
      </c>
      <c r="C8" s="16" t="s">
        <v>97</v>
      </c>
      <c r="D8" s="40" t="s">
        <v>4921</v>
      </c>
      <c r="E8" s="16" t="s">
        <v>97</v>
      </c>
      <c r="F8" s="131" t="s">
        <v>4922</v>
      </c>
      <c r="I8" s="100" t="s">
        <v>342</v>
      </c>
      <c r="J8" s="16" t="s">
        <v>101</v>
      </c>
      <c r="K8" s="16"/>
      <c r="L8" s="79" t="s">
        <v>4894</v>
      </c>
      <c r="M8" s="79" t="s">
        <v>4895</v>
      </c>
      <c r="P8" s="3" t="s">
        <v>4923</v>
      </c>
      <c r="Q8" s="3" t="s">
        <v>4923</v>
      </c>
      <c r="R8" s="3" t="s">
        <v>4923</v>
      </c>
      <c r="S8" t="s">
        <v>4919</v>
      </c>
      <c r="T8" s="130" t="s">
        <v>4897</v>
      </c>
      <c r="U8" s="51">
        <v>2</v>
      </c>
      <c r="V8" s="58"/>
      <c r="W8" s="58"/>
      <c r="X8" s="59" t="s">
        <v>108</v>
      </c>
      <c r="Y8" s="93">
        <f t="shared" si="8"/>
        <v>1</v>
      </c>
      <c r="Z8" s="3">
        <v>0</v>
      </c>
      <c r="AA8" s="3" t="s">
        <v>4924</v>
      </c>
      <c r="AD8" s="6">
        <f t="shared" si="0"/>
        <v>65.42</v>
      </c>
      <c r="AE8" s="69">
        <v>74.548762049999993</v>
      </c>
      <c r="AF8" s="17">
        <f t="shared" si="9"/>
        <v>78.504000000000005</v>
      </c>
      <c r="AG8" s="6">
        <f t="shared" si="1"/>
        <v>48.46</v>
      </c>
      <c r="AH8" s="30" t="s">
        <v>110</v>
      </c>
      <c r="AI8" s="3">
        <v>0.65</v>
      </c>
      <c r="AJ8" s="18">
        <v>0.35</v>
      </c>
      <c r="AK8" s="6">
        <f t="shared" si="2"/>
        <v>64.77</v>
      </c>
      <c r="AL8" s="6">
        <f t="shared" si="3"/>
        <v>64.11</v>
      </c>
      <c r="AM8" s="6">
        <f t="shared" si="4"/>
        <v>63.46</v>
      </c>
      <c r="AN8" s="6">
        <f t="shared" si="5"/>
        <v>63.46</v>
      </c>
      <c r="AO8" s="6">
        <f t="shared" si="6"/>
        <v>65.42</v>
      </c>
      <c r="AP8" s="12"/>
      <c r="AQ8" s="12"/>
      <c r="BG8" s="12">
        <v>0.01</v>
      </c>
      <c r="BH8" s="12">
        <v>0.02</v>
      </c>
      <c r="BI8" s="12">
        <v>0.03</v>
      </c>
      <c r="BJ8" s="12">
        <v>0.03</v>
      </c>
      <c r="BQ8"/>
      <c r="BR8"/>
      <c r="BS8"/>
      <c r="BT8"/>
      <c r="BU8"/>
      <c r="BV8"/>
      <c r="BW8"/>
      <c r="BX8"/>
      <c r="BY8"/>
      <c r="BZ8"/>
      <c r="CA8"/>
      <c r="CB8"/>
      <c r="CC8" s="3" t="str">
        <f t="shared" si="7"/>
        <v>Allied-Moulded-HFP120.jpg</v>
      </c>
      <c r="CD8" s="16" t="s">
        <v>111</v>
      </c>
      <c r="CG8" s="3" t="s">
        <v>4899</v>
      </c>
      <c r="CI8" s="3" t="s">
        <v>97</v>
      </c>
      <c r="CJ8" s="3" t="s">
        <v>125</v>
      </c>
      <c r="CK8" s="3" t="s">
        <v>167</v>
      </c>
      <c r="CL8" s="3" t="s">
        <v>4900</v>
      </c>
    </row>
    <row r="9" spans="1:115" s="3" customFormat="1" ht="15.75">
      <c r="A9" t="s">
        <v>4925</v>
      </c>
      <c r="B9" s="3" t="s">
        <v>4926</v>
      </c>
      <c r="C9" s="16" t="s">
        <v>97</v>
      </c>
      <c r="D9" s="39" t="s">
        <v>4927</v>
      </c>
      <c r="E9" s="16" t="s">
        <v>97</v>
      </c>
      <c r="F9" s="131" t="s">
        <v>4928</v>
      </c>
      <c r="I9" s="100" t="s">
        <v>342</v>
      </c>
      <c r="J9" s="16" t="s">
        <v>101</v>
      </c>
      <c r="K9" s="16"/>
      <c r="L9" s="79" t="s">
        <v>4894</v>
      </c>
      <c r="M9" s="79" t="s">
        <v>4895</v>
      </c>
      <c r="P9" s="3" t="s">
        <v>4929</v>
      </c>
      <c r="Q9" s="3" t="s">
        <v>4929</v>
      </c>
      <c r="R9" s="3" t="s">
        <v>4929</v>
      </c>
      <c r="S9" t="s">
        <v>4925</v>
      </c>
      <c r="T9" s="130" t="s">
        <v>4897</v>
      </c>
      <c r="U9" s="50">
        <v>2</v>
      </c>
      <c r="V9" s="54"/>
      <c r="W9" s="54"/>
      <c r="X9" s="59" t="s">
        <v>108</v>
      </c>
      <c r="Y9" s="93">
        <f t="shared" si="8"/>
        <v>1</v>
      </c>
      <c r="Z9" s="3">
        <v>0</v>
      </c>
      <c r="AA9" s="3" t="s">
        <v>4930</v>
      </c>
      <c r="AD9" s="6">
        <f t="shared" si="0"/>
        <v>76.05</v>
      </c>
      <c r="AE9" s="69">
        <v>86.668435349999996</v>
      </c>
      <c r="AF9" s="17">
        <f t="shared" si="9"/>
        <v>91.259999999999991</v>
      </c>
      <c r="AG9" s="6">
        <f t="shared" si="1"/>
        <v>56.33</v>
      </c>
      <c r="AH9" s="30" t="s">
        <v>110</v>
      </c>
      <c r="AI9" s="3">
        <v>0.65</v>
      </c>
      <c r="AJ9" s="18">
        <v>0.35</v>
      </c>
      <c r="AK9" s="6">
        <f t="shared" si="2"/>
        <v>75.290000000000006</v>
      </c>
      <c r="AL9" s="6">
        <f t="shared" si="3"/>
        <v>74.53</v>
      </c>
      <c r="AM9" s="6">
        <f t="shared" si="4"/>
        <v>73.77</v>
      </c>
      <c r="AN9" s="6">
        <f t="shared" si="5"/>
        <v>73.77</v>
      </c>
      <c r="AO9" s="6">
        <f t="shared" si="6"/>
        <v>76.05</v>
      </c>
      <c r="AP9" s="12"/>
      <c r="AQ9" s="12"/>
      <c r="BG9" s="12">
        <v>0.01</v>
      </c>
      <c r="BH9" s="12">
        <v>0.02</v>
      </c>
      <c r="BI9" s="12">
        <v>0.03</v>
      </c>
      <c r="BJ9" s="12">
        <v>0.03</v>
      </c>
      <c r="BQ9"/>
      <c r="BR9"/>
      <c r="BS9"/>
      <c r="BT9"/>
      <c r="BU9"/>
      <c r="BV9"/>
      <c r="BW9"/>
      <c r="BX9"/>
      <c r="BY9"/>
      <c r="BZ9"/>
      <c r="CA9"/>
      <c r="CB9"/>
      <c r="CC9" s="3" t="str">
        <f t="shared" si="7"/>
        <v>Allied-Moulded-HFP142.jpg</v>
      </c>
      <c r="CD9" s="16" t="s">
        <v>111</v>
      </c>
      <c r="CG9" s="3" t="s">
        <v>4899</v>
      </c>
      <c r="CI9" s="3" t="s">
        <v>97</v>
      </c>
      <c r="CJ9" s="3" t="s">
        <v>1037</v>
      </c>
      <c r="CK9" s="3" t="s">
        <v>125</v>
      </c>
      <c r="CL9" s="3" t="s">
        <v>4900</v>
      </c>
    </row>
    <row r="10" spans="1:115" s="3" customFormat="1" ht="15.75">
      <c r="A10" t="s">
        <v>4931</v>
      </c>
      <c r="B10" s="3" t="s">
        <v>4932</v>
      </c>
      <c r="C10" s="16" t="s">
        <v>97</v>
      </c>
      <c r="D10" s="40" t="s">
        <v>4933</v>
      </c>
      <c r="E10" s="16" t="s">
        <v>97</v>
      </c>
      <c r="I10" s="100" t="s">
        <v>342</v>
      </c>
      <c r="J10" s="16" t="s">
        <v>101</v>
      </c>
      <c r="K10" s="16"/>
      <c r="L10" s="79" t="s">
        <v>4894</v>
      </c>
      <c r="M10" s="79" t="s">
        <v>4895</v>
      </c>
      <c r="P10" s="3" t="s">
        <v>4934</v>
      </c>
      <c r="Q10" s="3" t="s">
        <v>4934</v>
      </c>
      <c r="R10" s="3" t="s">
        <v>4934</v>
      </c>
      <c r="S10" t="s">
        <v>4931</v>
      </c>
      <c r="T10" s="130" t="s">
        <v>4897</v>
      </c>
      <c r="U10" s="51">
        <v>3</v>
      </c>
      <c r="V10" s="58"/>
      <c r="W10" s="58"/>
      <c r="X10" s="59" t="s">
        <v>108</v>
      </c>
      <c r="Y10" s="93">
        <f t="shared" si="8"/>
        <v>1</v>
      </c>
      <c r="Z10" s="3">
        <v>0</v>
      </c>
      <c r="AA10" s="3" t="s">
        <v>4935</v>
      </c>
      <c r="AD10" s="6">
        <f t="shared" si="0"/>
        <v>80.540000000000006</v>
      </c>
      <c r="AE10" s="69">
        <v>91.791621599999999</v>
      </c>
      <c r="AF10" s="17">
        <f t="shared" si="9"/>
        <v>96.64800000000001</v>
      </c>
      <c r="AG10" s="6">
        <f t="shared" si="1"/>
        <v>59.66</v>
      </c>
      <c r="AH10" s="30" t="s">
        <v>110</v>
      </c>
      <c r="AI10" s="3">
        <v>0.65</v>
      </c>
      <c r="AJ10" s="18">
        <v>0.35</v>
      </c>
      <c r="AK10" s="6">
        <f t="shared" si="2"/>
        <v>79.73</v>
      </c>
      <c r="AL10" s="6">
        <f t="shared" si="3"/>
        <v>78.930000000000007</v>
      </c>
      <c r="AM10" s="6">
        <f t="shared" si="4"/>
        <v>78.12</v>
      </c>
      <c r="AN10" s="6">
        <f t="shared" si="5"/>
        <v>78.12</v>
      </c>
      <c r="AO10" s="6">
        <f t="shared" si="6"/>
        <v>80.540000000000006</v>
      </c>
      <c r="AP10" s="12"/>
      <c r="AQ10" s="12"/>
      <c r="BG10" s="12">
        <v>0.01</v>
      </c>
      <c r="BH10" s="12">
        <v>0.02</v>
      </c>
      <c r="BI10" s="12">
        <v>0.03</v>
      </c>
      <c r="BJ10" s="12">
        <v>0.03</v>
      </c>
      <c r="BQ10"/>
      <c r="BR10"/>
      <c r="BS10"/>
      <c r="BT10"/>
      <c r="BU10"/>
      <c r="BV10"/>
      <c r="BW10"/>
      <c r="BX10"/>
      <c r="BY10"/>
      <c r="BZ10"/>
      <c r="CA10"/>
      <c r="CB10"/>
      <c r="CC10" s="3" t="str">
        <f t="shared" si="7"/>
        <v>Allied-Moulded-HFP164.jpg</v>
      </c>
      <c r="CD10" s="16" t="s">
        <v>111</v>
      </c>
      <c r="CG10" s="3" t="s">
        <v>4899</v>
      </c>
      <c r="CI10" s="3" t="s">
        <v>97</v>
      </c>
      <c r="CJ10" s="3" t="s">
        <v>242</v>
      </c>
      <c r="CK10" s="3" t="s">
        <v>1037</v>
      </c>
      <c r="CL10" s="3" t="s">
        <v>4900</v>
      </c>
    </row>
    <row r="11" spans="1:115" s="3" customFormat="1" ht="15.75">
      <c r="A11" t="s">
        <v>4936</v>
      </c>
      <c r="B11" s="3" t="s">
        <v>4937</v>
      </c>
      <c r="C11" s="16" t="s">
        <v>97</v>
      </c>
      <c r="D11" s="39" t="s">
        <v>4938</v>
      </c>
      <c r="E11" s="16" t="s">
        <v>97</v>
      </c>
      <c r="F11" s="131" t="s">
        <v>4939</v>
      </c>
      <c r="I11" s="100" t="s">
        <v>342</v>
      </c>
      <c r="J11" s="16" t="s">
        <v>101</v>
      </c>
      <c r="K11" s="16"/>
      <c r="L11" s="79" t="s">
        <v>4894</v>
      </c>
      <c r="M11" s="79" t="s">
        <v>4895</v>
      </c>
      <c r="P11" s="3" t="s">
        <v>4940</v>
      </c>
      <c r="Q11" s="3" t="s">
        <v>4940</v>
      </c>
      <c r="R11" s="3" t="s">
        <v>4940</v>
      </c>
      <c r="S11" t="s">
        <v>4936</v>
      </c>
      <c r="T11" s="130" t="s">
        <v>4897</v>
      </c>
      <c r="U11" s="50">
        <v>3</v>
      </c>
      <c r="V11" s="54"/>
      <c r="W11" s="54"/>
      <c r="X11" s="59" t="s">
        <v>108</v>
      </c>
      <c r="Y11" s="93">
        <f t="shared" si="8"/>
        <v>1</v>
      </c>
      <c r="Z11" s="3">
        <v>0</v>
      </c>
      <c r="AA11" s="3" t="s">
        <v>4941</v>
      </c>
      <c r="AD11" s="6">
        <f t="shared" si="0"/>
        <v>91.18</v>
      </c>
      <c r="AE11" s="69">
        <v>103.91129595</v>
      </c>
      <c r="AF11" s="17">
        <f t="shared" si="9"/>
        <v>109.41600000000001</v>
      </c>
      <c r="AG11" s="6">
        <f t="shared" si="1"/>
        <v>67.540000000000006</v>
      </c>
      <c r="AH11" s="30" t="s">
        <v>110</v>
      </c>
      <c r="AI11" s="3">
        <v>0.65</v>
      </c>
      <c r="AJ11" s="18">
        <v>0.35</v>
      </c>
      <c r="AK11" s="6">
        <f t="shared" si="2"/>
        <v>90.27</v>
      </c>
      <c r="AL11" s="6">
        <f t="shared" si="3"/>
        <v>89.36</v>
      </c>
      <c r="AM11" s="6">
        <f t="shared" si="4"/>
        <v>88.44</v>
      </c>
      <c r="AN11" s="6">
        <f t="shared" si="5"/>
        <v>88.44</v>
      </c>
      <c r="AO11" s="6">
        <f t="shared" si="6"/>
        <v>91.18</v>
      </c>
      <c r="AP11" s="12"/>
      <c r="AQ11" s="12"/>
      <c r="BG11" s="12">
        <v>0.01</v>
      </c>
      <c r="BH11" s="12">
        <v>0.02</v>
      </c>
      <c r="BI11" s="12">
        <v>0.03</v>
      </c>
      <c r="BJ11" s="12">
        <v>0.03</v>
      </c>
      <c r="BQ11"/>
      <c r="BR11"/>
      <c r="BS11"/>
      <c r="BT11"/>
      <c r="BU11"/>
      <c r="BV11"/>
      <c r="BW11"/>
      <c r="BX11"/>
      <c r="BY11"/>
      <c r="BZ11"/>
      <c r="CA11"/>
      <c r="CB11"/>
      <c r="CC11" s="3" t="str">
        <f t="shared" si="7"/>
        <v>Allied-Moulded-HFP186.jpg</v>
      </c>
      <c r="CD11" s="16" t="s">
        <v>111</v>
      </c>
      <c r="CG11" s="3" t="s">
        <v>4899</v>
      </c>
      <c r="CI11" s="3" t="s">
        <v>97</v>
      </c>
      <c r="CJ11" s="3" t="s">
        <v>1814</v>
      </c>
      <c r="CK11" s="3" t="s">
        <v>242</v>
      </c>
      <c r="CL11" s="3" t="s">
        <v>4900</v>
      </c>
    </row>
    <row r="12" spans="1:115" s="3" customFormat="1" ht="15.75">
      <c r="A12" t="s">
        <v>4942</v>
      </c>
      <c r="B12" s="3" t="s">
        <v>4943</v>
      </c>
      <c r="C12" s="16" t="s">
        <v>97</v>
      </c>
      <c r="D12" s="40" t="s">
        <v>4944</v>
      </c>
      <c r="E12" s="16" t="s">
        <v>97</v>
      </c>
      <c r="F12" s="131" t="s">
        <v>4945</v>
      </c>
      <c r="I12" s="100" t="s">
        <v>342</v>
      </c>
      <c r="J12" s="16" t="s">
        <v>101</v>
      </c>
      <c r="K12" s="16"/>
      <c r="L12" s="79" t="s">
        <v>4894</v>
      </c>
      <c r="M12" s="79" t="s">
        <v>4895</v>
      </c>
      <c r="P12" s="3" t="s">
        <v>4946</v>
      </c>
      <c r="Q12" s="3" t="s">
        <v>4946</v>
      </c>
      <c r="R12" s="3" t="s">
        <v>4946</v>
      </c>
      <c r="S12" t="s">
        <v>4942</v>
      </c>
      <c r="T12" s="130" t="s">
        <v>4897</v>
      </c>
      <c r="U12" s="51">
        <v>4</v>
      </c>
      <c r="V12" s="58"/>
      <c r="W12" s="58"/>
      <c r="X12" s="59" t="s">
        <v>108</v>
      </c>
      <c r="Y12" s="93">
        <f t="shared" si="8"/>
        <v>1</v>
      </c>
      <c r="Z12" s="3">
        <v>0</v>
      </c>
      <c r="AA12" s="3" t="s">
        <v>4947</v>
      </c>
      <c r="AD12" s="6">
        <f t="shared" si="0"/>
        <v>122.99</v>
      </c>
      <c r="AE12" s="69">
        <v>140.15678250000002</v>
      </c>
      <c r="AF12" s="17">
        <f t="shared" si="9"/>
        <v>147.58799999999999</v>
      </c>
      <c r="AG12" s="6">
        <f t="shared" si="1"/>
        <v>91.1</v>
      </c>
      <c r="AH12" s="30" t="s">
        <v>110</v>
      </c>
      <c r="AI12" s="3">
        <v>0.65</v>
      </c>
      <c r="AJ12" s="18">
        <v>0.35</v>
      </c>
      <c r="AK12" s="6">
        <f t="shared" si="2"/>
        <v>121.76</v>
      </c>
      <c r="AL12" s="6">
        <f t="shared" si="3"/>
        <v>120.53</v>
      </c>
      <c r="AM12" s="6">
        <f t="shared" si="4"/>
        <v>119.3</v>
      </c>
      <c r="AN12" s="6">
        <f t="shared" si="5"/>
        <v>119.3</v>
      </c>
      <c r="AO12" s="6">
        <f t="shared" si="6"/>
        <v>122.99</v>
      </c>
      <c r="AP12" s="12"/>
      <c r="AQ12" s="12"/>
      <c r="BG12" s="12">
        <v>0.01</v>
      </c>
      <c r="BH12" s="12">
        <v>0.02</v>
      </c>
      <c r="BI12" s="12">
        <v>0.03</v>
      </c>
      <c r="BJ12" s="12">
        <v>0.03</v>
      </c>
      <c r="BQ12"/>
      <c r="BR12"/>
      <c r="BS12"/>
      <c r="BT12"/>
      <c r="BU12"/>
      <c r="BV12"/>
      <c r="BW12"/>
      <c r="BX12"/>
      <c r="BY12"/>
      <c r="BZ12"/>
      <c r="CA12"/>
      <c r="CB12"/>
      <c r="CC12" s="3" t="str">
        <f t="shared" si="7"/>
        <v>Allied-Moulded-HFP206.jpg</v>
      </c>
      <c r="CD12" s="16" t="s">
        <v>111</v>
      </c>
      <c r="CG12" s="3" t="s">
        <v>4899</v>
      </c>
      <c r="CI12" s="3" t="s">
        <v>97</v>
      </c>
      <c r="CJ12" s="3" t="s">
        <v>2145</v>
      </c>
      <c r="CK12" s="3" t="s">
        <v>242</v>
      </c>
      <c r="CL12" s="3" t="s">
        <v>4900</v>
      </c>
    </row>
    <row r="13" spans="1:115" s="3" customFormat="1" ht="15.75">
      <c r="A13" t="s">
        <v>4948</v>
      </c>
      <c r="B13" s="3" t="s">
        <v>4949</v>
      </c>
      <c r="C13" s="16" t="s">
        <v>97</v>
      </c>
      <c r="D13" s="38" t="s">
        <v>4950</v>
      </c>
      <c r="E13" s="16" t="s">
        <v>97</v>
      </c>
      <c r="F13" s="131" t="s">
        <v>4951</v>
      </c>
      <c r="I13" s="100" t="s">
        <v>342</v>
      </c>
      <c r="J13" s="16" t="s">
        <v>101</v>
      </c>
      <c r="K13" s="16"/>
      <c r="L13" s="79" t="s">
        <v>4894</v>
      </c>
      <c r="M13" s="79" t="s">
        <v>4895</v>
      </c>
      <c r="P13" s="3" t="s">
        <v>4952</v>
      </c>
      <c r="Q13" s="3" t="s">
        <v>4952</v>
      </c>
      <c r="R13" s="3" t="s">
        <v>4952</v>
      </c>
      <c r="S13" t="s">
        <v>4948</v>
      </c>
      <c r="T13" s="130" t="s">
        <v>4897</v>
      </c>
      <c r="U13" s="49">
        <v>1</v>
      </c>
      <c r="V13" s="58"/>
      <c r="W13" s="58"/>
      <c r="X13" s="59" t="s">
        <v>108</v>
      </c>
      <c r="Y13" s="93">
        <f t="shared" si="8"/>
        <v>1</v>
      </c>
      <c r="Z13" s="3">
        <v>0</v>
      </c>
      <c r="AA13" s="3" t="s">
        <v>4953</v>
      </c>
      <c r="AD13" s="6">
        <f t="shared" si="0"/>
        <v>39.26</v>
      </c>
      <c r="AE13" s="68">
        <v>44.732095800000003</v>
      </c>
      <c r="AF13" s="17">
        <f t="shared" si="9"/>
        <v>47.111999999999995</v>
      </c>
      <c r="AG13" s="6">
        <f t="shared" si="1"/>
        <v>29.08</v>
      </c>
      <c r="AH13" s="30" t="s">
        <v>110</v>
      </c>
      <c r="AI13" s="3">
        <v>0.65</v>
      </c>
      <c r="AJ13" s="18">
        <v>0.35</v>
      </c>
      <c r="AK13" s="6">
        <f t="shared" si="2"/>
        <v>38.869999999999997</v>
      </c>
      <c r="AL13" s="6">
        <f t="shared" si="3"/>
        <v>38.47</v>
      </c>
      <c r="AM13" s="6">
        <f t="shared" si="4"/>
        <v>38.08</v>
      </c>
      <c r="AN13" s="6">
        <f t="shared" si="5"/>
        <v>38.08</v>
      </c>
      <c r="AO13" s="6">
        <f t="shared" si="6"/>
        <v>39.26</v>
      </c>
      <c r="AP13" s="12"/>
      <c r="AQ13" s="12"/>
      <c r="BG13" s="12">
        <v>0.01</v>
      </c>
      <c r="BH13" s="12">
        <v>0.02</v>
      </c>
      <c r="BI13" s="12">
        <v>0.03</v>
      </c>
      <c r="BJ13" s="12">
        <v>0.03</v>
      </c>
      <c r="BQ13"/>
      <c r="BR13"/>
      <c r="BS13"/>
      <c r="BT13"/>
      <c r="BU13"/>
      <c r="BV13"/>
      <c r="BW13"/>
      <c r="BX13"/>
      <c r="BY13"/>
      <c r="BZ13"/>
      <c r="CA13"/>
      <c r="CB13"/>
      <c r="CC13" s="3" t="str">
        <f t="shared" si="7"/>
        <v>Allied-Moulded-HFPU66.jpg</v>
      </c>
      <c r="CD13" s="16" t="s">
        <v>111</v>
      </c>
      <c r="CG13" s="3" t="s">
        <v>4899</v>
      </c>
      <c r="CI13" s="3" t="s">
        <v>97</v>
      </c>
      <c r="CJ13" s="3" t="s">
        <v>351</v>
      </c>
      <c r="CK13" s="3" t="s">
        <v>351</v>
      </c>
      <c r="CL13" s="3" t="s">
        <v>4954</v>
      </c>
    </row>
    <row r="14" spans="1:115" s="3" customFormat="1" ht="15.75">
      <c r="A14" t="s">
        <v>4955</v>
      </c>
      <c r="B14" s="3" t="s">
        <v>4956</v>
      </c>
      <c r="C14" s="16" t="s">
        <v>97</v>
      </c>
      <c r="D14" s="39" t="s">
        <v>4957</v>
      </c>
      <c r="E14" s="16" t="s">
        <v>97</v>
      </c>
      <c r="F14" s="131" t="s">
        <v>4958</v>
      </c>
      <c r="I14" s="100" t="s">
        <v>342</v>
      </c>
      <c r="J14" s="16" t="s">
        <v>101</v>
      </c>
      <c r="K14" s="16"/>
      <c r="L14" s="79" t="s">
        <v>4894</v>
      </c>
      <c r="M14" s="79" t="s">
        <v>4895</v>
      </c>
      <c r="P14" s="3" t="s">
        <v>4959</v>
      </c>
      <c r="Q14" s="3" t="s">
        <v>4959</v>
      </c>
      <c r="R14" s="3" t="s">
        <v>4959</v>
      </c>
      <c r="S14" t="s">
        <v>4955</v>
      </c>
      <c r="T14" s="130" t="s">
        <v>4897</v>
      </c>
      <c r="U14" s="50">
        <v>1</v>
      </c>
      <c r="V14" s="54"/>
      <c r="W14" s="54"/>
      <c r="X14" s="59" t="s">
        <v>108</v>
      </c>
      <c r="Y14" s="93">
        <f t="shared" si="8"/>
        <v>1</v>
      </c>
      <c r="Z14" s="3">
        <v>0</v>
      </c>
      <c r="AA14" s="3" t="s">
        <v>4960</v>
      </c>
      <c r="AD14" s="6">
        <f t="shared" si="0"/>
        <v>45.79</v>
      </c>
      <c r="AE14" s="69">
        <v>52.182714150000002</v>
      </c>
      <c r="AF14" s="17">
        <f t="shared" si="9"/>
        <v>54.948</v>
      </c>
      <c r="AG14" s="6">
        <f t="shared" si="1"/>
        <v>33.92</v>
      </c>
      <c r="AH14" s="30" t="s">
        <v>110</v>
      </c>
      <c r="AI14" s="3">
        <v>0.65</v>
      </c>
      <c r="AJ14" s="18">
        <v>0.35</v>
      </c>
      <c r="AK14" s="6">
        <f t="shared" si="2"/>
        <v>45.33</v>
      </c>
      <c r="AL14" s="6">
        <f t="shared" si="3"/>
        <v>44.87</v>
      </c>
      <c r="AM14" s="6">
        <f t="shared" si="4"/>
        <v>44.42</v>
      </c>
      <c r="AN14" s="6">
        <f t="shared" si="5"/>
        <v>44.42</v>
      </c>
      <c r="AO14" s="6">
        <f t="shared" si="6"/>
        <v>45.79</v>
      </c>
      <c r="AP14" s="12"/>
      <c r="AQ14" s="12"/>
      <c r="BG14" s="12">
        <v>0.01</v>
      </c>
      <c r="BH14" s="12">
        <v>0.02</v>
      </c>
      <c r="BI14" s="12">
        <v>0.03</v>
      </c>
      <c r="BJ14" s="12">
        <v>0.03</v>
      </c>
      <c r="BQ14"/>
      <c r="BR14"/>
      <c r="BS14"/>
      <c r="BT14"/>
      <c r="BU14"/>
      <c r="BV14"/>
      <c r="BW14"/>
      <c r="BX14"/>
      <c r="BY14"/>
      <c r="BZ14"/>
      <c r="CA14"/>
      <c r="CB14"/>
      <c r="CC14" s="3" t="str">
        <f t="shared" si="7"/>
        <v>Allied-Moulded-HFPU86.jpg</v>
      </c>
      <c r="CD14" s="16" t="s">
        <v>111</v>
      </c>
      <c r="CG14" s="3" t="s">
        <v>4899</v>
      </c>
      <c r="CI14" s="3" t="s">
        <v>97</v>
      </c>
      <c r="CJ14" s="3" t="s">
        <v>385</v>
      </c>
      <c r="CK14" s="3" t="s">
        <v>351</v>
      </c>
      <c r="CL14" s="3" t="s">
        <v>4954</v>
      </c>
    </row>
    <row r="15" spans="1:115" s="3" customFormat="1" ht="15.75">
      <c r="A15" t="s">
        <v>4961</v>
      </c>
      <c r="B15" s="3" t="s">
        <v>4962</v>
      </c>
      <c r="C15" s="16" t="s">
        <v>97</v>
      </c>
      <c r="D15" s="40" t="s">
        <v>4963</v>
      </c>
      <c r="E15" s="16" t="s">
        <v>97</v>
      </c>
      <c r="F15" s="131" t="s">
        <v>4964</v>
      </c>
      <c r="I15" s="100" t="s">
        <v>342</v>
      </c>
      <c r="J15" s="16" t="s">
        <v>101</v>
      </c>
      <c r="K15" s="16"/>
      <c r="L15" s="79" t="s">
        <v>4894</v>
      </c>
      <c r="M15" s="79" t="s">
        <v>4895</v>
      </c>
      <c r="P15" s="3" t="s">
        <v>4965</v>
      </c>
      <c r="Q15" s="3" t="s">
        <v>4965</v>
      </c>
      <c r="R15" s="3" t="s">
        <v>4965</v>
      </c>
      <c r="S15" t="s">
        <v>4961</v>
      </c>
      <c r="T15" s="130" t="s">
        <v>4897</v>
      </c>
      <c r="U15" s="51">
        <v>1</v>
      </c>
      <c r="V15" s="58"/>
      <c r="W15" s="58"/>
      <c r="X15" s="59" t="s">
        <v>108</v>
      </c>
      <c r="Y15" s="93">
        <f t="shared" si="8"/>
        <v>1</v>
      </c>
      <c r="Z15" s="3">
        <v>0</v>
      </c>
      <c r="AA15" s="3" t="s">
        <v>4966</v>
      </c>
      <c r="AD15" s="6">
        <f t="shared" si="0"/>
        <v>52.66</v>
      </c>
      <c r="AE15" s="69">
        <v>60.016507950000005</v>
      </c>
      <c r="AF15" s="17">
        <f t="shared" si="9"/>
        <v>63.191999999999993</v>
      </c>
      <c r="AG15" s="6">
        <f t="shared" si="1"/>
        <v>39.01</v>
      </c>
      <c r="AH15" s="30" t="s">
        <v>110</v>
      </c>
      <c r="AI15" s="3">
        <v>0.65</v>
      </c>
      <c r="AJ15" s="18">
        <v>0.35</v>
      </c>
      <c r="AK15" s="6">
        <f t="shared" si="2"/>
        <v>52.13</v>
      </c>
      <c r="AL15" s="6">
        <f t="shared" si="3"/>
        <v>51.61</v>
      </c>
      <c r="AM15" s="6">
        <f t="shared" si="4"/>
        <v>51.08</v>
      </c>
      <c r="AN15" s="6">
        <f t="shared" si="5"/>
        <v>51.08</v>
      </c>
      <c r="AO15" s="6">
        <f t="shared" si="6"/>
        <v>52.66</v>
      </c>
      <c r="AP15" s="12"/>
      <c r="AQ15" s="12"/>
      <c r="BG15" s="12">
        <v>0.01</v>
      </c>
      <c r="BH15" s="12">
        <v>0.02</v>
      </c>
      <c r="BI15" s="12">
        <v>0.03</v>
      </c>
      <c r="BJ15" s="12">
        <v>0.03</v>
      </c>
      <c r="BQ15"/>
      <c r="BR15"/>
      <c r="BS15"/>
      <c r="BT15"/>
      <c r="BU15"/>
      <c r="BV15"/>
      <c r="BW15"/>
      <c r="BX15"/>
      <c r="BY15"/>
      <c r="BZ15"/>
      <c r="CA15"/>
      <c r="CB15"/>
      <c r="CC15" s="3" t="str">
        <f t="shared" si="7"/>
        <v>Allied-Moulded-HFPU108.jpg</v>
      </c>
      <c r="CD15" s="16" t="s">
        <v>111</v>
      </c>
      <c r="CG15" s="3" t="s">
        <v>4899</v>
      </c>
      <c r="CI15" s="3" t="s">
        <v>97</v>
      </c>
      <c r="CJ15" s="3" t="s">
        <v>167</v>
      </c>
      <c r="CK15" s="3" t="s">
        <v>385</v>
      </c>
      <c r="CL15" s="3" t="s">
        <v>4954</v>
      </c>
    </row>
    <row r="16" spans="1:115" s="3" customFormat="1" ht="15.75">
      <c r="A16" t="s">
        <v>4967</v>
      </c>
      <c r="B16" s="3" t="s">
        <v>4968</v>
      </c>
      <c r="C16" s="16" t="s">
        <v>97</v>
      </c>
      <c r="D16" s="39" t="s">
        <v>4969</v>
      </c>
      <c r="E16" s="16" t="s">
        <v>97</v>
      </c>
      <c r="F16" s="131" t="s">
        <v>4970</v>
      </c>
      <c r="I16" s="100" t="s">
        <v>342</v>
      </c>
      <c r="J16" s="16" t="s">
        <v>101</v>
      </c>
      <c r="K16" s="16"/>
      <c r="L16" s="79" t="s">
        <v>4894</v>
      </c>
      <c r="M16" s="79" t="s">
        <v>4895</v>
      </c>
      <c r="P16" s="3" t="s">
        <v>4971</v>
      </c>
      <c r="Q16" s="3" t="s">
        <v>4971</v>
      </c>
      <c r="R16" s="3" t="s">
        <v>4971</v>
      </c>
      <c r="S16" t="s">
        <v>4967</v>
      </c>
      <c r="T16" s="130" t="s">
        <v>4897</v>
      </c>
      <c r="U16" s="50">
        <v>2</v>
      </c>
      <c r="V16" s="54"/>
      <c r="W16" s="54"/>
      <c r="X16" s="59" t="s">
        <v>108</v>
      </c>
      <c r="Y16" s="93">
        <f t="shared" si="8"/>
        <v>1</v>
      </c>
      <c r="Z16" s="3">
        <v>0</v>
      </c>
      <c r="AA16" s="3" t="s">
        <v>4972</v>
      </c>
      <c r="AD16" s="6">
        <f t="shared" si="0"/>
        <v>65.42</v>
      </c>
      <c r="AE16" s="69">
        <v>74.548762049999993</v>
      </c>
      <c r="AF16" s="17">
        <f t="shared" si="9"/>
        <v>78.504000000000005</v>
      </c>
      <c r="AG16" s="6">
        <f t="shared" si="1"/>
        <v>48.46</v>
      </c>
      <c r="AH16" s="30" t="s">
        <v>110</v>
      </c>
      <c r="AI16" s="3">
        <v>0.65</v>
      </c>
      <c r="AJ16" s="18">
        <v>0.35</v>
      </c>
      <c r="AK16" s="6">
        <f t="shared" si="2"/>
        <v>64.77</v>
      </c>
      <c r="AL16" s="6">
        <f t="shared" si="3"/>
        <v>64.11</v>
      </c>
      <c r="AM16" s="6">
        <f t="shared" si="4"/>
        <v>63.46</v>
      </c>
      <c r="AN16" s="6">
        <f t="shared" si="5"/>
        <v>63.46</v>
      </c>
      <c r="AO16" s="6">
        <f t="shared" si="6"/>
        <v>65.42</v>
      </c>
      <c r="AP16" s="12"/>
      <c r="AQ16" s="12"/>
      <c r="BG16" s="12">
        <v>0.01</v>
      </c>
      <c r="BH16" s="12">
        <v>0.02</v>
      </c>
      <c r="BI16" s="12">
        <v>0.03</v>
      </c>
      <c r="BJ16" s="12">
        <v>0.03</v>
      </c>
      <c r="BQ16"/>
      <c r="BR16"/>
      <c r="BS16"/>
      <c r="BT16"/>
      <c r="BU16"/>
      <c r="BV16"/>
      <c r="BW16"/>
      <c r="BX16"/>
      <c r="BY16"/>
      <c r="BZ16"/>
      <c r="CA16"/>
      <c r="CB16"/>
      <c r="CC16" s="3" t="str">
        <f t="shared" si="7"/>
        <v>Allied-Moulded-HFPU120.jpg</v>
      </c>
      <c r="CD16" s="16" t="s">
        <v>111</v>
      </c>
      <c r="CG16" s="3" t="s">
        <v>4899</v>
      </c>
      <c r="CI16" s="3" t="s">
        <v>97</v>
      </c>
      <c r="CJ16" s="3" t="s">
        <v>125</v>
      </c>
      <c r="CK16" s="3" t="s">
        <v>167</v>
      </c>
      <c r="CL16" s="3" t="s">
        <v>4954</v>
      </c>
    </row>
    <row r="17" spans="1:90" s="3" customFormat="1" ht="15.75">
      <c r="A17" t="s">
        <v>4973</v>
      </c>
      <c r="B17" s="3" t="s">
        <v>4974</v>
      </c>
      <c r="C17" s="16" t="s">
        <v>97</v>
      </c>
      <c r="D17" s="40" t="s">
        <v>4975</v>
      </c>
      <c r="E17" s="16" t="s">
        <v>97</v>
      </c>
      <c r="F17" s="131" t="s">
        <v>4976</v>
      </c>
      <c r="I17" s="100" t="s">
        <v>342</v>
      </c>
      <c r="J17" s="16" t="s">
        <v>101</v>
      </c>
      <c r="K17" s="16"/>
      <c r="L17" s="79" t="s">
        <v>4894</v>
      </c>
      <c r="M17" s="79" t="s">
        <v>4895</v>
      </c>
      <c r="P17" s="3" t="s">
        <v>4977</v>
      </c>
      <c r="Q17" s="3" t="s">
        <v>4977</v>
      </c>
      <c r="R17" s="3" t="s">
        <v>4977</v>
      </c>
      <c r="S17" t="s">
        <v>4973</v>
      </c>
      <c r="T17" s="130" t="s">
        <v>4897</v>
      </c>
      <c r="U17" s="51">
        <v>3</v>
      </c>
      <c r="V17" s="58"/>
      <c r="W17" s="58"/>
      <c r="X17" s="59" t="s">
        <v>108</v>
      </c>
      <c r="Y17" s="93">
        <f t="shared" si="8"/>
        <v>1</v>
      </c>
      <c r="Z17" s="3">
        <v>0</v>
      </c>
      <c r="AA17" s="3" t="s">
        <v>4978</v>
      </c>
      <c r="AD17" s="6">
        <f t="shared" si="0"/>
        <v>76.05</v>
      </c>
      <c r="AE17" s="69">
        <v>86.668435349999996</v>
      </c>
      <c r="AF17" s="17">
        <f t="shared" si="9"/>
        <v>91.259999999999991</v>
      </c>
      <c r="AG17" s="6">
        <f t="shared" si="1"/>
        <v>56.33</v>
      </c>
      <c r="AH17" s="30" t="s">
        <v>110</v>
      </c>
      <c r="AI17" s="3">
        <v>0.65</v>
      </c>
      <c r="AJ17" s="18">
        <v>0.35</v>
      </c>
      <c r="AK17" s="6">
        <f t="shared" si="2"/>
        <v>75.290000000000006</v>
      </c>
      <c r="AL17" s="6">
        <f t="shared" si="3"/>
        <v>74.53</v>
      </c>
      <c r="AM17" s="6">
        <f t="shared" si="4"/>
        <v>73.77</v>
      </c>
      <c r="AN17" s="6">
        <f t="shared" si="5"/>
        <v>73.77</v>
      </c>
      <c r="AO17" s="6">
        <f t="shared" si="6"/>
        <v>76.05</v>
      </c>
      <c r="AP17" s="12"/>
      <c r="AQ17" s="12"/>
      <c r="BG17" s="12">
        <v>0.01</v>
      </c>
      <c r="BH17" s="12">
        <v>0.02</v>
      </c>
      <c r="BI17" s="12">
        <v>0.03</v>
      </c>
      <c r="BJ17" s="12">
        <v>0.03</v>
      </c>
      <c r="BQ17"/>
      <c r="BR17"/>
      <c r="BS17"/>
      <c r="BT17"/>
      <c r="BU17"/>
      <c r="BV17"/>
      <c r="BW17"/>
      <c r="BX17"/>
      <c r="BY17"/>
      <c r="BZ17"/>
      <c r="CA17"/>
      <c r="CB17"/>
      <c r="CC17" s="3" t="str">
        <f t="shared" si="7"/>
        <v>Allied-Moulded-HFPU142.jpg</v>
      </c>
      <c r="CD17" s="16" t="s">
        <v>111</v>
      </c>
      <c r="CG17" s="3" t="s">
        <v>4899</v>
      </c>
      <c r="CI17" s="3" t="s">
        <v>97</v>
      </c>
      <c r="CJ17" s="3" t="s">
        <v>1037</v>
      </c>
      <c r="CK17" s="3" t="s">
        <v>125</v>
      </c>
      <c r="CL17" s="3" t="s">
        <v>4954</v>
      </c>
    </row>
    <row r="18" spans="1:90" s="3" customFormat="1" ht="15.75">
      <c r="A18" t="s">
        <v>4979</v>
      </c>
      <c r="B18" s="3" t="s">
        <v>4980</v>
      </c>
      <c r="C18" s="16" t="s">
        <v>97</v>
      </c>
      <c r="D18" s="39" t="s">
        <v>4981</v>
      </c>
      <c r="E18" s="16" t="s">
        <v>97</v>
      </c>
      <c r="F18" s="131" t="s">
        <v>4982</v>
      </c>
      <c r="I18" s="100" t="s">
        <v>342</v>
      </c>
      <c r="J18" s="16" t="s">
        <v>101</v>
      </c>
      <c r="K18" s="16"/>
      <c r="L18" s="79" t="s">
        <v>4894</v>
      </c>
      <c r="M18" s="79" t="s">
        <v>4895</v>
      </c>
      <c r="P18" s="3" t="s">
        <v>4983</v>
      </c>
      <c r="Q18" s="3" t="s">
        <v>4983</v>
      </c>
      <c r="R18" s="3" t="s">
        <v>4983</v>
      </c>
      <c r="S18" t="s">
        <v>4979</v>
      </c>
      <c r="T18" s="130" t="s">
        <v>4897</v>
      </c>
      <c r="U18" s="50">
        <v>3</v>
      </c>
      <c r="V18" s="54"/>
      <c r="W18" s="54"/>
      <c r="X18" s="59" t="s">
        <v>108</v>
      </c>
      <c r="Y18" s="93">
        <f t="shared" si="8"/>
        <v>1</v>
      </c>
      <c r="Z18" s="3">
        <v>0</v>
      </c>
      <c r="AA18" s="3" t="s">
        <v>4984</v>
      </c>
      <c r="AD18" s="6">
        <f t="shared" si="0"/>
        <v>80.540000000000006</v>
      </c>
      <c r="AE18" s="69">
        <v>91.791621599999999</v>
      </c>
      <c r="AF18" s="17">
        <f t="shared" si="9"/>
        <v>96.64800000000001</v>
      </c>
      <c r="AG18" s="6">
        <f t="shared" si="1"/>
        <v>59.66</v>
      </c>
      <c r="AH18" s="30" t="s">
        <v>110</v>
      </c>
      <c r="AI18" s="3">
        <v>0.65</v>
      </c>
      <c r="AJ18" s="18">
        <v>0.35</v>
      </c>
      <c r="AK18" s="6">
        <f t="shared" si="2"/>
        <v>79.73</v>
      </c>
      <c r="AL18" s="6">
        <f t="shared" si="3"/>
        <v>78.930000000000007</v>
      </c>
      <c r="AM18" s="6">
        <f t="shared" si="4"/>
        <v>78.12</v>
      </c>
      <c r="AN18" s="6">
        <f t="shared" si="5"/>
        <v>78.12</v>
      </c>
      <c r="AO18" s="6">
        <f t="shared" si="6"/>
        <v>80.540000000000006</v>
      </c>
      <c r="AP18" s="12"/>
      <c r="AQ18" s="12"/>
      <c r="BG18" s="12">
        <v>0.01</v>
      </c>
      <c r="BH18" s="12">
        <v>0.02</v>
      </c>
      <c r="BI18" s="12">
        <v>0.03</v>
      </c>
      <c r="BJ18" s="12">
        <v>0.03</v>
      </c>
      <c r="BQ18"/>
      <c r="BR18"/>
      <c r="BS18"/>
      <c r="BT18"/>
      <c r="BU18"/>
      <c r="BV18"/>
      <c r="BW18"/>
      <c r="BX18"/>
      <c r="BY18"/>
      <c r="BZ18"/>
      <c r="CA18"/>
      <c r="CB18"/>
      <c r="CC18" s="3" t="str">
        <f t="shared" si="7"/>
        <v>Allied-Moulded-HFPU164.jpg</v>
      </c>
      <c r="CD18" s="16" t="s">
        <v>111</v>
      </c>
      <c r="CG18" s="3" t="s">
        <v>4899</v>
      </c>
      <c r="CI18" s="3" t="s">
        <v>97</v>
      </c>
      <c r="CJ18" s="3" t="s">
        <v>242</v>
      </c>
      <c r="CK18" s="3" t="s">
        <v>1037</v>
      </c>
      <c r="CL18" s="3" t="s">
        <v>4954</v>
      </c>
    </row>
    <row r="19" spans="1:90" s="3" customFormat="1" ht="15.75">
      <c r="A19" t="s">
        <v>4985</v>
      </c>
      <c r="B19" s="3" t="s">
        <v>4986</v>
      </c>
      <c r="C19" s="16" t="s">
        <v>97</v>
      </c>
      <c r="D19" s="40" t="s">
        <v>4987</v>
      </c>
      <c r="E19" s="16" t="s">
        <v>97</v>
      </c>
      <c r="F19" s="131" t="s">
        <v>4988</v>
      </c>
      <c r="I19" s="100" t="s">
        <v>342</v>
      </c>
      <c r="J19" s="16" t="s">
        <v>101</v>
      </c>
      <c r="K19" s="16"/>
      <c r="L19" s="79" t="s">
        <v>4894</v>
      </c>
      <c r="M19" s="79" t="s">
        <v>4895</v>
      </c>
      <c r="P19" s="3" t="s">
        <v>4989</v>
      </c>
      <c r="Q19" s="3" t="s">
        <v>4989</v>
      </c>
      <c r="R19" s="3" t="s">
        <v>4989</v>
      </c>
      <c r="S19" t="s">
        <v>4985</v>
      </c>
      <c r="T19" s="130" t="s">
        <v>4897</v>
      </c>
      <c r="U19" s="51">
        <v>4</v>
      </c>
      <c r="V19" s="58"/>
      <c r="W19" s="58"/>
      <c r="X19" s="59" t="s">
        <v>108</v>
      </c>
      <c r="Y19" s="93">
        <f t="shared" si="8"/>
        <v>1</v>
      </c>
      <c r="Z19" s="3">
        <v>0</v>
      </c>
      <c r="AA19" s="3" t="s">
        <v>4990</v>
      </c>
      <c r="AD19" s="6">
        <f t="shared" si="0"/>
        <v>91.18</v>
      </c>
      <c r="AE19" s="69">
        <v>103.91129595</v>
      </c>
      <c r="AF19" s="17">
        <f t="shared" si="9"/>
        <v>109.41600000000001</v>
      </c>
      <c r="AG19" s="6">
        <f t="shared" si="1"/>
        <v>67.540000000000006</v>
      </c>
      <c r="AH19" s="30" t="s">
        <v>110</v>
      </c>
      <c r="AI19" s="3">
        <v>0.65</v>
      </c>
      <c r="AJ19" s="18">
        <v>0.35</v>
      </c>
      <c r="AK19" s="6">
        <f t="shared" si="2"/>
        <v>90.27</v>
      </c>
      <c r="AL19" s="6">
        <f t="shared" si="3"/>
        <v>89.36</v>
      </c>
      <c r="AM19" s="6">
        <f t="shared" si="4"/>
        <v>88.44</v>
      </c>
      <c r="AN19" s="6">
        <f t="shared" si="5"/>
        <v>88.44</v>
      </c>
      <c r="AO19" s="6">
        <f t="shared" si="6"/>
        <v>91.18</v>
      </c>
      <c r="AP19" s="12"/>
      <c r="AQ19" s="12"/>
      <c r="BG19" s="12">
        <v>0.01</v>
      </c>
      <c r="BH19" s="12">
        <v>0.02</v>
      </c>
      <c r="BI19" s="12">
        <v>0.03</v>
      </c>
      <c r="BJ19" s="12">
        <v>0.03</v>
      </c>
      <c r="BQ19"/>
      <c r="BR19"/>
      <c r="BS19"/>
      <c r="BT19"/>
      <c r="BU19"/>
      <c r="BV19"/>
      <c r="BW19"/>
      <c r="BX19"/>
      <c r="BY19"/>
      <c r="BZ19"/>
      <c r="CA19"/>
      <c r="CB19"/>
      <c r="CC19" s="3" t="str">
        <f t="shared" si="7"/>
        <v>Allied-Moulded-HFPU186.jpg</v>
      </c>
      <c r="CD19" s="16" t="s">
        <v>111</v>
      </c>
      <c r="CG19" s="3" t="s">
        <v>4899</v>
      </c>
      <c r="CI19" s="3" t="s">
        <v>97</v>
      </c>
      <c r="CJ19" s="3" t="s">
        <v>1814</v>
      </c>
      <c r="CK19" s="3" t="s">
        <v>242</v>
      </c>
      <c r="CL19" s="3" t="s">
        <v>4954</v>
      </c>
    </row>
    <row r="20" spans="1:90" s="3" customFormat="1" ht="15.75">
      <c r="A20" t="s">
        <v>4991</v>
      </c>
      <c r="B20" s="3" t="s">
        <v>4992</v>
      </c>
      <c r="C20" s="16" t="s">
        <v>97</v>
      </c>
      <c r="D20" s="39" t="s">
        <v>4993</v>
      </c>
      <c r="E20" s="16" t="s">
        <v>97</v>
      </c>
      <c r="F20" s="131" t="s">
        <v>4994</v>
      </c>
      <c r="I20" s="100" t="s">
        <v>342</v>
      </c>
      <c r="J20" s="16" t="s">
        <v>101</v>
      </c>
      <c r="K20" s="16"/>
      <c r="L20" s="79" t="s">
        <v>4894</v>
      </c>
      <c r="M20" s="79" t="s">
        <v>4895</v>
      </c>
      <c r="P20" s="3" t="s">
        <v>4995</v>
      </c>
      <c r="Q20" s="3" t="s">
        <v>4995</v>
      </c>
      <c r="R20" s="3" t="s">
        <v>4995</v>
      </c>
      <c r="S20" t="s">
        <v>4991</v>
      </c>
      <c r="T20" s="130" t="s">
        <v>4897</v>
      </c>
      <c r="U20" s="50">
        <v>4</v>
      </c>
      <c r="V20" s="54"/>
      <c r="W20" s="54"/>
      <c r="X20" s="59" t="s">
        <v>108</v>
      </c>
      <c r="Y20" s="93">
        <f t="shared" si="8"/>
        <v>1</v>
      </c>
      <c r="Z20" s="3">
        <v>0</v>
      </c>
      <c r="AA20" s="3" t="s">
        <v>4996</v>
      </c>
      <c r="AD20" s="6">
        <f t="shared" si="0"/>
        <v>122.99</v>
      </c>
      <c r="AE20" s="69">
        <v>140.15678250000002</v>
      </c>
      <c r="AF20" s="17">
        <f t="shared" si="9"/>
        <v>147.58799999999999</v>
      </c>
      <c r="AG20" s="6">
        <f t="shared" si="1"/>
        <v>91.1</v>
      </c>
      <c r="AH20" s="30" t="s">
        <v>110</v>
      </c>
      <c r="AI20" s="3">
        <v>0.65</v>
      </c>
      <c r="AJ20" s="18">
        <v>0.35</v>
      </c>
      <c r="AK20" s="6">
        <f t="shared" si="2"/>
        <v>121.76</v>
      </c>
      <c r="AL20" s="6">
        <f t="shared" si="3"/>
        <v>120.53</v>
      </c>
      <c r="AM20" s="6">
        <f t="shared" si="4"/>
        <v>119.3</v>
      </c>
      <c r="AN20" s="6">
        <f t="shared" si="5"/>
        <v>119.3</v>
      </c>
      <c r="AO20" s="6">
        <f t="shared" si="6"/>
        <v>122.99</v>
      </c>
      <c r="AP20" s="12"/>
      <c r="AQ20" s="12"/>
      <c r="BG20" s="12">
        <v>0.01</v>
      </c>
      <c r="BH20" s="12">
        <v>0.02</v>
      </c>
      <c r="BI20" s="12">
        <v>0.03</v>
      </c>
      <c r="BJ20" s="12">
        <v>0.03</v>
      </c>
      <c r="BQ20"/>
      <c r="BR20"/>
      <c r="BS20"/>
      <c r="BT20"/>
      <c r="BU20"/>
      <c r="BV20"/>
      <c r="BW20"/>
      <c r="BX20"/>
      <c r="BY20"/>
      <c r="BZ20"/>
      <c r="CA20"/>
      <c r="CB20"/>
      <c r="CC20" s="3" t="str">
        <f t="shared" si="7"/>
        <v>Allied-Moulded-HFPU206.jpg</v>
      </c>
      <c r="CD20" s="16" t="s">
        <v>111</v>
      </c>
      <c r="CG20" s="3" t="s">
        <v>4899</v>
      </c>
      <c r="CI20" s="3" t="s">
        <v>97</v>
      </c>
      <c r="CJ20" s="3" t="s">
        <v>2145</v>
      </c>
      <c r="CK20" s="3" t="s">
        <v>242</v>
      </c>
      <c r="CL20" s="3" t="s">
        <v>4954</v>
      </c>
    </row>
    <row r="21" spans="1:90" s="3" customFormat="1" ht="15.75">
      <c r="A21" t="s">
        <v>4997</v>
      </c>
      <c r="B21" s="3" t="s">
        <v>4998</v>
      </c>
      <c r="C21" s="16" t="s">
        <v>97</v>
      </c>
      <c r="D21" s="41" t="s">
        <v>4999</v>
      </c>
      <c r="E21" s="16" t="s">
        <v>97</v>
      </c>
      <c r="F21" s="131" t="s">
        <v>5000</v>
      </c>
      <c r="I21" s="100" t="s">
        <v>342</v>
      </c>
      <c r="J21" s="16" t="s">
        <v>101</v>
      </c>
      <c r="K21" s="16"/>
      <c r="L21" s="79" t="s">
        <v>4894</v>
      </c>
      <c r="M21" s="79" t="s">
        <v>4895</v>
      </c>
      <c r="P21" s="3" t="s">
        <v>5001</v>
      </c>
      <c r="Q21" s="3" t="s">
        <v>5001</v>
      </c>
      <c r="R21" s="3" t="s">
        <v>5001</v>
      </c>
      <c r="S21" t="s">
        <v>4997</v>
      </c>
      <c r="T21" s="130" t="s">
        <v>4897</v>
      </c>
      <c r="U21" s="52">
        <v>7</v>
      </c>
      <c r="V21" s="54"/>
      <c r="W21" s="54"/>
      <c r="X21" s="59" t="s">
        <v>108</v>
      </c>
      <c r="Y21" s="93">
        <f t="shared" si="8"/>
        <v>1</v>
      </c>
      <c r="Z21" s="3">
        <v>0</v>
      </c>
      <c r="AA21" s="3" t="s">
        <v>5002</v>
      </c>
      <c r="AD21" s="6">
        <f t="shared" si="0"/>
        <v>237.25</v>
      </c>
      <c r="AE21" s="68">
        <v>270.37168935</v>
      </c>
      <c r="AF21" s="17">
        <f t="shared" si="9"/>
        <v>284.7</v>
      </c>
      <c r="AG21" s="6">
        <f t="shared" si="1"/>
        <v>175.74</v>
      </c>
      <c r="AH21" s="30" t="s">
        <v>110</v>
      </c>
      <c r="AI21" s="3">
        <v>0.65</v>
      </c>
      <c r="AJ21" s="18">
        <v>0.35</v>
      </c>
      <c r="AK21" s="6">
        <f t="shared" si="2"/>
        <v>234.88</v>
      </c>
      <c r="AL21" s="6">
        <f t="shared" si="3"/>
        <v>232.51</v>
      </c>
      <c r="AM21" s="6">
        <f t="shared" si="4"/>
        <v>230.13</v>
      </c>
      <c r="AN21" s="6">
        <f t="shared" si="5"/>
        <v>230.13</v>
      </c>
      <c r="AO21" s="6">
        <f t="shared" si="6"/>
        <v>237.25</v>
      </c>
      <c r="AP21" s="12"/>
      <c r="AQ21" s="12"/>
      <c r="BG21" s="12">
        <v>0.01</v>
      </c>
      <c r="BH21" s="12">
        <v>0.02</v>
      </c>
      <c r="BI21" s="12">
        <v>0.03</v>
      </c>
      <c r="BJ21" s="12">
        <v>0.03</v>
      </c>
      <c r="BQ21"/>
      <c r="BR21"/>
      <c r="BS21"/>
      <c r="BT21"/>
      <c r="BU21"/>
      <c r="BV21"/>
      <c r="BW21"/>
      <c r="BX21"/>
      <c r="BY21"/>
      <c r="BZ21"/>
      <c r="CA21"/>
      <c r="CB21"/>
      <c r="CC21" s="3" t="str">
        <f t="shared" si="7"/>
        <v>Allied-Moulded-HFP2420.jpg</v>
      </c>
      <c r="CD21" s="16" t="s">
        <v>111</v>
      </c>
      <c r="CG21" s="3" t="s">
        <v>4899</v>
      </c>
      <c r="CI21" s="3" t="s">
        <v>97</v>
      </c>
      <c r="CJ21" s="3" t="s">
        <v>124</v>
      </c>
      <c r="CK21" s="3" t="s">
        <v>2145</v>
      </c>
      <c r="CL21" s="3" t="s">
        <v>5003</v>
      </c>
    </row>
    <row r="22" spans="1:90" s="3" customFormat="1" ht="15.75">
      <c r="A22" t="s">
        <v>5004</v>
      </c>
      <c r="B22" s="3" t="s">
        <v>5005</v>
      </c>
      <c r="C22" s="16" t="s">
        <v>97</v>
      </c>
      <c r="D22" s="40" t="s">
        <v>5006</v>
      </c>
      <c r="E22" s="16" t="s">
        <v>97</v>
      </c>
      <c r="F22" s="131" t="s">
        <v>5007</v>
      </c>
      <c r="I22" s="100" t="s">
        <v>342</v>
      </c>
      <c r="J22" s="16" t="s">
        <v>101</v>
      </c>
      <c r="K22" s="16"/>
      <c r="L22" s="79" t="s">
        <v>4894</v>
      </c>
      <c r="M22" s="79" t="s">
        <v>4895</v>
      </c>
      <c r="P22" s="3" t="s">
        <v>5008</v>
      </c>
      <c r="Q22" s="3" t="s">
        <v>5008</v>
      </c>
      <c r="R22" s="3" t="s">
        <v>5008</v>
      </c>
      <c r="S22" t="s">
        <v>5004</v>
      </c>
      <c r="T22" s="130" t="s">
        <v>4897</v>
      </c>
      <c r="U22" s="51">
        <v>7</v>
      </c>
      <c r="V22" s="58"/>
      <c r="W22" s="58"/>
      <c r="X22" s="59" t="s">
        <v>108</v>
      </c>
      <c r="Y22" s="93">
        <f t="shared" si="8"/>
        <v>1</v>
      </c>
      <c r="Z22" s="3">
        <v>0</v>
      </c>
      <c r="AA22" s="3" t="s">
        <v>5009</v>
      </c>
      <c r="AD22" s="6">
        <f t="shared" si="0"/>
        <v>256.45</v>
      </c>
      <c r="AE22" s="69">
        <v>292.2516387</v>
      </c>
      <c r="AF22" s="17">
        <f t="shared" si="9"/>
        <v>307.73999999999995</v>
      </c>
      <c r="AG22" s="6">
        <f t="shared" si="1"/>
        <v>189.96</v>
      </c>
      <c r="AH22" s="30" t="s">
        <v>110</v>
      </c>
      <c r="AI22" s="3">
        <v>0.65</v>
      </c>
      <c r="AJ22" s="18">
        <v>0.35</v>
      </c>
      <c r="AK22" s="6">
        <f t="shared" si="2"/>
        <v>253.89</v>
      </c>
      <c r="AL22" s="6">
        <f t="shared" si="3"/>
        <v>251.32</v>
      </c>
      <c r="AM22" s="6">
        <f t="shared" si="4"/>
        <v>248.76</v>
      </c>
      <c r="AN22" s="6">
        <f t="shared" si="5"/>
        <v>248.76</v>
      </c>
      <c r="AO22" s="6">
        <f t="shared" si="6"/>
        <v>256.45</v>
      </c>
      <c r="AP22" s="12"/>
      <c r="AQ22" s="12"/>
      <c r="BG22" s="12">
        <v>0.01</v>
      </c>
      <c r="BH22" s="12">
        <v>0.02</v>
      </c>
      <c r="BI22" s="12">
        <v>0.03</v>
      </c>
      <c r="BJ22" s="12">
        <v>0.03</v>
      </c>
      <c r="BQ22"/>
      <c r="BR22"/>
      <c r="BS22"/>
      <c r="BT22"/>
      <c r="BU22"/>
      <c r="BV22"/>
      <c r="BW22"/>
      <c r="BX22"/>
      <c r="BY22"/>
      <c r="BZ22"/>
      <c r="CA22"/>
      <c r="CB22"/>
      <c r="CC22" s="3" t="str">
        <f t="shared" si="7"/>
        <v>Allied-Moulded-HFP2424.jpg</v>
      </c>
      <c r="CD22" s="16" t="s">
        <v>111</v>
      </c>
      <c r="CG22" s="3" t="s">
        <v>4899</v>
      </c>
      <c r="CI22" s="3" t="s">
        <v>97</v>
      </c>
      <c r="CJ22" s="3" t="s">
        <v>124</v>
      </c>
      <c r="CK22" s="3" t="s">
        <v>124</v>
      </c>
      <c r="CL22" s="3" t="s">
        <v>5003</v>
      </c>
    </row>
    <row r="23" spans="1:90" s="3" customFormat="1" ht="15.75">
      <c r="A23" t="s">
        <v>5010</v>
      </c>
      <c r="B23" s="3" t="s">
        <v>5011</v>
      </c>
      <c r="C23" s="16" t="s">
        <v>97</v>
      </c>
      <c r="D23" s="39" t="s">
        <v>5012</v>
      </c>
      <c r="E23" s="16" t="s">
        <v>97</v>
      </c>
      <c r="F23" s="131" t="s">
        <v>5013</v>
      </c>
      <c r="I23" s="100" t="s">
        <v>342</v>
      </c>
      <c r="J23" s="16" t="s">
        <v>101</v>
      </c>
      <c r="K23" s="16"/>
      <c r="L23" s="79" t="s">
        <v>4894</v>
      </c>
      <c r="M23" s="79" t="s">
        <v>4895</v>
      </c>
      <c r="P23" s="3" t="s">
        <v>5014</v>
      </c>
      <c r="Q23" s="3" t="s">
        <v>5014</v>
      </c>
      <c r="R23" s="3" t="s">
        <v>5014</v>
      </c>
      <c r="S23" t="s">
        <v>5010</v>
      </c>
      <c r="T23" s="130" t="s">
        <v>4897</v>
      </c>
      <c r="U23" s="50">
        <v>8</v>
      </c>
      <c r="V23" s="54"/>
      <c r="W23" s="54"/>
      <c r="X23" s="59" t="s">
        <v>108</v>
      </c>
      <c r="Y23" s="93">
        <f t="shared" si="8"/>
        <v>1</v>
      </c>
      <c r="Z23" s="3">
        <v>0</v>
      </c>
      <c r="AA23" s="3" t="s">
        <v>5015</v>
      </c>
      <c r="AD23" s="6">
        <f t="shared" si="0"/>
        <v>276.37</v>
      </c>
      <c r="AE23" s="69">
        <v>314.95828560000001</v>
      </c>
      <c r="AF23" s="17">
        <f t="shared" si="9"/>
        <v>331.64400000000001</v>
      </c>
      <c r="AG23" s="6">
        <f t="shared" si="1"/>
        <v>204.72</v>
      </c>
      <c r="AH23" s="30" t="s">
        <v>110</v>
      </c>
      <c r="AI23" s="3">
        <v>0.65</v>
      </c>
      <c r="AJ23" s="18">
        <v>0.35</v>
      </c>
      <c r="AK23" s="6">
        <f t="shared" si="2"/>
        <v>273.61</v>
      </c>
      <c r="AL23" s="6">
        <f t="shared" si="3"/>
        <v>270.83999999999997</v>
      </c>
      <c r="AM23" s="6">
        <f t="shared" si="4"/>
        <v>268.08</v>
      </c>
      <c r="AN23" s="6">
        <f t="shared" si="5"/>
        <v>268.08</v>
      </c>
      <c r="AO23" s="6">
        <f t="shared" si="6"/>
        <v>276.37</v>
      </c>
      <c r="AP23" s="12"/>
      <c r="AQ23" s="12"/>
      <c r="BG23" s="12">
        <v>0.01</v>
      </c>
      <c r="BH23" s="12">
        <v>0.02</v>
      </c>
      <c r="BI23" s="12">
        <v>0.03</v>
      </c>
      <c r="BJ23" s="12">
        <v>0.03</v>
      </c>
      <c r="BQ23"/>
      <c r="BR23"/>
      <c r="BS23"/>
      <c r="BT23"/>
      <c r="BU23"/>
      <c r="BV23"/>
      <c r="BW23"/>
      <c r="BX23"/>
      <c r="BY23"/>
      <c r="BZ23"/>
      <c r="CA23"/>
      <c r="CB23"/>
      <c r="CC23" s="3" t="str">
        <f t="shared" si="7"/>
        <v>Allied-Moulded-HFP3024.jpg</v>
      </c>
      <c r="CD23" s="16" t="s">
        <v>111</v>
      </c>
      <c r="CG23" s="3" t="s">
        <v>4899</v>
      </c>
      <c r="CI23" s="3" t="s">
        <v>97</v>
      </c>
      <c r="CJ23" s="3" t="s">
        <v>123</v>
      </c>
      <c r="CK23" s="3" t="s">
        <v>124</v>
      </c>
      <c r="CL23" s="3" t="s">
        <v>5003</v>
      </c>
    </row>
    <row r="24" spans="1:90" s="3" customFormat="1" ht="15.75">
      <c r="A24" t="s">
        <v>5016</v>
      </c>
      <c r="B24" s="3" t="s">
        <v>5017</v>
      </c>
      <c r="C24" s="16" t="s">
        <v>97</v>
      </c>
      <c r="D24" s="39" t="s">
        <v>5018</v>
      </c>
      <c r="E24" s="16" t="s">
        <v>97</v>
      </c>
      <c r="F24" s="131" t="s">
        <v>5019</v>
      </c>
      <c r="I24" s="100" t="s">
        <v>342</v>
      </c>
      <c r="J24" s="16" t="s">
        <v>101</v>
      </c>
      <c r="K24" s="16"/>
      <c r="L24" s="79" t="s">
        <v>4894</v>
      </c>
      <c r="M24" s="79" t="s">
        <v>4895</v>
      </c>
      <c r="P24" s="3" t="s">
        <v>5020</v>
      </c>
      <c r="Q24" s="3" t="s">
        <v>5020</v>
      </c>
      <c r="R24" s="3" t="s">
        <v>5020</v>
      </c>
      <c r="S24" t="s">
        <v>5021</v>
      </c>
      <c r="T24" s="130" t="s">
        <v>4897</v>
      </c>
      <c r="U24" s="50">
        <v>16</v>
      </c>
      <c r="V24" s="54"/>
      <c r="W24" s="39"/>
      <c r="X24" s="59" t="s">
        <v>108</v>
      </c>
      <c r="Y24" s="93">
        <f t="shared" si="8"/>
        <v>1</v>
      </c>
      <c r="Z24" s="3">
        <v>0</v>
      </c>
      <c r="AA24" s="3" t="s">
        <v>5022</v>
      </c>
      <c r="AD24" s="6">
        <f>ROUND((AG24*(1+AJ24)),2)</f>
        <v>328.67</v>
      </c>
      <c r="AE24" s="69">
        <v>374.55587819999994</v>
      </c>
      <c r="AF24" s="17">
        <f t="shared" si="9"/>
        <v>394.404</v>
      </c>
      <c r="AG24" s="6">
        <f>ROUND((AE24*AI24),2)</f>
        <v>243.46</v>
      </c>
      <c r="AH24" s="30" t="s">
        <v>110</v>
      </c>
      <c r="AI24" s="3">
        <v>0.65</v>
      </c>
      <c r="AJ24" s="18">
        <v>0.35</v>
      </c>
      <c r="AK24" s="6">
        <f>ROUND((AD24-(AD24*BG24)),2)</f>
        <v>325.38</v>
      </c>
      <c r="AL24" s="6">
        <f>ROUND((AD24-(AD24*BH24)),2)</f>
        <v>322.10000000000002</v>
      </c>
      <c r="AM24" s="6">
        <f>ROUND((AD24-(AD24*BI24)),2)</f>
        <v>318.81</v>
      </c>
      <c r="AN24" s="6">
        <f>ROUND((AD24-(AD24*BJ24)),2)</f>
        <v>318.81</v>
      </c>
      <c r="AO24" s="6">
        <f>ROUND((AD24-(AD24*BK24)),2)</f>
        <v>328.67</v>
      </c>
      <c r="AP24" s="12"/>
      <c r="AQ24" s="12"/>
      <c r="BG24" s="12">
        <v>0.01</v>
      </c>
      <c r="BH24" s="12">
        <v>0.02</v>
      </c>
      <c r="BI24" s="12">
        <v>0.03</v>
      </c>
      <c r="BJ24" s="12">
        <v>0.03</v>
      </c>
      <c r="BQ24"/>
      <c r="BR24"/>
      <c r="BS24"/>
      <c r="BT24"/>
      <c r="BU24"/>
      <c r="BV24"/>
      <c r="BW24"/>
      <c r="BX24"/>
      <c r="BY24"/>
      <c r="BZ24"/>
      <c r="CA24"/>
      <c r="CB24"/>
      <c r="CC24" s="3" t="str">
        <f>IF(B24&lt;&gt;"",CONCATENATE(SUBSTITUTE(B24," ","-"),".jpg"),"")</f>
        <v>Allied-Moulded-HFP4032.jpg</v>
      </c>
      <c r="CD24" s="16" t="s">
        <v>111</v>
      </c>
      <c r="CG24" s="3" t="s">
        <v>4899</v>
      </c>
      <c r="CI24" s="16" t="s">
        <v>97</v>
      </c>
      <c r="CJ24" s="3" t="s">
        <v>249</v>
      </c>
      <c r="CK24" s="3" t="s">
        <v>250</v>
      </c>
      <c r="CL24" s="3" t="s">
        <v>5003</v>
      </c>
    </row>
    <row r="25" spans="1:90" s="3" customFormat="1" ht="15.75">
      <c r="A25" t="s">
        <v>5023</v>
      </c>
      <c r="B25" s="3" t="s">
        <v>5024</v>
      </c>
      <c r="C25" s="16" t="s">
        <v>97</v>
      </c>
      <c r="D25" s="41" t="s">
        <v>5025</v>
      </c>
      <c r="E25" s="16" t="s">
        <v>97</v>
      </c>
      <c r="F25" s="131" t="s">
        <v>5026</v>
      </c>
      <c r="I25" s="100" t="s">
        <v>342</v>
      </c>
      <c r="J25" s="16" t="s">
        <v>101</v>
      </c>
      <c r="K25" s="16"/>
      <c r="L25" s="79" t="s">
        <v>4894</v>
      </c>
      <c r="M25" s="79" t="s">
        <v>4895</v>
      </c>
      <c r="P25" s="3" t="s">
        <v>5027</v>
      </c>
      <c r="Q25" s="3" t="s">
        <v>5027</v>
      </c>
      <c r="R25" s="3" t="s">
        <v>5027</v>
      </c>
      <c r="S25" t="s">
        <v>5023</v>
      </c>
      <c r="T25" s="130" t="s">
        <v>4897</v>
      </c>
      <c r="U25" s="52">
        <v>1</v>
      </c>
      <c r="V25" s="54"/>
      <c r="W25" s="54"/>
      <c r="X25" s="59" t="s">
        <v>108</v>
      </c>
      <c r="Y25" s="93">
        <f t="shared" si="8"/>
        <v>1</v>
      </c>
      <c r="Z25" s="3">
        <v>0</v>
      </c>
      <c r="AA25" s="3" t="s">
        <v>5028</v>
      </c>
      <c r="AD25" s="6">
        <f t="shared" si="0"/>
        <v>20.05</v>
      </c>
      <c r="AE25" s="68">
        <v>22.848564900000003</v>
      </c>
      <c r="AF25" s="17">
        <f t="shared" si="9"/>
        <v>24.06</v>
      </c>
      <c r="AG25" s="6">
        <f t="shared" si="1"/>
        <v>14.85</v>
      </c>
      <c r="AH25" s="30" t="s">
        <v>110</v>
      </c>
      <c r="AI25" s="3">
        <v>0.65</v>
      </c>
      <c r="AJ25" s="18">
        <v>0.35</v>
      </c>
      <c r="AK25" s="6">
        <f t="shared" si="2"/>
        <v>19.850000000000001</v>
      </c>
      <c r="AL25" s="6">
        <f t="shared" si="3"/>
        <v>19.649999999999999</v>
      </c>
      <c r="AM25" s="6">
        <f t="shared" si="4"/>
        <v>19.45</v>
      </c>
      <c r="AN25" s="6">
        <f t="shared" si="5"/>
        <v>19.45</v>
      </c>
      <c r="AO25" s="6">
        <f t="shared" si="6"/>
        <v>20.05</v>
      </c>
      <c r="AP25" s="12"/>
      <c r="AQ25" s="12"/>
      <c r="BG25" s="12">
        <v>0.01</v>
      </c>
      <c r="BH25" s="12">
        <v>0.02</v>
      </c>
      <c r="BI25" s="12">
        <v>0.03</v>
      </c>
      <c r="BJ25" s="12">
        <v>0.03</v>
      </c>
      <c r="BQ25"/>
      <c r="BR25"/>
      <c r="BS25"/>
      <c r="BT25"/>
      <c r="BU25"/>
      <c r="BV25"/>
      <c r="BW25"/>
      <c r="BX25"/>
      <c r="BY25"/>
      <c r="BZ25"/>
      <c r="CA25"/>
      <c r="CB25"/>
      <c r="CC25" s="3" t="str">
        <f t="shared" si="7"/>
        <v>Allied-Moulded-HFPP66.jpg</v>
      </c>
      <c r="CD25" s="16" t="s">
        <v>111</v>
      </c>
      <c r="CG25" s="3" t="s">
        <v>4899</v>
      </c>
      <c r="CI25" s="3" t="s">
        <v>97</v>
      </c>
      <c r="CJ25" s="3" t="s">
        <v>351</v>
      </c>
      <c r="CK25" s="3" t="s">
        <v>351</v>
      </c>
      <c r="CL25" s="3" t="s">
        <v>5029</v>
      </c>
    </row>
    <row r="26" spans="1:90" s="3" customFormat="1" ht="15.75">
      <c r="A26" t="s">
        <v>5030</v>
      </c>
      <c r="B26" s="3" t="s">
        <v>5031</v>
      </c>
      <c r="C26" s="16" t="s">
        <v>97</v>
      </c>
      <c r="D26" s="40" t="s">
        <v>5032</v>
      </c>
      <c r="E26" s="16" t="s">
        <v>97</v>
      </c>
      <c r="F26" s="131" t="s">
        <v>5033</v>
      </c>
      <c r="I26" s="100" t="s">
        <v>342</v>
      </c>
      <c r="J26" s="16" t="s">
        <v>101</v>
      </c>
      <c r="K26" s="16"/>
      <c r="L26" s="79" t="s">
        <v>4894</v>
      </c>
      <c r="M26" s="79" t="s">
        <v>4895</v>
      </c>
      <c r="P26" s="3" t="s">
        <v>5034</v>
      </c>
      <c r="Q26" s="3" t="s">
        <v>5034</v>
      </c>
      <c r="R26" s="3" t="s">
        <v>5034</v>
      </c>
      <c r="S26" t="s">
        <v>5030</v>
      </c>
      <c r="T26" s="130" t="s">
        <v>4897</v>
      </c>
      <c r="U26" s="51">
        <v>1</v>
      </c>
      <c r="V26" s="58"/>
      <c r="W26" s="58"/>
      <c r="X26" s="59" t="s">
        <v>108</v>
      </c>
      <c r="Y26" s="93">
        <f t="shared" si="8"/>
        <v>1</v>
      </c>
      <c r="Z26" s="3">
        <v>0</v>
      </c>
      <c r="AA26" s="3" t="s">
        <v>5035</v>
      </c>
      <c r="AD26" s="6">
        <f t="shared" si="0"/>
        <v>22.07</v>
      </c>
      <c r="AE26" s="69">
        <v>25.147611299999994</v>
      </c>
      <c r="AF26" s="17">
        <f t="shared" si="9"/>
        <v>26.483999999999998</v>
      </c>
      <c r="AG26" s="6">
        <f t="shared" si="1"/>
        <v>16.350000000000001</v>
      </c>
      <c r="AH26" s="30" t="s">
        <v>110</v>
      </c>
      <c r="AI26" s="3">
        <v>0.65</v>
      </c>
      <c r="AJ26" s="18">
        <v>0.35</v>
      </c>
      <c r="AK26" s="6">
        <f t="shared" si="2"/>
        <v>21.85</v>
      </c>
      <c r="AL26" s="6">
        <f t="shared" si="3"/>
        <v>21.63</v>
      </c>
      <c r="AM26" s="6">
        <f t="shared" si="4"/>
        <v>21.41</v>
      </c>
      <c r="AN26" s="6">
        <f t="shared" si="5"/>
        <v>21.41</v>
      </c>
      <c r="AO26" s="6">
        <f t="shared" si="6"/>
        <v>22.07</v>
      </c>
      <c r="AP26" s="12"/>
      <c r="AQ26" s="12"/>
      <c r="BG26" s="12">
        <v>0.01</v>
      </c>
      <c r="BH26" s="12">
        <v>0.02</v>
      </c>
      <c r="BI26" s="12">
        <v>0.03</v>
      </c>
      <c r="BJ26" s="12">
        <v>0.03</v>
      </c>
      <c r="BQ26"/>
      <c r="BR26"/>
      <c r="BS26"/>
      <c r="BT26"/>
      <c r="BU26"/>
      <c r="BV26"/>
      <c r="BW26"/>
      <c r="BX26"/>
      <c r="BY26"/>
      <c r="BZ26"/>
      <c r="CA26"/>
      <c r="CB26"/>
      <c r="CC26" s="3" t="str">
        <f t="shared" si="7"/>
        <v>Allied-Moulded-HFPP86.jpg</v>
      </c>
      <c r="CD26" s="16" t="s">
        <v>111</v>
      </c>
      <c r="CG26" s="3" t="s">
        <v>4899</v>
      </c>
      <c r="CI26" s="3" t="s">
        <v>97</v>
      </c>
      <c r="CJ26" s="3" t="s">
        <v>385</v>
      </c>
      <c r="CK26" s="3" t="s">
        <v>351</v>
      </c>
      <c r="CL26" s="3" t="s">
        <v>5029</v>
      </c>
    </row>
    <row r="27" spans="1:90" s="3" customFormat="1" ht="15.75">
      <c r="A27" t="s">
        <v>5036</v>
      </c>
      <c r="B27" s="3" t="s">
        <v>5037</v>
      </c>
      <c r="C27" s="16" t="s">
        <v>97</v>
      </c>
      <c r="D27" s="39" t="s">
        <v>5038</v>
      </c>
      <c r="E27" s="16" t="s">
        <v>97</v>
      </c>
      <c r="F27" s="131" t="s">
        <v>5039</v>
      </c>
      <c r="I27" s="100" t="s">
        <v>342</v>
      </c>
      <c r="J27" s="16" t="s">
        <v>101</v>
      </c>
      <c r="K27" s="16"/>
      <c r="L27" s="79" t="s">
        <v>4894</v>
      </c>
      <c r="M27" s="79" t="s">
        <v>4895</v>
      </c>
      <c r="P27" s="3" t="s">
        <v>5040</v>
      </c>
      <c r="Q27" s="3" t="s">
        <v>5040</v>
      </c>
      <c r="R27" s="3" t="s">
        <v>5040</v>
      </c>
      <c r="S27" t="s">
        <v>5036</v>
      </c>
      <c r="T27" s="130" t="s">
        <v>4897</v>
      </c>
      <c r="U27" s="50">
        <v>2</v>
      </c>
      <c r="V27" s="54"/>
      <c r="W27" s="54"/>
      <c r="X27" s="59" t="s">
        <v>108</v>
      </c>
      <c r="Y27" s="93">
        <f t="shared" si="8"/>
        <v>1</v>
      </c>
      <c r="Z27" s="3">
        <v>0</v>
      </c>
      <c r="AA27" s="3" t="s">
        <v>5041</v>
      </c>
      <c r="AD27" s="6">
        <f t="shared" si="0"/>
        <v>25.46</v>
      </c>
      <c r="AE27" s="69">
        <v>29.007743099999999</v>
      </c>
      <c r="AF27" s="17">
        <f t="shared" si="9"/>
        <v>30.552</v>
      </c>
      <c r="AG27" s="6">
        <f t="shared" si="1"/>
        <v>18.86</v>
      </c>
      <c r="AH27" s="30" t="s">
        <v>110</v>
      </c>
      <c r="AI27" s="3">
        <v>0.65</v>
      </c>
      <c r="AJ27" s="18">
        <v>0.35</v>
      </c>
      <c r="AK27" s="6">
        <f t="shared" si="2"/>
        <v>25.21</v>
      </c>
      <c r="AL27" s="6">
        <f t="shared" si="3"/>
        <v>24.95</v>
      </c>
      <c r="AM27" s="6">
        <f t="shared" si="4"/>
        <v>24.7</v>
      </c>
      <c r="AN27" s="6">
        <f t="shared" si="5"/>
        <v>24.7</v>
      </c>
      <c r="AO27" s="6">
        <f t="shared" si="6"/>
        <v>25.46</v>
      </c>
      <c r="AP27" s="12"/>
      <c r="AQ27" s="12"/>
      <c r="BG27" s="12">
        <v>0.01</v>
      </c>
      <c r="BH27" s="12">
        <v>0.02</v>
      </c>
      <c r="BI27" s="12">
        <v>0.03</v>
      </c>
      <c r="BJ27" s="12">
        <v>0.03</v>
      </c>
      <c r="BQ27"/>
      <c r="BR27"/>
      <c r="BS27"/>
      <c r="BT27"/>
      <c r="BU27"/>
      <c r="BV27"/>
      <c r="BW27"/>
      <c r="BX27"/>
      <c r="BY27"/>
      <c r="BZ27"/>
      <c r="CA27"/>
      <c r="CB27"/>
      <c r="CC27" s="3" t="str">
        <f t="shared" si="7"/>
        <v>Allied-Moulded-HFPP88.jpg</v>
      </c>
      <c r="CD27" s="16" t="s">
        <v>111</v>
      </c>
      <c r="CG27" s="3" t="s">
        <v>4899</v>
      </c>
      <c r="CI27" s="3" t="s">
        <v>97</v>
      </c>
      <c r="CJ27" s="3" t="s">
        <v>385</v>
      </c>
      <c r="CK27" s="3" t="s">
        <v>385</v>
      </c>
      <c r="CL27" s="3" t="s">
        <v>5029</v>
      </c>
    </row>
    <row r="28" spans="1:90" s="3" customFormat="1" ht="15.75">
      <c r="A28" t="s">
        <v>5042</v>
      </c>
      <c r="B28" s="3" t="s">
        <v>5043</v>
      </c>
      <c r="C28" s="16" t="s">
        <v>97</v>
      </c>
      <c r="D28" s="40" t="s">
        <v>5044</v>
      </c>
      <c r="E28" s="16" t="s">
        <v>97</v>
      </c>
      <c r="F28" s="131" t="s">
        <v>5045</v>
      </c>
      <c r="I28" s="100" t="s">
        <v>342</v>
      </c>
      <c r="J28" s="16" t="s">
        <v>101</v>
      </c>
      <c r="K28" s="16"/>
      <c r="L28" s="79" t="s">
        <v>4894</v>
      </c>
      <c r="M28" s="79" t="s">
        <v>4895</v>
      </c>
      <c r="P28" s="3" t="s">
        <v>5046</v>
      </c>
      <c r="Q28" s="3" t="s">
        <v>5046</v>
      </c>
      <c r="R28" s="3" t="s">
        <v>5046</v>
      </c>
      <c r="S28" t="s">
        <v>5042</v>
      </c>
      <c r="T28" s="130" t="s">
        <v>4897</v>
      </c>
      <c r="U28" s="51">
        <v>2</v>
      </c>
      <c r="V28" s="58"/>
      <c r="W28" s="58"/>
      <c r="X28" s="59" t="s">
        <v>108</v>
      </c>
      <c r="Y28" s="93">
        <f t="shared" si="8"/>
        <v>1</v>
      </c>
      <c r="Z28" s="3">
        <v>0</v>
      </c>
      <c r="AA28" s="3" t="s">
        <v>5047</v>
      </c>
      <c r="AD28" s="6">
        <f t="shared" si="0"/>
        <v>28.82</v>
      </c>
      <c r="AE28" s="69">
        <v>32.853681000000002</v>
      </c>
      <c r="AF28" s="17">
        <f t="shared" si="9"/>
        <v>34.583999999999996</v>
      </c>
      <c r="AG28" s="6">
        <f t="shared" si="1"/>
        <v>21.35</v>
      </c>
      <c r="AH28" s="30" t="s">
        <v>110</v>
      </c>
      <c r="AI28" s="3">
        <v>0.65</v>
      </c>
      <c r="AJ28" s="18">
        <v>0.35</v>
      </c>
      <c r="AK28" s="6">
        <f t="shared" si="2"/>
        <v>28.53</v>
      </c>
      <c r="AL28" s="6">
        <f t="shared" si="3"/>
        <v>28.24</v>
      </c>
      <c r="AM28" s="6">
        <f t="shared" si="4"/>
        <v>27.96</v>
      </c>
      <c r="AN28" s="6">
        <f t="shared" si="5"/>
        <v>27.96</v>
      </c>
      <c r="AO28" s="6">
        <f t="shared" si="6"/>
        <v>28.82</v>
      </c>
      <c r="AP28" s="12"/>
      <c r="AQ28" s="12"/>
      <c r="BG28" s="12">
        <v>0.01</v>
      </c>
      <c r="BH28" s="12">
        <v>0.02</v>
      </c>
      <c r="BI28" s="12">
        <v>0.03</v>
      </c>
      <c r="BJ28" s="12">
        <v>0.03</v>
      </c>
      <c r="BQ28"/>
      <c r="BR28"/>
      <c r="BS28"/>
      <c r="BT28"/>
      <c r="BU28"/>
      <c r="BV28"/>
      <c r="BW28"/>
      <c r="BX28"/>
      <c r="BY28"/>
      <c r="BZ28"/>
      <c r="CA28"/>
      <c r="CB28"/>
      <c r="CC28" s="3" t="str">
        <f t="shared" si="7"/>
        <v>Allied-Moulded-HFPP108.jpg</v>
      </c>
      <c r="CD28" s="16" t="s">
        <v>111</v>
      </c>
      <c r="CG28" s="3" t="s">
        <v>4899</v>
      </c>
      <c r="CI28" s="3" t="s">
        <v>97</v>
      </c>
      <c r="CJ28" s="3" t="s">
        <v>167</v>
      </c>
      <c r="CK28" s="3" t="s">
        <v>385</v>
      </c>
      <c r="CL28" s="3" t="s">
        <v>5029</v>
      </c>
    </row>
    <row r="29" spans="1:90" s="3" customFormat="1" ht="15.75">
      <c r="A29" s="79" t="s">
        <v>5048</v>
      </c>
      <c r="B29" s="3" t="s">
        <v>5049</v>
      </c>
      <c r="C29" s="16" t="s">
        <v>97</v>
      </c>
      <c r="D29" s="39" t="s">
        <v>5050</v>
      </c>
      <c r="E29" s="16" t="s">
        <v>97</v>
      </c>
      <c r="F29" s="131" t="s">
        <v>5051</v>
      </c>
      <c r="I29" s="100" t="s">
        <v>342</v>
      </c>
      <c r="J29" s="16" t="s">
        <v>101</v>
      </c>
      <c r="K29" s="16"/>
      <c r="L29" s="79" t="s">
        <v>4894</v>
      </c>
      <c r="M29" s="79" t="s">
        <v>4895</v>
      </c>
      <c r="P29" s="3" t="s">
        <v>5052</v>
      </c>
      <c r="Q29" s="3" t="s">
        <v>5052</v>
      </c>
      <c r="R29" s="3" t="s">
        <v>5052</v>
      </c>
      <c r="S29" t="s">
        <v>5048</v>
      </c>
      <c r="T29" s="130" t="s">
        <v>4897</v>
      </c>
      <c r="U29" s="50">
        <v>2</v>
      </c>
      <c r="V29" s="54"/>
      <c r="W29" s="54"/>
      <c r="X29" s="59" t="s">
        <v>108</v>
      </c>
      <c r="Y29" s="93">
        <f t="shared" si="8"/>
        <v>1</v>
      </c>
      <c r="Z29" s="3">
        <v>0</v>
      </c>
      <c r="AA29" s="3" t="s">
        <v>5053</v>
      </c>
      <c r="AD29" s="6">
        <f t="shared" si="0"/>
        <v>31.39</v>
      </c>
      <c r="AE29" s="69">
        <v>35.762969550000001</v>
      </c>
      <c r="AF29" s="17">
        <f t="shared" si="9"/>
        <v>37.667999999999999</v>
      </c>
      <c r="AG29" s="6">
        <f t="shared" si="1"/>
        <v>23.25</v>
      </c>
      <c r="AH29" s="30" t="s">
        <v>110</v>
      </c>
      <c r="AI29" s="3">
        <v>0.65</v>
      </c>
      <c r="AJ29" s="18">
        <v>0.35</v>
      </c>
      <c r="AK29" s="6">
        <f t="shared" si="2"/>
        <v>31.08</v>
      </c>
      <c r="AL29" s="6">
        <f t="shared" si="3"/>
        <v>30.76</v>
      </c>
      <c r="AM29" s="6">
        <f t="shared" si="4"/>
        <v>30.45</v>
      </c>
      <c r="AN29" s="6">
        <f t="shared" si="5"/>
        <v>30.45</v>
      </c>
      <c r="AO29" s="6">
        <f t="shared" si="6"/>
        <v>31.39</v>
      </c>
      <c r="AP29" s="12"/>
      <c r="AQ29" s="12"/>
      <c r="BG29" s="12">
        <v>0.01</v>
      </c>
      <c r="BH29" s="12">
        <v>0.02</v>
      </c>
      <c r="BI29" s="12">
        <v>0.03</v>
      </c>
      <c r="BJ29" s="12">
        <v>0.03</v>
      </c>
      <c r="BQ29"/>
      <c r="BR29"/>
      <c r="BS29"/>
      <c r="BT29"/>
      <c r="BU29"/>
      <c r="BV29"/>
      <c r="BW29"/>
      <c r="BX29"/>
      <c r="BY29"/>
      <c r="BZ29"/>
      <c r="CA29"/>
      <c r="CB29"/>
      <c r="CC29" s="3" t="str">
        <f t="shared" si="7"/>
        <v>Allied-Moulded-HFPP120.jpg</v>
      </c>
      <c r="CD29" s="16" t="s">
        <v>111</v>
      </c>
      <c r="CG29" s="3" t="s">
        <v>4899</v>
      </c>
      <c r="CI29" s="3" t="s">
        <v>97</v>
      </c>
      <c r="CJ29" s="3" t="s">
        <v>125</v>
      </c>
      <c r="CK29" s="3" t="s">
        <v>167</v>
      </c>
      <c r="CL29" s="3" t="s">
        <v>5029</v>
      </c>
    </row>
    <row r="30" spans="1:90" s="3" customFormat="1" ht="15.75">
      <c r="A30" t="s">
        <v>5054</v>
      </c>
      <c r="B30" s="3" t="s">
        <v>5055</v>
      </c>
      <c r="C30" s="16" t="s">
        <v>97</v>
      </c>
      <c r="D30" s="40" t="s">
        <v>5056</v>
      </c>
      <c r="E30" s="16" t="s">
        <v>97</v>
      </c>
      <c r="F30" s="131" t="s">
        <v>5057</v>
      </c>
      <c r="I30" s="100" t="s">
        <v>342</v>
      </c>
      <c r="J30" s="16" t="s">
        <v>101</v>
      </c>
      <c r="K30" s="16"/>
      <c r="L30" s="79" t="s">
        <v>4894</v>
      </c>
      <c r="M30" s="79" t="s">
        <v>4895</v>
      </c>
      <c r="P30" s="3" t="s">
        <v>5058</v>
      </c>
      <c r="Q30" s="3" t="s">
        <v>5058</v>
      </c>
      <c r="R30" s="3" t="s">
        <v>5058</v>
      </c>
      <c r="S30" t="s">
        <v>5054</v>
      </c>
      <c r="T30" s="130" t="s">
        <v>4897</v>
      </c>
      <c r="U30" s="51">
        <v>2</v>
      </c>
      <c r="V30" s="58"/>
      <c r="W30" s="58"/>
      <c r="X30" s="59" t="s">
        <v>108</v>
      </c>
      <c r="Y30" s="93">
        <f t="shared" si="8"/>
        <v>1</v>
      </c>
      <c r="Z30" s="3">
        <v>0</v>
      </c>
      <c r="AA30" s="3" t="s">
        <v>5059</v>
      </c>
      <c r="AD30" s="6">
        <f t="shared" si="0"/>
        <v>40.18</v>
      </c>
      <c r="AE30" s="69">
        <v>45.782276400000001</v>
      </c>
      <c r="AF30" s="17">
        <f t="shared" si="9"/>
        <v>48.216000000000001</v>
      </c>
      <c r="AG30" s="6">
        <f t="shared" si="1"/>
        <v>29.76</v>
      </c>
      <c r="AH30" s="30" t="s">
        <v>110</v>
      </c>
      <c r="AI30" s="3">
        <v>0.65</v>
      </c>
      <c r="AJ30" s="18">
        <v>0.35</v>
      </c>
      <c r="AK30" s="6">
        <f t="shared" si="2"/>
        <v>39.78</v>
      </c>
      <c r="AL30" s="6">
        <f t="shared" si="3"/>
        <v>39.380000000000003</v>
      </c>
      <c r="AM30" s="6">
        <f t="shared" si="4"/>
        <v>38.97</v>
      </c>
      <c r="AN30" s="6">
        <f t="shared" si="5"/>
        <v>38.97</v>
      </c>
      <c r="AO30" s="6">
        <f t="shared" si="6"/>
        <v>40.18</v>
      </c>
      <c r="AP30" s="12"/>
      <c r="AQ30" s="12"/>
      <c r="BG30" s="12">
        <v>0.01</v>
      </c>
      <c r="BH30" s="12">
        <v>0.02</v>
      </c>
      <c r="BI30" s="12">
        <v>0.03</v>
      </c>
      <c r="BJ30" s="12">
        <v>0.03</v>
      </c>
      <c r="BQ30"/>
      <c r="BR30"/>
      <c r="BS30"/>
      <c r="BT30"/>
      <c r="BU30"/>
      <c r="BV30"/>
      <c r="BW30"/>
      <c r="BX30"/>
      <c r="BY30"/>
      <c r="BZ30"/>
      <c r="CA30"/>
      <c r="CB30"/>
      <c r="CC30" s="3" t="str">
        <f t="shared" si="7"/>
        <v>Allied-Moulded-HFPP142.jpg</v>
      </c>
      <c r="CD30" s="16" t="s">
        <v>111</v>
      </c>
      <c r="CG30" s="3" t="s">
        <v>4899</v>
      </c>
      <c r="CI30" s="3" t="s">
        <v>97</v>
      </c>
      <c r="CJ30" s="3" t="s">
        <v>1037</v>
      </c>
      <c r="CK30" s="3" t="s">
        <v>125</v>
      </c>
      <c r="CL30" s="3" t="s">
        <v>5029</v>
      </c>
    </row>
    <row r="31" spans="1:90" s="3" customFormat="1" ht="15.75">
      <c r="A31" t="s">
        <v>5060</v>
      </c>
      <c r="B31" s="3" t="s">
        <v>5061</v>
      </c>
      <c r="C31" s="16" t="s">
        <v>97</v>
      </c>
      <c r="D31" s="39" t="s">
        <v>5062</v>
      </c>
      <c r="E31" s="16" t="s">
        <v>97</v>
      </c>
      <c r="F31" s="131" t="s">
        <v>5063</v>
      </c>
      <c r="I31" s="100" t="s">
        <v>342</v>
      </c>
      <c r="J31" s="16" t="s">
        <v>101</v>
      </c>
      <c r="K31" s="16"/>
      <c r="L31" s="79" t="s">
        <v>4894</v>
      </c>
      <c r="M31" s="79" t="s">
        <v>4895</v>
      </c>
      <c r="P31" s="3" t="s">
        <v>5064</v>
      </c>
      <c r="Q31" s="3" t="s">
        <v>5064</v>
      </c>
      <c r="R31" s="3" t="s">
        <v>5064</v>
      </c>
      <c r="S31" t="s">
        <v>5060</v>
      </c>
      <c r="T31" s="130" t="s">
        <v>4897</v>
      </c>
      <c r="U31" s="50">
        <v>3</v>
      </c>
      <c r="V31" s="54"/>
      <c r="W31" s="54"/>
      <c r="X31" s="59" t="s">
        <v>108</v>
      </c>
      <c r="Y31" s="93">
        <f t="shared" si="8"/>
        <v>1</v>
      </c>
      <c r="Z31" s="3">
        <v>0</v>
      </c>
      <c r="AA31" s="3" t="s">
        <v>5065</v>
      </c>
      <c r="AD31" s="6">
        <f t="shared" si="0"/>
        <v>42.65</v>
      </c>
      <c r="AE31" s="69">
        <v>48.606418349999991</v>
      </c>
      <c r="AF31" s="17">
        <f t="shared" si="9"/>
        <v>51.18</v>
      </c>
      <c r="AG31" s="6">
        <f t="shared" si="1"/>
        <v>31.59</v>
      </c>
      <c r="AH31" s="30" t="s">
        <v>110</v>
      </c>
      <c r="AI31" s="3">
        <v>0.65</v>
      </c>
      <c r="AJ31" s="18">
        <v>0.35</v>
      </c>
      <c r="AK31" s="6">
        <f t="shared" si="2"/>
        <v>42.22</v>
      </c>
      <c r="AL31" s="6">
        <f t="shared" si="3"/>
        <v>41.8</v>
      </c>
      <c r="AM31" s="6">
        <f t="shared" si="4"/>
        <v>41.37</v>
      </c>
      <c r="AN31" s="6">
        <f t="shared" si="5"/>
        <v>41.37</v>
      </c>
      <c r="AO31" s="6">
        <f t="shared" si="6"/>
        <v>42.65</v>
      </c>
      <c r="AP31" s="12"/>
      <c r="AQ31" s="12"/>
      <c r="BG31" s="12">
        <v>0.01</v>
      </c>
      <c r="BH31" s="12">
        <v>0.02</v>
      </c>
      <c r="BI31" s="12">
        <v>0.03</v>
      </c>
      <c r="BJ31" s="12">
        <v>0.03</v>
      </c>
      <c r="BQ31"/>
      <c r="BR31"/>
      <c r="BS31"/>
      <c r="BT31"/>
      <c r="BU31"/>
      <c r="BV31"/>
      <c r="BW31"/>
      <c r="BX31"/>
      <c r="BY31"/>
      <c r="BZ31"/>
      <c r="CA31"/>
      <c r="CB31"/>
      <c r="CC31" s="3" t="str">
        <f t="shared" si="7"/>
        <v>Allied-Moulded-HFPP164.jpg</v>
      </c>
      <c r="CD31" s="16" t="s">
        <v>111</v>
      </c>
      <c r="CG31" s="3" t="s">
        <v>4899</v>
      </c>
      <c r="CI31" s="3" t="s">
        <v>97</v>
      </c>
      <c r="CJ31" s="3" t="s">
        <v>242</v>
      </c>
      <c r="CK31" s="3" t="s">
        <v>1037</v>
      </c>
      <c r="CL31" s="3" t="s">
        <v>5029</v>
      </c>
    </row>
    <row r="32" spans="1:90" s="3" customFormat="1" ht="15.75">
      <c r="A32" t="s">
        <v>5066</v>
      </c>
      <c r="B32" s="3" t="s">
        <v>5067</v>
      </c>
      <c r="C32" s="16" t="s">
        <v>97</v>
      </c>
      <c r="D32" s="40" t="s">
        <v>5068</v>
      </c>
      <c r="E32" s="16" t="s">
        <v>97</v>
      </c>
      <c r="I32" s="100" t="s">
        <v>342</v>
      </c>
      <c r="J32" s="16" t="s">
        <v>101</v>
      </c>
      <c r="K32" s="16"/>
      <c r="L32" s="79" t="s">
        <v>4894</v>
      </c>
      <c r="M32" s="79" t="s">
        <v>4895</v>
      </c>
      <c r="P32" s="3" t="s">
        <v>5069</v>
      </c>
      <c r="Q32" s="3" t="s">
        <v>5069</v>
      </c>
      <c r="R32" s="3" t="s">
        <v>5069</v>
      </c>
      <c r="S32" t="s">
        <v>5066</v>
      </c>
      <c r="T32"/>
      <c r="U32" s="51">
        <v>4</v>
      </c>
      <c r="V32" s="58"/>
      <c r="W32" s="58"/>
      <c r="X32" s="59" t="s">
        <v>108</v>
      </c>
      <c r="Y32" s="93">
        <f t="shared" si="8"/>
        <v>1</v>
      </c>
      <c r="Z32" s="3">
        <v>0</v>
      </c>
      <c r="AA32" s="3" t="s">
        <v>5070</v>
      </c>
      <c r="AD32" s="6">
        <f t="shared" si="0"/>
        <v>46.39</v>
      </c>
      <c r="AE32" s="69">
        <v>52.863914250000001</v>
      </c>
      <c r="AF32" s="17">
        <f t="shared" si="9"/>
        <v>55.667999999999999</v>
      </c>
      <c r="AG32" s="6">
        <f t="shared" si="1"/>
        <v>34.36</v>
      </c>
      <c r="AH32" s="30" t="s">
        <v>110</v>
      </c>
      <c r="AI32" s="3">
        <v>0.65</v>
      </c>
      <c r="AJ32" s="18">
        <v>0.35</v>
      </c>
      <c r="AK32" s="6">
        <f t="shared" si="2"/>
        <v>45.93</v>
      </c>
      <c r="AL32" s="6">
        <f t="shared" si="3"/>
        <v>45.46</v>
      </c>
      <c r="AM32" s="6">
        <f t="shared" si="4"/>
        <v>45</v>
      </c>
      <c r="AN32" s="6">
        <f t="shared" si="5"/>
        <v>45</v>
      </c>
      <c r="AO32" s="6">
        <f t="shared" si="6"/>
        <v>46.39</v>
      </c>
      <c r="AP32" s="12"/>
      <c r="AQ32" s="12"/>
      <c r="BG32" s="12">
        <v>0.01</v>
      </c>
      <c r="BH32" s="12">
        <v>0.02</v>
      </c>
      <c r="BI32" s="12">
        <v>0.03</v>
      </c>
      <c r="BJ32" s="12">
        <v>0.03</v>
      </c>
      <c r="BQ32"/>
      <c r="BR32"/>
      <c r="BS32"/>
      <c r="BT32"/>
      <c r="BU32"/>
      <c r="BV32"/>
      <c r="BW32"/>
      <c r="BX32"/>
      <c r="BY32"/>
      <c r="BZ32"/>
      <c r="CA32"/>
      <c r="CB32"/>
      <c r="CC32" s="3" t="str">
        <f t="shared" si="7"/>
        <v>Allied-Moulded-HFPP186.jpg</v>
      </c>
      <c r="CD32" s="16" t="s">
        <v>111</v>
      </c>
      <c r="CG32" s="3" t="s">
        <v>4899</v>
      </c>
      <c r="CI32" s="3" t="s">
        <v>97</v>
      </c>
      <c r="CJ32" s="3" t="s">
        <v>1814</v>
      </c>
      <c r="CK32" s="3" t="s">
        <v>242</v>
      </c>
      <c r="CL32" s="3" t="s">
        <v>5029</v>
      </c>
    </row>
    <row r="33" spans="1:90" ht="15.75">
      <c r="A33" s="206" t="s">
        <v>6489</v>
      </c>
      <c r="B33" t="s">
        <v>6492</v>
      </c>
      <c r="C33" s="16" t="s">
        <v>97</v>
      </c>
      <c r="D33" t="s">
        <v>6495</v>
      </c>
      <c r="E33" s="16" t="s">
        <v>97</v>
      </c>
      <c r="I33" s="100" t="s">
        <v>342</v>
      </c>
      <c r="J33" s="16" t="s">
        <v>101</v>
      </c>
      <c r="L33" s="79" t="s">
        <v>4894</v>
      </c>
      <c r="M33" s="79" t="s">
        <v>4895</v>
      </c>
      <c r="P33" t="s">
        <v>6498</v>
      </c>
      <c r="Q33" t="s">
        <v>6498</v>
      </c>
      <c r="R33" t="s">
        <v>6498</v>
      </c>
      <c r="S33" s="206" t="s">
        <v>6489</v>
      </c>
      <c r="T33" t="s">
        <v>6514</v>
      </c>
      <c r="U33">
        <v>2</v>
      </c>
      <c r="X33" s="59"/>
      <c r="Y33" s="93">
        <f t="shared" ref="Y33:Y35" si="10">IF(AD33=0, 0, IF(OR(H33="", H33&lt;&gt;0), 1, 0))</f>
        <v>1</v>
      </c>
      <c r="Z33" s="3">
        <v>0</v>
      </c>
      <c r="AA33" t="s">
        <v>6501</v>
      </c>
      <c r="AD33" s="6">
        <f t="shared" si="0"/>
        <v>35.94</v>
      </c>
      <c r="AE33" s="264">
        <v>40.946984399999998</v>
      </c>
      <c r="AF33" s="17">
        <f t="shared" ref="AF33:AF35" si="11">AD33*1.2</f>
        <v>43.127999999999993</v>
      </c>
      <c r="AG33" s="6">
        <f t="shared" ref="AG33:AG35" si="12">ROUND((AE33*AI33),2)</f>
        <v>26.62</v>
      </c>
      <c r="AH33" s="59"/>
      <c r="AI33">
        <v>0.65</v>
      </c>
      <c r="AJ33" s="18">
        <v>0.35</v>
      </c>
      <c r="AK33" s="6">
        <f t="shared" ref="AK33:AK35" si="13">ROUND((AD33-(AD33*BG33)),2)</f>
        <v>35.58</v>
      </c>
      <c r="AL33" s="6">
        <f t="shared" ref="AL33:AL35" si="14">ROUND((AD33-(AD33*BH33)),2)</f>
        <v>35.22</v>
      </c>
      <c r="AM33" s="6">
        <f t="shared" ref="AM33:AM35" si="15">ROUND((AD33-(AD33*BI33)),2)</f>
        <v>34.86</v>
      </c>
      <c r="AN33" s="6">
        <f t="shared" ref="AN33:AN35" si="16">ROUND((AD33-(AD33*BJ33)),2)</f>
        <v>34.86</v>
      </c>
      <c r="AO33" s="6">
        <f t="shared" ref="AO33:AO35" si="17">ROUND((AD33-(AD33*BK33)),2)</f>
        <v>35.94</v>
      </c>
      <c r="AP33" s="12"/>
      <c r="AQ33" s="12"/>
      <c r="AR33" s="3"/>
      <c r="AS33" s="3"/>
      <c r="AT33" s="3"/>
      <c r="AU33" s="3"/>
      <c r="AV33" s="3"/>
      <c r="AW33" s="3"/>
      <c r="AX33" s="3"/>
      <c r="AY33" s="3"/>
      <c r="AZ33" s="3"/>
      <c r="BA33" s="3"/>
      <c r="BB33" s="3"/>
      <c r="BC33" s="3"/>
      <c r="BD33" s="3"/>
      <c r="BE33" s="3"/>
      <c r="BF33" s="3"/>
      <c r="BG33" s="12">
        <v>0.01</v>
      </c>
      <c r="BH33" s="12">
        <v>0.02</v>
      </c>
      <c r="BI33" s="12">
        <v>0.03</v>
      </c>
      <c r="BJ33" s="12">
        <v>0.03</v>
      </c>
      <c r="BK33" s="3"/>
      <c r="BL33" s="3"/>
      <c r="BM33" s="3"/>
      <c r="BN33" s="3"/>
      <c r="BO33" s="3"/>
      <c r="BP33" s="3"/>
      <c r="CC33" s="3" t="str">
        <f t="shared" ref="CC33:CC35" si="18">IF(B33&lt;&gt;"",CONCATENATE(SUBSTITUTE(B33," ","-"),".jpg"),"")</f>
        <v>Allied-Moulded-HFPP1212.jpg</v>
      </c>
      <c r="CD33" s="16" t="s">
        <v>111</v>
      </c>
      <c r="CE33" s="3"/>
      <c r="CF33" s="3"/>
      <c r="CG33" s="3" t="s">
        <v>4899</v>
      </c>
      <c r="CI33" s="3" t="s">
        <v>97</v>
      </c>
      <c r="CJ33" s="3" t="s">
        <v>125</v>
      </c>
      <c r="CK33" s="3" t="s">
        <v>125</v>
      </c>
      <c r="CL33" s="3" t="s">
        <v>5029</v>
      </c>
    </row>
    <row r="34" spans="1:90" ht="15.75">
      <c r="A34" t="s">
        <v>6490</v>
      </c>
      <c r="B34" t="s">
        <v>6493</v>
      </c>
      <c r="C34" s="16" t="s">
        <v>97</v>
      </c>
      <c r="D34" t="s">
        <v>6496</v>
      </c>
      <c r="E34" s="16" t="s">
        <v>97</v>
      </c>
      <c r="I34" s="100" t="s">
        <v>342</v>
      </c>
      <c r="J34" s="16" t="s">
        <v>101</v>
      </c>
      <c r="L34" s="79" t="s">
        <v>4894</v>
      </c>
      <c r="M34" s="79" t="s">
        <v>4895</v>
      </c>
      <c r="P34" t="s">
        <v>6499</v>
      </c>
      <c r="Q34" t="s">
        <v>6499</v>
      </c>
      <c r="R34" t="s">
        <v>6499</v>
      </c>
      <c r="S34" t="s">
        <v>6490</v>
      </c>
      <c r="T34" t="s">
        <v>6514</v>
      </c>
      <c r="U34">
        <v>4</v>
      </c>
      <c r="X34" s="59"/>
      <c r="Y34" s="93">
        <f t="shared" si="10"/>
        <v>1</v>
      </c>
      <c r="Z34" s="3">
        <v>0</v>
      </c>
      <c r="AA34" t="s">
        <v>6502</v>
      </c>
      <c r="AD34" s="6">
        <f t="shared" si="0"/>
        <v>50.13</v>
      </c>
      <c r="AE34" s="264">
        <v>57.119771099999994</v>
      </c>
      <c r="AF34" s="17">
        <f t="shared" si="11"/>
        <v>60.155999999999999</v>
      </c>
      <c r="AG34" s="6">
        <f t="shared" si="12"/>
        <v>37.130000000000003</v>
      </c>
      <c r="AH34" s="59"/>
      <c r="AI34">
        <v>0.65</v>
      </c>
      <c r="AJ34" s="18">
        <v>0.35</v>
      </c>
      <c r="AK34" s="6">
        <f t="shared" si="13"/>
        <v>49.63</v>
      </c>
      <c r="AL34" s="6">
        <f t="shared" si="14"/>
        <v>49.13</v>
      </c>
      <c r="AM34" s="6">
        <f t="shared" si="15"/>
        <v>48.63</v>
      </c>
      <c r="AN34" s="6">
        <f t="shared" si="16"/>
        <v>48.63</v>
      </c>
      <c r="AO34" s="6">
        <f t="shared" si="17"/>
        <v>50.13</v>
      </c>
      <c r="AP34" s="12"/>
      <c r="AQ34" s="12"/>
      <c r="AR34" s="3"/>
      <c r="AS34" s="3"/>
      <c r="AT34" s="3"/>
      <c r="AU34" s="3"/>
      <c r="AV34" s="3"/>
      <c r="AW34" s="3"/>
      <c r="AX34" s="3"/>
      <c r="AY34" s="3"/>
      <c r="AZ34" s="3"/>
      <c r="BA34" s="3"/>
      <c r="BB34" s="3"/>
      <c r="BC34" s="3"/>
      <c r="BD34" s="3"/>
      <c r="BE34" s="3"/>
      <c r="BF34" s="3"/>
      <c r="BG34" s="12">
        <v>0.01</v>
      </c>
      <c r="BH34" s="12">
        <v>0.02</v>
      </c>
      <c r="BI34" s="12">
        <v>0.03</v>
      </c>
      <c r="BJ34" s="12">
        <v>0.03</v>
      </c>
      <c r="BK34" s="3"/>
      <c r="BL34" s="3"/>
      <c r="BM34" s="3"/>
      <c r="BN34" s="3"/>
      <c r="BO34" s="3"/>
      <c r="BP34" s="3"/>
      <c r="CC34" s="3" t="str">
        <f t="shared" si="18"/>
        <v>Allied-Moulded-HFPP206.jpg</v>
      </c>
      <c r="CD34" s="16" t="s">
        <v>111</v>
      </c>
      <c r="CE34" s="3"/>
      <c r="CF34" s="3"/>
      <c r="CG34" s="3" t="s">
        <v>4899</v>
      </c>
      <c r="CI34" s="3" t="s">
        <v>97</v>
      </c>
      <c r="CJ34" s="3" t="s">
        <v>2145</v>
      </c>
      <c r="CK34" s="3" t="s">
        <v>242</v>
      </c>
      <c r="CL34" s="3" t="s">
        <v>5029</v>
      </c>
    </row>
    <row r="35" spans="1:90" ht="15.75">
      <c r="A35" t="s">
        <v>6491</v>
      </c>
      <c r="B35" t="s">
        <v>6494</v>
      </c>
      <c r="C35" s="16" t="s">
        <v>97</v>
      </c>
      <c r="D35" t="s">
        <v>6497</v>
      </c>
      <c r="E35" s="16" t="s">
        <v>97</v>
      </c>
      <c r="I35" s="100" t="s">
        <v>342</v>
      </c>
      <c r="J35" s="16" t="s">
        <v>101</v>
      </c>
      <c r="L35" s="79" t="s">
        <v>4894</v>
      </c>
      <c r="M35" s="79" t="s">
        <v>4895</v>
      </c>
      <c r="P35" t="s">
        <v>6500</v>
      </c>
      <c r="Q35" t="s">
        <v>6500</v>
      </c>
      <c r="R35" t="s">
        <v>6500</v>
      </c>
      <c r="S35" t="s">
        <v>6491</v>
      </c>
      <c r="T35" t="s">
        <v>6514</v>
      </c>
      <c r="U35">
        <v>2</v>
      </c>
      <c r="X35" s="59"/>
      <c r="Y35" s="93">
        <f t="shared" si="10"/>
        <v>1</v>
      </c>
      <c r="Z35" s="3">
        <v>0</v>
      </c>
      <c r="AA35" t="s">
        <v>6503</v>
      </c>
      <c r="AD35" s="6">
        <f t="shared" si="0"/>
        <v>49.99</v>
      </c>
      <c r="AE35" s="264">
        <v>56.962500000000006</v>
      </c>
      <c r="AF35" s="17">
        <f t="shared" si="11"/>
        <v>59.988</v>
      </c>
      <c r="AG35" s="6">
        <f t="shared" si="12"/>
        <v>37.03</v>
      </c>
      <c r="AH35" s="59"/>
      <c r="AI35">
        <v>0.65</v>
      </c>
      <c r="AJ35" s="18">
        <v>0.35</v>
      </c>
      <c r="AK35" s="6">
        <f t="shared" si="13"/>
        <v>49.49</v>
      </c>
      <c r="AL35" s="6">
        <f t="shared" si="14"/>
        <v>48.99</v>
      </c>
      <c r="AM35" s="6">
        <f t="shared" si="15"/>
        <v>48.49</v>
      </c>
      <c r="AN35" s="6">
        <f t="shared" si="16"/>
        <v>48.49</v>
      </c>
      <c r="AO35" s="6">
        <f t="shared" si="17"/>
        <v>49.99</v>
      </c>
      <c r="AP35" s="12"/>
      <c r="AQ35" s="12"/>
      <c r="AR35" s="3"/>
      <c r="AS35" s="3"/>
      <c r="AT35" s="3"/>
      <c r="AU35" s="3"/>
      <c r="AV35" s="3"/>
      <c r="AW35" s="3"/>
      <c r="AX35" s="3"/>
      <c r="AY35" s="3"/>
      <c r="AZ35" s="3"/>
      <c r="BA35" s="3"/>
      <c r="BB35" s="3"/>
      <c r="BC35" s="3"/>
      <c r="BD35" s="3"/>
      <c r="BE35" s="3"/>
      <c r="BF35" s="3"/>
      <c r="BG35" s="12">
        <v>0.01</v>
      </c>
      <c r="BH35" s="12">
        <v>0.02</v>
      </c>
      <c r="BI35" s="12">
        <v>0.03</v>
      </c>
      <c r="BJ35" s="12">
        <v>0.03</v>
      </c>
      <c r="BK35" s="3"/>
      <c r="BL35" s="3"/>
      <c r="BM35" s="3"/>
      <c r="BN35" s="3"/>
      <c r="BO35" s="3"/>
      <c r="BP35" s="3"/>
      <c r="CC35" s="3" t="str">
        <f t="shared" si="18"/>
        <v>Allied-Moulded-HFPU88.jpg</v>
      </c>
      <c r="CD35" s="16" t="s">
        <v>111</v>
      </c>
      <c r="CE35" s="3"/>
      <c r="CF35" s="3"/>
      <c r="CG35" s="3" t="s">
        <v>4899</v>
      </c>
      <c r="CI35" s="3" t="s">
        <v>97</v>
      </c>
      <c r="CJ35" s="3" t="s">
        <v>385</v>
      </c>
      <c r="CK35" s="3" t="s">
        <v>385</v>
      </c>
      <c r="CL35" s="3" t="s">
        <v>4954</v>
      </c>
    </row>
  </sheetData>
  <autoFilter ref="A3:DK3" xr:uid="{A0B45C8D-56F8-44EE-A489-EFDD08EE95FC}"/>
  <phoneticPr fontId="14" type="noConversion"/>
  <conditionalFormatting sqref="Y1">
    <cfRule type="colorScale" priority="1">
      <colorScale>
        <cfvo type="num" val="0"/>
        <cfvo type="num" val="1"/>
        <color rgb="FFFF0000"/>
        <color rgb="FFFFFF00"/>
      </colorScale>
    </cfRule>
  </conditionalFormatting>
  <conditionalFormatting sqref="Y5:AD23 AG25:AJ32 Y25:AD32 Z4:AD4 AG4:AJ23 Y32:Z35 AD33:AD35 AG33:AG35 AJ32:AJ35">
    <cfRule type="colorScale" priority="9">
      <colorScale>
        <cfvo type="num" val="0"/>
        <cfvo type="num" val="1"/>
        <color rgb="FFFF0000"/>
        <color rgb="FFFFFF00"/>
      </colorScale>
    </cfRule>
  </conditionalFormatting>
  <conditionalFormatting sqref="Y24:AD24 AG24:AJ24">
    <cfRule type="colorScale" priority="6">
      <colorScale>
        <cfvo type="num" val="0"/>
        <cfvo type="num" val="1"/>
        <color rgb="FFFF0000"/>
        <color rgb="FFFFFF00"/>
      </colorScale>
    </cfRule>
  </conditionalFormatting>
  <conditionalFormatting sqref="AF4:AF35">
    <cfRule type="colorScale" priority="4">
      <colorScale>
        <cfvo type="num" val="0"/>
        <cfvo type="num" val="1"/>
        <color rgb="FFFF0000"/>
        <color rgb="FFFFFF00"/>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596ED-821D-48C2-89DA-F7A0B6F6B9C3}">
  <sheetPr codeName="Sheet3"/>
  <dimension ref="A1:DE81"/>
  <sheetViews>
    <sheetView zoomScale="85" zoomScaleNormal="85" workbookViewId="0">
      <pane xSplit="1" ySplit="3" topLeftCell="S64" activePane="bottomRight" state="frozen"/>
      <selection pane="topRight" activeCell="A22" sqref="A22"/>
      <selection pane="bottomLeft" activeCell="A22" sqref="A22"/>
      <selection pane="bottomRight" activeCell="R19" sqref="R19"/>
    </sheetView>
  </sheetViews>
  <sheetFormatPr defaultColWidth="9.140625" defaultRowHeight="15" customHeight="1"/>
  <cols>
    <col min="1" max="1" width="50.85546875" style="19" customWidth="1"/>
    <col min="2" max="2" width="29.42578125" style="3" customWidth="1"/>
    <col min="3" max="3" width="22.5703125" style="3" customWidth="1"/>
    <col min="4" max="4" width="23.140625" style="3" customWidth="1"/>
    <col min="5" max="5" width="15" style="3" customWidth="1"/>
    <col min="6" max="6" width="16.42578125" style="3" customWidth="1"/>
    <col min="7" max="8" width="13.85546875" style="3" customWidth="1"/>
    <col min="9" max="9" width="9.140625" style="3"/>
    <col min="10" max="10" width="39" style="3" customWidth="1"/>
    <col min="11" max="11" width="15.42578125" style="3" customWidth="1"/>
    <col min="12" max="12" width="66.85546875" style="3" customWidth="1"/>
    <col min="13" max="13" width="28.85546875" style="3" customWidth="1"/>
    <col min="14" max="14" width="29.42578125" style="3" customWidth="1"/>
    <col min="15" max="15" width="23.42578125" style="3" customWidth="1"/>
    <col min="16" max="16" width="146.42578125" style="3" customWidth="1"/>
    <col min="17" max="17" width="58.42578125" style="3" customWidth="1"/>
    <col min="18" max="18" width="49.42578125" style="5" customWidth="1"/>
    <col min="19" max="20" width="32.42578125" style="5" customWidth="1"/>
    <col min="21" max="23" width="9.140625" style="6"/>
    <col min="24" max="24" width="14.5703125" style="7" bestFit="1" customWidth="1"/>
    <col min="25" max="25" width="10" style="8" customWidth="1"/>
    <col min="26" max="27" width="11.5703125" style="3" customWidth="1"/>
    <col min="28" max="28" width="15.5703125" style="3" bestFit="1" customWidth="1"/>
    <col min="29" max="29" width="11.5703125" style="3" customWidth="1"/>
    <col min="30" max="30" width="10.5703125" style="6" customWidth="1"/>
    <col min="31" max="31" width="13.85546875" style="9" customWidth="1"/>
    <col min="32" max="32" width="9.85546875" style="10" customWidth="1"/>
    <col min="33" max="33" width="9.140625" style="6"/>
    <col min="34" max="34" width="13.42578125" style="3" customWidth="1"/>
    <col min="35" max="35" width="9.140625" style="11"/>
    <col min="36" max="36" width="9.140625" style="3"/>
    <col min="37" max="41" width="9.140625" style="6"/>
    <col min="42" max="43" width="0" style="12" hidden="1" customWidth="1"/>
    <col min="44" max="58" width="0" style="3" hidden="1" customWidth="1"/>
    <col min="59" max="59" width="17.42578125" style="3" customWidth="1"/>
    <col min="60" max="60" width="12.42578125" style="3" customWidth="1"/>
    <col min="61" max="61" width="9.140625" style="3"/>
    <col min="62" max="62" width="15.42578125" style="3" bestFit="1" customWidth="1"/>
    <col min="63" max="63" width="15.42578125" style="3" customWidth="1"/>
    <col min="64" max="68" width="0" style="3" hidden="1" customWidth="1"/>
    <col min="69" max="72" width="0" style="222" hidden="1" customWidth="1"/>
    <col min="73" max="73" width="16.42578125" style="222" hidden="1" customWidth="1"/>
    <col min="74" max="77" width="0" style="222" hidden="1" customWidth="1"/>
    <col min="78" max="78" width="16.42578125" style="222" hidden="1" customWidth="1"/>
    <col min="79" max="79" width="0" style="222" hidden="1" customWidth="1"/>
    <col min="80" max="80" width="16.42578125" style="222" hidden="1" customWidth="1"/>
    <col min="81" max="84" width="31.85546875" style="13" customWidth="1"/>
    <col min="85" max="87" width="27.85546875" style="3" customWidth="1"/>
    <col min="88" max="88" width="27.85546875" style="3" bestFit="1" customWidth="1"/>
    <col min="89" max="89" width="37.42578125" style="3" bestFit="1" customWidth="1"/>
    <col min="90" max="90" width="36.5703125" style="3" bestFit="1" customWidth="1"/>
    <col min="91" max="91" width="31.42578125" style="3" customWidth="1"/>
    <col min="92" max="92" width="29.140625" style="3" customWidth="1"/>
    <col min="93" max="93" width="21.42578125" style="3" customWidth="1"/>
    <col min="94" max="94" width="29.140625" style="3" customWidth="1"/>
    <col min="95" max="95" width="20.140625" style="3" customWidth="1"/>
    <col min="96" max="16384" width="9.140625" style="3"/>
  </cols>
  <sheetData>
    <row r="1" spans="1:109" ht="15" customHeight="1">
      <c r="A1" s="207" t="s">
        <v>0</v>
      </c>
      <c r="B1" s="158"/>
      <c r="C1" s="208"/>
      <c r="D1" s="160"/>
      <c r="E1" s="208"/>
      <c r="F1" s="161"/>
      <c r="G1" s="161"/>
      <c r="H1" s="162"/>
      <c r="I1" s="162"/>
      <c r="J1" s="161"/>
      <c r="K1" s="162"/>
      <c r="L1" s="163" t="s">
        <v>1</v>
      </c>
      <c r="M1" s="164">
        <v>3</v>
      </c>
      <c r="N1" s="208" t="s">
        <v>2</v>
      </c>
      <c r="O1" s="208"/>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209"/>
      <c r="CE1" s="209"/>
      <c r="CF1" s="209"/>
    </row>
    <row r="2" spans="1:109" ht="15" customHeight="1">
      <c r="A2" s="172" t="s">
        <v>6023</v>
      </c>
      <c r="B2" s="173" t="s">
        <v>4424</v>
      </c>
      <c r="C2" s="174" t="s">
        <v>5</v>
      </c>
      <c r="D2" s="175" t="s">
        <v>4425</v>
      </c>
      <c r="E2" s="174" t="s">
        <v>6</v>
      </c>
      <c r="F2" s="141" t="s">
        <v>6024</v>
      </c>
      <c r="G2" s="210" t="s">
        <v>7</v>
      </c>
      <c r="H2" s="211" t="s">
        <v>8</v>
      </c>
      <c r="I2" s="177" t="s">
        <v>6025</v>
      </c>
      <c r="J2" s="141" t="s">
        <v>6026</v>
      </c>
      <c r="K2" s="211" t="s">
        <v>10</v>
      </c>
      <c r="L2" s="141" t="s">
        <v>11</v>
      </c>
      <c r="M2" s="141" t="s">
        <v>12</v>
      </c>
      <c r="N2" s="141" t="s">
        <v>13</v>
      </c>
      <c r="O2" s="141" t="s">
        <v>14</v>
      </c>
      <c r="P2" s="141" t="s">
        <v>15</v>
      </c>
      <c r="Q2" s="141" t="s">
        <v>16</v>
      </c>
      <c r="R2" s="178" t="s">
        <v>17</v>
      </c>
      <c r="S2" s="178" t="s">
        <v>18</v>
      </c>
      <c r="T2" s="178" t="s">
        <v>19</v>
      </c>
      <c r="U2" s="142" t="s">
        <v>6027</v>
      </c>
      <c r="V2" s="142" t="s">
        <v>20</v>
      </c>
      <c r="W2" s="177" t="s">
        <v>21</v>
      </c>
      <c r="X2" s="212" t="s">
        <v>22</v>
      </c>
      <c r="Y2" s="180" t="s">
        <v>23</v>
      </c>
      <c r="Z2" s="213" t="s">
        <v>24</v>
      </c>
      <c r="AA2" s="213" t="s">
        <v>25</v>
      </c>
      <c r="AB2" s="214" t="s">
        <v>26</v>
      </c>
      <c r="AC2" s="215" t="s">
        <v>27</v>
      </c>
      <c r="AD2" s="183" t="s">
        <v>28</v>
      </c>
      <c r="AE2" s="184" t="s">
        <v>29</v>
      </c>
      <c r="AF2" s="185" t="s">
        <v>30</v>
      </c>
      <c r="AG2" s="142" t="s">
        <v>6028</v>
      </c>
      <c r="AH2" s="210" t="s">
        <v>31</v>
      </c>
      <c r="AI2" s="210" t="s">
        <v>32</v>
      </c>
      <c r="AJ2" s="216" t="s">
        <v>33</v>
      </c>
      <c r="AK2" s="217" t="s">
        <v>34</v>
      </c>
      <c r="AL2" s="217" t="s">
        <v>35</v>
      </c>
      <c r="AM2" s="217" t="s">
        <v>36</v>
      </c>
      <c r="AN2" s="217" t="s">
        <v>77</v>
      </c>
      <c r="AO2" s="217" t="s">
        <v>78</v>
      </c>
      <c r="AP2" s="210"/>
      <c r="AQ2" s="210"/>
      <c r="AR2" s="210"/>
      <c r="AS2" s="210"/>
      <c r="AT2" s="210"/>
      <c r="AU2" s="210"/>
      <c r="AV2" s="210"/>
      <c r="AW2" s="210"/>
      <c r="AX2" s="210"/>
      <c r="AY2" s="210"/>
      <c r="AZ2" s="210"/>
      <c r="BA2" s="210"/>
      <c r="BB2" s="210"/>
      <c r="BC2" s="210"/>
      <c r="BD2" s="210"/>
      <c r="BE2" s="210"/>
      <c r="BF2" s="210"/>
      <c r="BG2" s="216" t="s">
        <v>37</v>
      </c>
      <c r="BH2" s="216" t="s">
        <v>38</v>
      </c>
      <c r="BI2" s="216" t="s">
        <v>39</v>
      </c>
      <c r="BJ2" s="216" t="s">
        <v>40</v>
      </c>
      <c r="BK2" s="216" t="s">
        <v>41</v>
      </c>
      <c r="BL2" s="210" t="s">
        <v>42</v>
      </c>
      <c r="BM2" s="210" t="s">
        <v>43</v>
      </c>
      <c r="BN2" s="210" t="s">
        <v>44</v>
      </c>
      <c r="BO2" s="210" t="s">
        <v>45</v>
      </c>
      <c r="BP2" s="210" t="s">
        <v>46</v>
      </c>
      <c r="BQ2" s="210" t="s">
        <v>47</v>
      </c>
      <c r="BR2" s="210" t="s">
        <v>48</v>
      </c>
      <c r="BS2" s="210" t="s">
        <v>49</v>
      </c>
      <c r="BT2" s="210" t="s">
        <v>50</v>
      </c>
      <c r="BU2" s="210" t="s">
        <v>51</v>
      </c>
      <c r="BV2" s="210" t="s">
        <v>52</v>
      </c>
      <c r="BW2" s="210" t="s">
        <v>53</v>
      </c>
      <c r="BX2" s="210" t="s">
        <v>54</v>
      </c>
      <c r="BY2" s="210" t="s">
        <v>55</v>
      </c>
      <c r="BZ2" s="210" t="s">
        <v>56</v>
      </c>
      <c r="CA2" s="210" t="s">
        <v>57</v>
      </c>
      <c r="CB2" s="210" t="s">
        <v>58</v>
      </c>
      <c r="CC2" s="187" t="s">
        <v>59</v>
      </c>
      <c r="CD2" s="218" t="s">
        <v>6029</v>
      </c>
      <c r="CE2" s="218" t="s">
        <v>6030</v>
      </c>
      <c r="CF2" s="219" t="s">
        <v>6031</v>
      </c>
      <c r="CG2" s="210"/>
      <c r="CH2" s="210"/>
      <c r="CI2" s="210"/>
      <c r="CJ2" s="210" t="s">
        <v>60</v>
      </c>
      <c r="CK2" s="210" t="s">
        <v>66</v>
      </c>
      <c r="CL2" s="210" t="s">
        <v>68</v>
      </c>
      <c r="CM2" s="210"/>
      <c r="CN2" s="210"/>
      <c r="CO2" s="210"/>
      <c r="CP2" s="210"/>
      <c r="CQ2" s="210"/>
      <c r="CR2" s="210"/>
      <c r="CS2" s="210"/>
      <c r="CT2" s="210"/>
      <c r="CU2" s="210"/>
      <c r="CV2" s="210"/>
      <c r="CW2" s="210"/>
      <c r="CX2" s="210"/>
      <c r="CY2" s="210"/>
      <c r="CZ2" s="210"/>
      <c r="DA2" s="210"/>
      <c r="DB2" s="210"/>
      <c r="DC2" s="210"/>
      <c r="DD2" s="210"/>
      <c r="DE2" s="210"/>
    </row>
    <row r="3" spans="1:109" s="28" customFormat="1" ht="15" customHeight="1">
      <c r="A3" s="188" t="s">
        <v>6032</v>
      </c>
      <c r="B3" s="189" t="s">
        <v>6033</v>
      </c>
      <c r="C3" s="189" t="s">
        <v>6034</v>
      </c>
      <c r="D3" s="189" t="s">
        <v>6033</v>
      </c>
      <c r="E3" s="189" t="s">
        <v>6035</v>
      </c>
      <c r="F3" s="190" t="s">
        <v>6034</v>
      </c>
      <c r="G3" s="220"/>
      <c r="H3" s="221"/>
      <c r="I3" s="193" t="s">
        <v>6036</v>
      </c>
      <c r="J3" s="194" t="s">
        <v>9</v>
      </c>
      <c r="K3" s="221"/>
      <c r="L3" s="189"/>
      <c r="M3" s="189"/>
      <c r="N3" s="189"/>
      <c r="O3" s="189"/>
      <c r="P3" s="189" t="s">
        <v>6033</v>
      </c>
      <c r="Q3" s="189" t="s">
        <v>6033</v>
      </c>
      <c r="R3" s="195" t="s">
        <v>6033</v>
      </c>
      <c r="S3" s="195" t="s">
        <v>6033</v>
      </c>
      <c r="T3" s="195"/>
      <c r="U3" s="196" t="s">
        <v>6037</v>
      </c>
      <c r="V3" s="196"/>
      <c r="W3" s="197"/>
      <c r="X3" s="189"/>
      <c r="Y3" s="198" t="s">
        <v>76</v>
      </c>
      <c r="Z3" s="189"/>
      <c r="AA3" s="189" t="s">
        <v>79</v>
      </c>
      <c r="AB3" s="199"/>
      <c r="AC3" s="222"/>
      <c r="AD3" s="196" t="s">
        <v>6038</v>
      </c>
      <c r="AE3" s="200"/>
      <c r="AF3" s="201" t="s">
        <v>6038</v>
      </c>
      <c r="AG3" s="196" t="s">
        <v>6038</v>
      </c>
      <c r="AH3" s="220"/>
      <c r="AI3" s="220"/>
      <c r="AJ3" s="223"/>
      <c r="AK3" s="224" t="s">
        <v>6039</v>
      </c>
      <c r="AL3" s="224" t="s">
        <v>6040</v>
      </c>
      <c r="AM3" s="224" t="s">
        <v>6041</v>
      </c>
      <c r="AN3" s="224" t="s">
        <v>6042</v>
      </c>
      <c r="AO3" s="224" t="s">
        <v>6043</v>
      </c>
      <c r="AP3" s="224" t="s">
        <v>6044</v>
      </c>
      <c r="AQ3" s="224" t="s">
        <v>6045</v>
      </c>
      <c r="AR3" s="224" t="s">
        <v>6046</v>
      </c>
      <c r="AS3" s="224" t="s">
        <v>6047</v>
      </c>
      <c r="AT3" s="224" t="s">
        <v>6048</v>
      </c>
      <c r="AU3" s="224" t="s">
        <v>6049</v>
      </c>
      <c r="AV3" s="224" t="s">
        <v>6050</v>
      </c>
      <c r="AW3" s="224" t="s">
        <v>6051</v>
      </c>
      <c r="AX3" s="224" t="s">
        <v>6052</v>
      </c>
      <c r="AY3" s="224" t="s">
        <v>6053</v>
      </c>
      <c r="AZ3" s="224" t="s">
        <v>6054</v>
      </c>
      <c r="BA3" s="224" t="s">
        <v>6055</v>
      </c>
      <c r="BB3" s="224" t="s">
        <v>6056</v>
      </c>
      <c r="BC3" s="224" t="s">
        <v>6057</v>
      </c>
      <c r="BD3" s="224" t="s">
        <v>6058</v>
      </c>
      <c r="BE3" s="224" t="s">
        <v>6059</v>
      </c>
      <c r="BF3" s="224" t="s">
        <v>6060</v>
      </c>
      <c r="BG3" s="223" t="s">
        <v>34</v>
      </c>
      <c r="BH3" s="223" t="s">
        <v>35</v>
      </c>
      <c r="BI3" s="223" t="s">
        <v>36</v>
      </c>
      <c r="BJ3" s="225" t="s">
        <v>77</v>
      </c>
      <c r="BK3" s="223" t="s">
        <v>78</v>
      </c>
      <c r="BL3" s="220"/>
      <c r="BM3" s="220"/>
      <c r="BN3" s="220"/>
      <c r="BO3" s="220"/>
      <c r="BP3" s="220"/>
      <c r="BQ3" s="220"/>
      <c r="BR3" s="220"/>
      <c r="BS3" s="220"/>
      <c r="BT3" s="220"/>
      <c r="BU3" s="220"/>
      <c r="BV3" s="220"/>
      <c r="BW3" s="220"/>
      <c r="BX3" s="220"/>
      <c r="BY3" s="220"/>
      <c r="BZ3" s="220"/>
      <c r="CA3" s="220"/>
      <c r="CB3" s="220"/>
      <c r="CC3" s="205" t="s">
        <v>79</v>
      </c>
      <c r="CD3" s="209"/>
      <c r="CE3" s="209"/>
      <c r="CF3" s="209"/>
      <c r="CG3" s="28" t="s">
        <v>80</v>
      </c>
      <c r="CH3" s="28" t="s">
        <v>81</v>
      </c>
      <c r="CI3" s="28" t="s">
        <v>5</v>
      </c>
      <c r="CJ3" s="28" t="s">
        <v>5071</v>
      </c>
      <c r="CK3" s="28" t="s">
        <v>5072</v>
      </c>
      <c r="CL3" s="28" t="s">
        <v>5073</v>
      </c>
    </row>
    <row r="4" spans="1:109" ht="15" customHeight="1">
      <c r="A4" s="222" t="s">
        <v>5078</v>
      </c>
      <c r="B4" s="3" t="s">
        <v>5079</v>
      </c>
      <c r="C4" s="16" t="s">
        <v>97</v>
      </c>
      <c r="D4" s="226" t="s">
        <v>5080</v>
      </c>
      <c r="E4" s="16" t="s">
        <v>97</v>
      </c>
      <c r="F4" s="131" t="s">
        <v>5081</v>
      </c>
      <c r="I4" s="227" t="s">
        <v>100</v>
      </c>
      <c r="J4" s="16" t="s">
        <v>101</v>
      </c>
      <c r="K4" s="16"/>
      <c r="L4" s="16" t="s">
        <v>5075</v>
      </c>
      <c r="M4" s="16"/>
      <c r="P4" s="3" t="s">
        <v>5082</v>
      </c>
      <c r="Q4" s="3" t="s">
        <v>5082</v>
      </c>
      <c r="R4" s="3" t="s">
        <v>5082</v>
      </c>
      <c r="S4" s="222" t="s">
        <v>5083</v>
      </c>
      <c r="T4" s="228" t="s">
        <v>5076</v>
      </c>
      <c r="U4" s="229">
        <v>90</v>
      </c>
      <c r="V4" s="229"/>
      <c r="W4" s="229"/>
      <c r="X4" s="230" t="s">
        <v>108</v>
      </c>
      <c r="Y4" s="231">
        <f t="shared" ref="Y4:Y35" si="0">IF(AD4=0, 0, IF(OR(H4="", H4&lt;&gt;0), 1, 0))</f>
        <v>1</v>
      </c>
      <c r="Z4" s="3">
        <v>0</v>
      </c>
      <c r="AA4" s="3" t="s">
        <v>5084</v>
      </c>
      <c r="AD4" s="6">
        <f t="shared" ref="AD4:AD35" si="1">ROUND((AG4*(1+AJ4)),2)</f>
        <v>709.03</v>
      </c>
      <c r="AE4" s="232">
        <v>808.01494830000001</v>
      </c>
      <c r="AF4" s="233">
        <f t="shared" ref="AF4:AF35" si="2">AD4*1.2</f>
        <v>850.8359999999999</v>
      </c>
      <c r="AG4" s="6">
        <f t="shared" ref="AG4:AG35" si="3">ROUND((AE4*AI4),2)</f>
        <v>525.21</v>
      </c>
      <c r="AH4" s="30" t="s">
        <v>110</v>
      </c>
      <c r="AI4" s="3">
        <v>0.65</v>
      </c>
      <c r="AJ4" s="18">
        <v>0.35</v>
      </c>
      <c r="AK4" s="6">
        <f t="shared" ref="AK4:AK35" si="4">ROUND((AD4-(AD4*BG4)),2)</f>
        <v>701.94</v>
      </c>
      <c r="AL4" s="6">
        <f t="shared" ref="AL4:AL35" si="5">ROUND((AD4-(AD4*BH4)),2)</f>
        <v>694.85</v>
      </c>
      <c r="AM4" s="6">
        <f t="shared" ref="AM4:AM35" si="6">ROUND((AD4-(AD4*BI4)),2)</f>
        <v>687.76</v>
      </c>
      <c r="AN4" s="6">
        <f t="shared" ref="AN4:AN35" si="7">ROUND((AD4-(AD4*BJ4)),2)</f>
        <v>687.76</v>
      </c>
      <c r="AO4" s="6">
        <f t="shared" ref="AO4:AO35" si="8">ROUND((AD4-(AD4*BK4)),2)</f>
        <v>709.03</v>
      </c>
      <c r="BG4" s="12">
        <v>0.01</v>
      </c>
      <c r="BH4" s="12">
        <v>0.02</v>
      </c>
      <c r="BI4" s="12">
        <v>0.03</v>
      </c>
      <c r="BJ4" s="12">
        <v>0.03</v>
      </c>
      <c r="CC4" s="3" t="str">
        <f t="shared" ref="CC4:CC35" si="9">IF(B4&lt;&gt;"",CONCATENATE(SUBSTITUTE(B4," ","-"),".jpg"),"")</f>
        <v>Allied-Moulded-P7249CS.jpg</v>
      </c>
      <c r="CD4" s="16" t="s">
        <v>111</v>
      </c>
      <c r="CE4" s="3"/>
      <c r="CF4" s="3"/>
      <c r="CG4" s="16" t="s">
        <v>5077</v>
      </c>
      <c r="CI4" s="16" t="s">
        <v>97</v>
      </c>
      <c r="CJ4" s="3" t="s">
        <v>4493</v>
      </c>
      <c r="CK4" s="3" t="s">
        <v>207</v>
      </c>
      <c r="CL4" s="3" t="s">
        <v>337</v>
      </c>
    </row>
    <row r="5" spans="1:109" ht="15" customHeight="1">
      <c r="A5" s="222" t="s">
        <v>5085</v>
      </c>
      <c r="B5" s="3" t="s">
        <v>5086</v>
      </c>
      <c r="C5" s="16" t="s">
        <v>97</v>
      </c>
      <c r="D5" s="229" t="s">
        <v>5087</v>
      </c>
      <c r="E5" s="16" t="s">
        <v>97</v>
      </c>
      <c r="F5" s="131" t="s">
        <v>5088</v>
      </c>
      <c r="I5" s="227" t="s">
        <v>342</v>
      </c>
      <c r="J5" s="16" t="s">
        <v>101</v>
      </c>
      <c r="K5" s="16"/>
      <c r="L5" s="16" t="s">
        <v>5075</v>
      </c>
      <c r="M5" s="16"/>
      <c r="P5" s="3" t="s">
        <v>5089</v>
      </c>
      <c r="Q5" s="3" t="s">
        <v>5089</v>
      </c>
      <c r="R5" s="3" t="s">
        <v>5089</v>
      </c>
      <c r="S5" s="222" t="s">
        <v>5090</v>
      </c>
      <c r="T5" s="228" t="s">
        <v>5076</v>
      </c>
      <c r="U5" s="229">
        <v>58</v>
      </c>
      <c r="V5" s="229"/>
      <c r="W5" s="229"/>
      <c r="X5" s="230" t="s">
        <v>108</v>
      </c>
      <c r="Y5" s="231">
        <f t="shared" si="0"/>
        <v>1</v>
      </c>
      <c r="Z5" s="3">
        <v>0</v>
      </c>
      <c r="AA5" s="3" t="s">
        <v>5091</v>
      </c>
      <c r="AD5" s="6">
        <f t="shared" si="1"/>
        <v>307.67</v>
      </c>
      <c r="AE5" s="232">
        <v>350.61653970000003</v>
      </c>
      <c r="AF5" s="233">
        <f t="shared" si="2"/>
        <v>369.20400000000001</v>
      </c>
      <c r="AG5" s="6">
        <f t="shared" si="3"/>
        <v>227.9</v>
      </c>
      <c r="AH5" s="30" t="s">
        <v>110</v>
      </c>
      <c r="AI5" s="3">
        <v>0.65</v>
      </c>
      <c r="AJ5" s="18">
        <v>0.35</v>
      </c>
      <c r="AK5" s="6">
        <f t="shared" si="4"/>
        <v>304.58999999999997</v>
      </c>
      <c r="AL5" s="6">
        <f t="shared" si="5"/>
        <v>301.52</v>
      </c>
      <c r="AM5" s="6">
        <f t="shared" si="6"/>
        <v>298.44</v>
      </c>
      <c r="AN5" s="6">
        <f t="shared" si="7"/>
        <v>298.44</v>
      </c>
      <c r="AO5" s="6">
        <f t="shared" si="8"/>
        <v>307.67</v>
      </c>
      <c r="BG5" s="12">
        <v>0.01</v>
      </c>
      <c r="BH5" s="12">
        <v>0.02</v>
      </c>
      <c r="BI5" s="12">
        <v>0.03</v>
      </c>
      <c r="BJ5" s="12">
        <v>0.03</v>
      </c>
      <c r="CC5" s="3" t="str">
        <f t="shared" si="9"/>
        <v>Allied-Moulded-P6036CS.jpg</v>
      </c>
      <c r="CD5" s="16" t="s">
        <v>111</v>
      </c>
      <c r="CE5" s="3"/>
      <c r="CF5" s="3"/>
      <c r="CG5" s="16" t="s">
        <v>5077</v>
      </c>
      <c r="CI5" s="16" t="s">
        <v>97</v>
      </c>
      <c r="CJ5" s="3" t="s">
        <v>4493</v>
      </c>
      <c r="CK5" s="3" t="s">
        <v>312</v>
      </c>
      <c r="CL5" s="3" t="s">
        <v>216</v>
      </c>
    </row>
    <row r="6" spans="1:109" ht="15" customHeight="1">
      <c r="A6" s="222" t="s">
        <v>5092</v>
      </c>
      <c r="B6" s="3" t="s">
        <v>5093</v>
      </c>
      <c r="C6" s="16" t="s">
        <v>97</v>
      </c>
      <c r="D6" s="234" t="s">
        <v>5094</v>
      </c>
      <c r="E6" s="16" t="s">
        <v>97</v>
      </c>
      <c r="F6" s="131" t="s">
        <v>5095</v>
      </c>
      <c r="I6" s="227" t="s">
        <v>342</v>
      </c>
      <c r="J6" s="16" t="s">
        <v>101</v>
      </c>
      <c r="K6" s="16"/>
      <c r="L6" s="16" t="s">
        <v>5075</v>
      </c>
      <c r="M6" s="16"/>
      <c r="P6" s="3" t="s">
        <v>5096</v>
      </c>
      <c r="Q6" s="3" t="s">
        <v>5096</v>
      </c>
      <c r="R6" s="3" t="s">
        <v>5096</v>
      </c>
      <c r="S6" s="222" t="s">
        <v>5097</v>
      </c>
      <c r="T6" s="228" t="s">
        <v>5076</v>
      </c>
      <c r="U6" s="234">
        <v>47</v>
      </c>
      <c r="V6" s="234"/>
      <c r="W6" s="234"/>
      <c r="X6" s="230" t="s">
        <v>108</v>
      </c>
      <c r="Y6" s="231">
        <f t="shared" si="0"/>
        <v>1</v>
      </c>
      <c r="Z6" s="3">
        <v>0</v>
      </c>
      <c r="AA6" s="3" t="s">
        <v>5098</v>
      </c>
      <c r="AD6" s="6">
        <f t="shared" si="1"/>
        <v>246.52</v>
      </c>
      <c r="AE6" s="232">
        <v>280.93964850000003</v>
      </c>
      <c r="AF6" s="233">
        <f t="shared" si="2"/>
        <v>295.82400000000001</v>
      </c>
      <c r="AG6" s="6">
        <f t="shared" si="3"/>
        <v>182.61</v>
      </c>
      <c r="AH6" s="30" t="s">
        <v>110</v>
      </c>
      <c r="AI6" s="3">
        <v>0.65</v>
      </c>
      <c r="AJ6" s="18">
        <v>0.35</v>
      </c>
      <c r="AK6" s="6">
        <f t="shared" si="4"/>
        <v>244.05</v>
      </c>
      <c r="AL6" s="6">
        <f t="shared" si="5"/>
        <v>241.59</v>
      </c>
      <c r="AM6" s="6">
        <f t="shared" si="6"/>
        <v>239.12</v>
      </c>
      <c r="AN6" s="6">
        <f t="shared" si="7"/>
        <v>239.12</v>
      </c>
      <c r="AO6" s="6">
        <f t="shared" si="8"/>
        <v>246.52</v>
      </c>
      <c r="BG6" s="12">
        <v>0.01</v>
      </c>
      <c r="BH6" s="12">
        <v>0.02</v>
      </c>
      <c r="BI6" s="12">
        <v>0.03</v>
      </c>
      <c r="BJ6" s="12">
        <v>0.03</v>
      </c>
      <c r="CC6" s="3" t="str">
        <f t="shared" si="9"/>
        <v>Allied-Moulded-P4836CS.jpg</v>
      </c>
      <c r="CD6" s="16" t="s">
        <v>111</v>
      </c>
      <c r="CE6" s="3"/>
      <c r="CF6" s="3"/>
      <c r="CG6" s="16" t="s">
        <v>5077</v>
      </c>
      <c r="CI6" s="16" t="s">
        <v>97</v>
      </c>
      <c r="CJ6" s="3" t="s">
        <v>4493</v>
      </c>
      <c r="CK6" s="3" t="s">
        <v>287</v>
      </c>
      <c r="CL6" s="3" t="s">
        <v>216</v>
      </c>
    </row>
    <row r="7" spans="1:109" ht="15" customHeight="1">
      <c r="A7" s="222" t="s">
        <v>5099</v>
      </c>
      <c r="B7" s="3" t="s">
        <v>5100</v>
      </c>
      <c r="C7" s="16" t="s">
        <v>97</v>
      </c>
      <c r="D7" s="234" t="s">
        <v>5101</v>
      </c>
      <c r="E7" s="16" t="s">
        <v>97</v>
      </c>
      <c r="F7" s="131" t="s">
        <v>5102</v>
      </c>
      <c r="I7" s="227" t="s">
        <v>342</v>
      </c>
      <c r="J7" s="16" t="s">
        <v>101</v>
      </c>
      <c r="K7" s="16"/>
      <c r="L7" s="16" t="s">
        <v>5075</v>
      </c>
      <c r="M7" s="16"/>
      <c r="P7" s="3" t="s">
        <v>5103</v>
      </c>
      <c r="Q7" s="3" t="s">
        <v>5103</v>
      </c>
      <c r="R7" s="3" t="s">
        <v>5103</v>
      </c>
      <c r="S7" s="222" t="s">
        <v>5104</v>
      </c>
      <c r="T7" s="228" t="s">
        <v>5076</v>
      </c>
      <c r="U7" s="234">
        <v>45</v>
      </c>
      <c r="V7" s="234"/>
      <c r="W7" s="234"/>
      <c r="X7" s="230" t="s">
        <v>108</v>
      </c>
      <c r="Y7" s="231">
        <f t="shared" si="0"/>
        <v>1</v>
      </c>
      <c r="Z7" s="3">
        <v>0</v>
      </c>
      <c r="AA7" s="3" t="s">
        <v>5105</v>
      </c>
      <c r="AD7" s="6">
        <f t="shared" si="1"/>
        <v>354.51</v>
      </c>
      <c r="AE7" s="232">
        <v>404.00747415000001</v>
      </c>
      <c r="AF7" s="233">
        <f t="shared" si="2"/>
        <v>425.41199999999998</v>
      </c>
      <c r="AG7" s="6">
        <f t="shared" si="3"/>
        <v>262.60000000000002</v>
      </c>
      <c r="AH7" s="30" t="s">
        <v>110</v>
      </c>
      <c r="AI7" s="3">
        <v>0.65</v>
      </c>
      <c r="AJ7" s="18">
        <v>0.35</v>
      </c>
      <c r="AK7" s="6">
        <f t="shared" si="4"/>
        <v>350.96</v>
      </c>
      <c r="AL7" s="6">
        <f t="shared" si="5"/>
        <v>347.42</v>
      </c>
      <c r="AM7" s="6">
        <f t="shared" si="6"/>
        <v>343.87</v>
      </c>
      <c r="AN7" s="6">
        <f t="shared" si="7"/>
        <v>343.87</v>
      </c>
      <c r="AO7" s="6">
        <f t="shared" si="8"/>
        <v>354.51</v>
      </c>
      <c r="BG7" s="12">
        <v>0.01</v>
      </c>
      <c r="BH7" s="12">
        <v>0.02</v>
      </c>
      <c r="BI7" s="12">
        <v>0.03</v>
      </c>
      <c r="BJ7" s="12">
        <v>0.03</v>
      </c>
      <c r="CC7" s="3" t="str">
        <f t="shared" si="9"/>
        <v>Allied-Moulded-P7225CS.jpg</v>
      </c>
      <c r="CD7" s="16" t="s">
        <v>111</v>
      </c>
      <c r="CE7" s="3"/>
      <c r="CF7" s="3"/>
      <c r="CG7" s="16" t="s">
        <v>5077</v>
      </c>
      <c r="CI7" s="16" t="s">
        <v>97</v>
      </c>
      <c r="CJ7" s="3" t="s">
        <v>4493</v>
      </c>
      <c r="CK7" s="3" t="s">
        <v>207</v>
      </c>
      <c r="CL7" s="3" t="s">
        <v>208</v>
      </c>
    </row>
    <row r="8" spans="1:109" ht="15" customHeight="1">
      <c r="A8" s="235" t="s">
        <v>5106</v>
      </c>
      <c r="B8" s="81" t="s">
        <v>5107</v>
      </c>
      <c r="C8" s="16" t="s">
        <v>97</v>
      </c>
      <c r="D8" s="236" t="s">
        <v>5108</v>
      </c>
      <c r="E8" s="16" t="s">
        <v>97</v>
      </c>
      <c r="F8" s="131" t="s">
        <v>5109</v>
      </c>
      <c r="I8" s="227" t="s">
        <v>342</v>
      </c>
      <c r="J8" s="16" t="s">
        <v>101</v>
      </c>
      <c r="K8" s="16"/>
      <c r="L8" s="16" t="s">
        <v>5075</v>
      </c>
      <c r="M8" s="16"/>
      <c r="P8" s="81" t="s">
        <v>5110</v>
      </c>
      <c r="Q8" s="81" t="s">
        <v>5110</v>
      </c>
      <c r="R8" s="81" t="s">
        <v>5110</v>
      </c>
      <c r="S8" s="235" t="s">
        <v>5111</v>
      </c>
      <c r="T8" s="228" t="s">
        <v>5076</v>
      </c>
      <c r="U8" s="229">
        <v>35</v>
      </c>
      <c r="V8" s="229"/>
      <c r="W8" s="229"/>
      <c r="X8" s="230" t="s">
        <v>108</v>
      </c>
      <c r="Y8" s="231">
        <f t="shared" si="0"/>
        <v>1</v>
      </c>
      <c r="Z8" s="3">
        <v>0</v>
      </c>
      <c r="AA8" s="3" t="s">
        <v>5112</v>
      </c>
      <c r="AD8" s="6">
        <f t="shared" si="1"/>
        <v>196.9</v>
      </c>
      <c r="AE8" s="232">
        <v>224.37970589999998</v>
      </c>
      <c r="AF8" s="233">
        <f t="shared" si="2"/>
        <v>236.28</v>
      </c>
      <c r="AG8" s="6">
        <f t="shared" si="3"/>
        <v>145.85</v>
      </c>
      <c r="AH8" s="30" t="s">
        <v>110</v>
      </c>
      <c r="AI8" s="3">
        <v>0.65</v>
      </c>
      <c r="AJ8" s="18">
        <v>0.35</v>
      </c>
      <c r="AK8" s="6">
        <f t="shared" si="4"/>
        <v>194.93</v>
      </c>
      <c r="AL8" s="6">
        <f t="shared" si="5"/>
        <v>192.96</v>
      </c>
      <c r="AM8" s="6">
        <f t="shared" si="6"/>
        <v>190.99</v>
      </c>
      <c r="AN8" s="6">
        <f t="shared" si="7"/>
        <v>190.99</v>
      </c>
      <c r="AO8" s="6">
        <f t="shared" si="8"/>
        <v>196.9</v>
      </c>
      <c r="BG8" s="12">
        <v>0.01</v>
      </c>
      <c r="BH8" s="12">
        <v>0.02</v>
      </c>
      <c r="BI8" s="12">
        <v>0.03</v>
      </c>
      <c r="BJ8" s="12">
        <v>0.03</v>
      </c>
      <c r="CC8" s="3" t="str">
        <f t="shared" si="9"/>
        <v>Allied-Moulded-P3636CS.jpg</v>
      </c>
      <c r="CD8" s="16" t="s">
        <v>111</v>
      </c>
      <c r="CE8" s="3"/>
      <c r="CF8" s="3"/>
      <c r="CG8" s="16" t="s">
        <v>5077</v>
      </c>
      <c r="CI8" s="16" t="s">
        <v>97</v>
      </c>
      <c r="CJ8" s="3" t="s">
        <v>4493</v>
      </c>
      <c r="CK8" s="3" t="s">
        <v>216</v>
      </c>
      <c r="CL8" s="3" t="s">
        <v>216</v>
      </c>
    </row>
    <row r="9" spans="1:109" ht="15" customHeight="1">
      <c r="A9" s="235" t="s">
        <v>5113</v>
      </c>
      <c r="B9" s="81" t="s">
        <v>5114</v>
      </c>
      <c r="C9" s="16" t="s">
        <v>97</v>
      </c>
      <c r="D9" s="237" t="s">
        <v>5115</v>
      </c>
      <c r="E9" s="16" t="s">
        <v>97</v>
      </c>
      <c r="F9" s="131" t="s">
        <v>5116</v>
      </c>
      <c r="I9" s="227" t="s">
        <v>342</v>
      </c>
      <c r="J9" s="16" t="s">
        <v>101</v>
      </c>
      <c r="K9" s="16"/>
      <c r="L9" s="16" t="s">
        <v>5075</v>
      </c>
      <c r="M9" s="16"/>
      <c r="P9" s="81" t="s">
        <v>5117</v>
      </c>
      <c r="Q9" s="81" t="s">
        <v>5117</v>
      </c>
      <c r="R9" s="81" t="s">
        <v>5117</v>
      </c>
      <c r="S9" s="235" t="s">
        <v>5118</v>
      </c>
      <c r="T9" s="228" t="s">
        <v>5076</v>
      </c>
      <c r="U9" s="234">
        <v>32</v>
      </c>
      <c r="V9" s="234"/>
      <c r="W9" s="234"/>
      <c r="X9" s="230" t="s">
        <v>108</v>
      </c>
      <c r="Y9" s="231">
        <f t="shared" si="0"/>
        <v>1</v>
      </c>
      <c r="Z9" s="3">
        <v>0</v>
      </c>
      <c r="AA9" s="3" t="s">
        <v>5119</v>
      </c>
      <c r="AD9" s="6">
        <f t="shared" si="1"/>
        <v>186.19</v>
      </c>
      <c r="AE9" s="232">
        <v>212.18590470000001</v>
      </c>
      <c r="AF9" s="233">
        <f t="shared" si="2"/>
        <v>223.428</v>
      </c>
      <c r="AG9" s="6">
        <f t="shared" si="3"/>
        <v>137.91999999999999</v>
      </c>
      <c r="AH9" s="30" t="s">
        <v>110</v>
      </c>
      <c r="AI9" s="3">
        <v>0.65</v>
      </c>
      <c r="AJ9" s="18">
        <v>0.35</v>
      </c>
      <c r="AK9" s="6">
        <f t="shared" si="4"/>
        <v>184.33</v>
      </c>
      <c r="AL9" s="6">
        <f t="shared" si="5"/>
        <v>182.47</v>
      </c>
      <c r="AM9" s="6">
        <f t="shared" si="6"/>
        <v>180.6</v>
      </c>
      <c r="AN9" s="6">
        <f t="shared" si="7"/>
        <v>180.6</v>
      </c>
      <c r="AO9" s="6">
        <f t="shared" si="8"/>
        <v>186.19</v>
      </c>
      <c r="BG9" s="12">
        <v>0.01</v>
      </c>
      <c r="BH9" s="12">
        <v>0.02</v>
      </c>
      <c r="BI9" s="12">
        <v>0.03</v>
      </c>
      <c r="BJ9" s="12">
        <v>0.03</v>
      </c>
      <c r="CC9" s="3" t="str">
        <f t="shared" si="9"/>
        <v>Allied-Moulded-P4032.jpg</v>
      </c>
      <c r="CD9" s="16" t="s">
        <v>111</v>
      </c>
      <c r="CE9" s="3"/>
      <c r="CF9" s="3"/>
      <c r="CG9" s="16" t="s">
        <v>5077</v>
      </c>
      <c r="CI9" s="16" t="s">
        <v>97</v>
      </c>
      <c r="CJ9" s="3" t="s">
        <v>4493</v>
      </c>
      <c r="CK9" s="3" t="s">
        <v>249</v>
      </c>
      <c r="CL9" s="3" t="s">
        <v>123</v>
      </c>
    </row>
    <row r="10" spans="1:109" ht="15" customHeight="1">
      <c r="A10" s="235" t="s">
        <v>5120</v>
      </c>
      <c r="B10" s="81" t="s">
        <v>5121</v>
      </c>
      <c r="C10" s="16" t="s">
        <v>97</v>
      </c>
      <c r="D10" s="237" t="s">
        <v>5122</v>
      </c>
      <c r="E10" s="16" t="s">
        <v>97</v>
      </c>
      <c r="F10" s="131" t="s">
        <v>5123</v>
      </c>
      <c r="I10" s="227" t="s">
        <v>342</v>
      </c>
      <c r="J10" s="16" t="s">
        <v>101</v>
      </c>
      <c r="K10" s="16"/>
      <c r="L10" s="16" t="s">
        <v>5075</v>
      </c>
      <c r="M10" s="16"/>
      <c r="P10" s="81" t="s">
        <v>5124</v>
      </c>
      <c r="Q10" s="81" t="s">
        <v>5124</v>
      </c>
      <c r="R10" s="81" t="s">
        <v>5124</v>
      </c>
      <c r="S10" s="235" t="s">
        <v>5125</v>
      </c>
      <c r="T10" s="228" t="s">
        <v>5076</v>
      </c>
      <c r="U10" s="234">
        <v>27</v>
      </c>
      <c r="V10" s="234"/>
      <c r="W10" s="234"/>
      <c r="X10" s="230" t="s">
        <v>108</v>
      </c>
      <c r="Y10" s="231">
        <f t="shared" si="0"/>
        <v>1</v>
      </c>
      <c r="Z10" s="3">
        <v>0</v>
      </c>
      <c r="AA10" s="3" t="s">
        <v>5126</v>
      </c>
      <c r="AD10" s="6">
        <f t="shared" si="1"/>
        <v>177.85</v>
      </c>
      <c r="AE10" s="232">
        <v>202.67887395</v>
      </c>
      <c r="AF10" s="233">
        <f t="shared" si="2"/>
        <v>213.42</v>
      </c>
      <c r="AG10" s="6">
        <f t="shared" si="3"/>
        <v>131.74</v>
      </c>
      <c r="AH10" s="30" t="s">
        <v>110</v>
      </c>
      <c r="AI10" s="3">
        <v>0.65</v>
      </c>
      <c r="AJ10" s="18">
        <v>0.35</v>
      </c>
      <c r="AK10" s="6">
        <f t="shared" si="4"/>
        <v>176.07</v>
      </c>
      <c r="AL10" s="6">
        <f t="shared" si="5"/>
        <v>174.29</v>
      </c>
      <c r="AM10" s="6">
        <f t="shared" si="6"/>
        <v>172.51</v>
      </c>
      <c r="AN10" s="6">
        <f t="shared" si="7"/>
        <v>172.51</v>
      </c>
      <c r="AO10" s="6">
        <f t="shared" si="8"/>
        <v>177.85</v>
      </c>
      <c r="BG10" s="12">
        <v>0.01</v>
      </c>
      <c r="BH10" s="12">
        <v>0.02</v>
      </c>
      <c r="BI10" s="12">
        <v>0.03</v>
      </c>
      <c r="BJ10" s="12">
        <v>0.03</v>
      </c>
      <c r="CC10" s="3" t="str">
        <f t="shared" si="9"/>
        <v>Allied-Moulded-P3630CS.jpg</v>
      </c>
      <c r="CD10" s="16" t="s">
        <v>111</v>
      </c>
      <c r="CE10" s="3"/>
      <c r="CF10" s="3"/>
      <c r="CG10" s="16" t="s">
        <v>5077</v>
      </c>
      <c r="CI10" s="16" t="s">
        <v>97</v>
      </c>
      <c r="CJ10" s="3" t="s">
        <v>4493</v>
      </c>
      <c r="CK10" s="3" t="s">
        <v>216</v>
      </c>
      <c r="CL10" s="3" t="s">
        <v>123</v>
      </c>
    </row>
    <row r="11" spans="1:109" ht="15" customHeight="1">
      <c r="A11" s="235" t="s">
        <v>5127</v>
      </c>
      <c r="B11" s="81" t="s">
        <v>5128</v>
      </c>
      <c r="C11" s="16" t="s">
        <v>97</v>
      </c>
      <c r="D11" s="237" t="s">
        <v>5129</v>
      </c>
      <c r="E11" s="16" t="s">
        <v>97</v>
      </c>
      <c r="F11" s="131" t="s">
        <v>5130</v>
      </c>
      <c r="I11" s="227" t="s">
        <v>342</v>
      </c>
      <c r="J11" s="16" t="s">
        <v>101</v>
      </c>
      <c r="K11" s="16"/>
      <c r="L11" s="16" t="s">
        <v>5075</v>
      </c>
      <c r="P11" s="81" t="s">
        <v>5131</v>
      </c>
      <c r="Q11" s="81" t="s">
        <v>5131</v>
      </c>
      <c r="R11" s="81" t="s">
        <v>5131</v>
      </c>
      <c r="S11" s="235" t="s">
        <v>5127</v>
      </c>
      <c r="T11" s="228" t="s">
        <v>5076</v>
      </c>
      <c r="U11" s="234">
        <v>20</v>
      </c>
      <c r="V11" s="234"/>
      <c r="W11" s="234"/>
      <c r="X11" s="230" t="s">
        <v>108</v>
      </c>
      <c r="Y11" s="231">
        <f t="shared" si="0"/>
        <v>1</v>
      </c>
      <c r="Z11" s="3">
        <v>0</v>
      </c>
      <c r="AA11" s="3" t="s">
        <v>5132</v>
      </c>
      <c r="AD11" s="6">
        <f t="shared" si="1"/>
        <v>138.32</v>
      </c>
      <c r="AE11" s="232">
        <v>157.62381495</v>
      </c>
      <c r="AF11" s="233">
        <f t="shared" si="2"/>
        <v>165.98399999999998</v>
      </c>
      <c r="AG11" s="6">
        <f t="shared" si="3"/>
        <v>102.46</v>
      </c>
      <c r="AH11" s="30" t="s">
        <v>110</v>
      </c>
      <c r="AI11" s="3">
        <v>0.65</v>
      </c>
      <c r="AJ11" s="18">
        <v>0.35</v>
      </c>
      <c r="AK11" s="6">
        <f t="shared" si="4"/>
        <v>136.94</v>
      </c>
      <c r="AL11" s="6">
        <f t="shared" si="5"/>
        <v>135.55000000000001</v>
      </c>
      <c r="AM11" s="6">
        <f t="shared" si="6"/>
        <v>134.16999999999999</v>
      </c>
      <c r="AN11" s="6">
        <f t="shared" si="7"/>
        <v>134.16999999999999</v>
      </c>
      <c r="AO11" s="6">
        <f t="shared" si="8"/>
        <v>138.32</v>
      </c>
      <c r="BG11" s="12">
        <v>0.01</v>
      </c>
      <c r="BH11" s="12">
        <v>0.02</v>
      </c>
      <c r="BI11" s="12">
        <v>0.03</v>
      </c>
      <c r="BJ11" s="12">
        <v>0.03</v>
      </c>
      <c r="CC11" s="3" t="str">
        <f t="shared" si="9"/>
        <v>Allied-Moulded-P3024.jpg</v>
      </c>
      <c r="CD11" s="16" t="s">
        <v>111</v>
      </c>
      <c r="CE11" s="3"/>
      <c r="CF11" s="3"/>
      <c r="CG11" s="16" t="s">
        <v>5077</v>
      </c>
      <c r="CI11" s="16" t="s">
        <v>97</v>
      </c>
      <c r="CJ11" s="3" t="s">
        <v>4493</v>
      </c>
      <c r="CK11" s="3" t="s">
        <v>123</v>
      </c>
      <c r="CL11" s="3" t="s">
        <v>124</v>
      </c>
    </row>
    <row r="12" spans="1:109" ht="15" customHeight="1">
      <c r="A12" s="235" t="s">
        <v>5133</v>
      </c>
      <c r="B12" s="81" t="s">
        <v>5134</v>
      </c>
      <c r="C12" s="16" t="s">
        <v>97</v>
      </c>
      <c r="D12" s="236" t="s">
        <v>5135</v>
      </c>
      <c r="E12" s="16" t="s">
        <v>97</v>
      </c>
      <c r="F12" s="131" t="s">
        <v>5136</v>
      </c>
      <c r="I12" s="227" t="s">
        <v>342</v>
      </c>
      <c r="J12" s="16" t="s">
        <v>101</v>
      </c>
      <c r="K12" s="16"/>
      <c r="L12" s="16" t="s">
        <v>5075</v>
      </c>
      <c r="P12" s="81" t="s">
        <v>5137</v>
      </c>
      <c r="Q12" s="81" t="s">
        <v>5137</v>
      </c>
      <c r="R12" s="81" t="s">
        <v>5137</v>
      </c>
      <c r="S12" s="235" t="s">
        <v>5133</v>
      </c>
      <c r="T12" s="228" t="s">
        <v>5076</v>
      </c>
      <c r="U12" s="229">
        <v>20</v>
      </c>
      <c r="V12" s="229"/>
      <c r="W12" s="229"/>
      <c r="X12" s="230" t="s">
        <v>108</v>
      </c>
      <c r="Y12" s="231">
        <f t="shared" si="0"/>
        <v>1</v>
      </c>
      <c r="Z12" s="3">
        <v>0</v>
      </c>
      <c r="AA12" s="3" t="s">
        <v>5138</v>
      </c>
      <c r="AD12" s="6">
        <f t="shared" si="1"/>
        <v>101.87</v>
      </c>
      <c r="AE12" s="232">
        <v>116.09600205000001</v>
      </c>
      <c r="AF12" s="233">
        <f t="shared" si="2"/>
        <v>122.244</v>
      </c>
      <c r="AG12" s="6">
        <f t="shared" si="3"/>
        <v>75.459999999999994</v>
      </c>
      <c r="AH12" s="30" t="s">
        <v>110</v>
      </c>
      <c r="AI12" s="3">
        <v>0.65</v>
      </c>
      <c r="AJ12" s="18">
        <v>0.35</v>
      </c>
      <c r="AK12" s="6">
        <f t="shared" si="4"/>
        <v>100.85</v>
      </c>
      <c r="AL12" s="6">
        <f t="shared" si="5"/>
        <v>99.83</v>
      </c>
      <c r="AM12" s="6">
        <f t="shared" si="6"/>
        <v>98.81</v>
      </c>
      <c r="AN12" s="6">
        <f t="shared" si="7"/>
        <v>98.81</v>
      </c>
      <c r="AO12" s="6">
        <f t="shared" si="8"/>
        <v>101.87</v>
      </c>
      <c r="BG12" s="12">
        <v>0.01</v>
      </c>
      <c r="BH12" s="12">
        <v>0.02</v>
      </c>
      <c r="BI12" s="12">
        <v>0.03</v>
      </c>
      <c r="BJ12" s="12">
        <v>0.03</v>
      </c>
      <c r="CC12" s="3" t="str">
        <f t="shared" si="9"/>
        <v>Allied-Moulded-PG3024.jpg</v>
      </c>
      <c r="CD12" s="16" t="s">
        <v>111</v>
      </c>
      <c r="CE12" s="3"/>
      <c r="CF12" s="3"/>
      <c r="CG12" s="16" t="s">
        <v>5077</v>
      </c>
      <c r="CI12" s="16" t="s">
        <v>97</v>
      </c>
      <c r="CJ12" s="3" t="s">
        <v>4493</v>
      </c>
      <c r="CK12" s="3" t="s">
        <v>2145</v>
      </c>
      <c r="CL12" s="3" t="s">
        <v>124</v>
      </c>
    </row>
    <row r="13" spans="1:109" ht="15" customHeight="1">
      <c r="A13" s="235" t="s">
        <v>5139</v>
      </c>
      <c r="B13" s="81" t="s">
        <v>5140</v>
      </c>
      <c r="C13" s="16" t="s">
        <v>97</v>
      </c>
      <c r="D13" s="236" t="s">
        <v>5141</v>
      </c>
      <c r="E13" s="16" t="s">
        <v>97</v>
      </c>
      <c r="F13" s="131" t="s">
        <v>5142</v>
      </c>
      <c r="I13" s="227" t="s">
        <v>342</v>
      </c>
      <c r="J13" s="16" t="s">
        <v>101</v>
      </c>
      <c r="K13" s="16"/>
      <c r="L13" s="16" t="s">
        <v>5075</v>
      </c>
      <c r="P13" s="81" t="s">
        <v>5143</v>
      </c>
      <c r="Q13" s="81" t="s">
        <v>5143</v>
      </c>
      <c r="R13" s="81" t="s">
        <v>5143</v>
      </c>
      <c r="S13" s="235" t="s">
        <v>5139</v>
      </c>
      <c r="T13" s="228" t="s">
        <v>5076</v>
      </c>
      <c r="U13" s="229">
        <v>16</v>
      </c>
      <c r="V13" s="229"/>
      <c r="W13" s="229"/>
      <c r="X13" s="230" t="s">
        <v>108</v>
      </c>
      <c r="Y13" s="231">
        <f t="shared" si="0"/>
        <v>1</v>
      </c>
      <c r="Z13" s="3">
        <v>0</v>
      </c>
      <c r="AA13" s="3" t="s">
        <v>5144</v>
      </c>
      <c r="AD13" s="6">
        <f t="shared" si="1"/>
        <v>110.69</v>
      </c>
      <c r="AE13" s="232">
        <v>126.1403871</v>
      </c>
      <c r="AF13" s="233">
        <f t="shared" si="2"/>
        <v>132.828</v>
      </c>
      <c r="AG13" s="6">
        <f t="shared" si="3"/>
        <v>81.99</v>
      </c>
      <c r="AH13" s="30" t="s">
        <v>110</v>
      </c>
      <c r="AI13" s="3">
        <v>0.65</v>
      </c>
      <c r="AJ13" s="18">
        <v>0.35</v>
      </c>
      <c r="AK13" s="6">
        <f t="shared" si="4"/>
        <v>109.58</v>
      </c>
      <c r="AL13" s="6">
        <f t="shared" si="5"/>
        <v>108.48</v>
      </c>
      <c r="AM13" s="6">
        <f t="shared" si="6"/>
        <v>107.37</v>
      </c>
      <c r="AN13" s="6">
        <f t="shared" si="7"/>
        <v>107.37</v>
      </c>
      <c r="AO13" s="6">
        <f t="shared" si="8"/>
        <v>110.69</v>
      </c>
      <c r="BG13" s="12">
        <v>0.01</v>
      </c>
      <c r="BH13" s="12">
        <v>0.02</v>
      </c>
      <c r="BI13" s="12">
        <v>0.03</v>
      </c>
      <c r="BJ13" s="12">
        <v>0.03</v>
      </c>
      <c r="CC13" s="3" t="str">
        <f t="shared" si="9"/>
        <v>Allied-Moulded-P2424.jpg</v>
      </c>
      <c r="CD13" s="16" t="s">
        <v>111</v>
      </c>
      <c r="CE13" s="3"/>
      <c r="CF13" s="3"/>
      <c r="CG13" s="16" t="s">
        <v>5077</v>
      </c>
      <c r="CI13" s="16" t="s">
        <v>97</v>
      </c>
      <c r="CJ13" s="3" t="s">
        <v>4493</v>
      </c>
      <c r="CK13" s="3" t="s">
        <v>124</v>
      </c>
      <c r="CL13" s="3" t="s">
        <v>124</v>
      </c>
    </row>
    <row r="14" spans="1:109" ht="15" customHeight="1">
      <c r="A14" s="235" t="s">
        <v>5145</v>
      </c>
      <c r="B14" s="81" t="s">
        <v>5146</v>
      </c>
      <c r="C14" s="16" t="s">
        <v>97</v>
      </c>
      <c r="D14" s="237" t="s">
        <v>5147</v>
      </c>
      <c r="E14" s="16" t="s">
        <v>97</v>
      </c>
      <c r="F14" s="131" t="s">
        <v>5148</v>
      </c>
      <c r="I14" s="227" t="s">
        <v>342</v>
      </c>
      <c r="J14" s="16" t="s">
        <v>101</v>
      </c>
      <c r="K14" s="16"/>
      <c r="L14" s="16" t="s">
        <v>5075</v>
      </c>
      <c r="P14" s="81" t="s">
        <v>5149</v>
      </c>
      <c r="Q14" s="81" t="s">
        <v>5149</v>
      </c>
      <c r="R14" s="81" t="s">
        <v>5149</v>
      </c>
      <c r="S14" s="235" t="s">
        <v>5145</v>
      </c>
      <c r="T14" s="228" t="s">
        <v>5076</v>
      </c>
      <c r="U14" s="234">
        <v>15</v>
      </c>
      <c r="V14" s="234"/>
      <c r="W14" s="234"/>
      <c r="X14" s="230" t="s">
        <v>108</v>
      </c>
      <c r="Y14" s="231">
        <f t="shared" si="0"/>
        <v>1</v>
      </c>
      <c r="Z14" s="3">
        <v>0</v>
      </c>
      <c r="AA14" s="3" t="s">
        <v>5150</v>
      </c>
      <c r="AD14" s="6">
        <f t="shared" si="1"/>
        <v>84.02</v>
      </c>
      <c r="AE14" s="232">
        <v>95.759223000000006</v>
      </c>
      <c r="AF14" s="233">
        <f t="shared" si="2"/>
        <v>100.824</v>
      </c>
      <c r="AG14" s="6">
        <f t="shared" si="3"/>
        <v>62.24</v>
      </c>
      <c r="AH14" s="30" t="s">
        <v>110</v>
      </c>
      <c r="AI14" s="3">
        <v>0.65</v>
      </c>
      <c r="AJ14" s="18">
        <v>0.35</v>
      </c>
      <c r="AK14" s="6">
        <f t="shared" si="4"/>
        <v>83.18</v>
      </c>
      <c r="AL14" s="6">
        <f t="shared" si="5"/>
        <v>82.34</v>
      </c>
      <c r="AM14" s="6">
        <f t="shared" si="6"/>
        <v>81.5</v>
      </c>
      <c r="AN14" s="6">
        <f t="shared" si="7"/>
        <v>81.5</v>
      </c>
      <c r="AO14" s="6">
        <f t="shared" si="8"/>
        <v>84.02</v>
      </c>
      <c r="BG14" s="12">
        <v>0.01</v>
      </c>
      <c r="BH14" s="12">
        <v>0.02</v>
      </c>
      <c r="BI14" s="12">
        <v>0.03</v>
      </c>
      <c r="BJ14" s="12">
        <v>0.03</v>
      </c>
      <c r="CC14" s="3" t="str">
        <f t="shared" si="9"/>
        <v>Allied-Moulded-PG2424.jpg</v>
      </c>
      <c r="CD14" s="16" t="s">
        <v>111</v>
      </c>
      <c r="CE14" s="3"/>
      <c r="CF14" s="3"/>
      <c r="CG14" s="16" t="s">
        <v>5077</v>
      </c>
      <c r="CI14" s="16" t="s">
        <v>97</v>
      </c>
      <c r="CJ14" s="3" t="s">
        <v>4493</v>
      </c>
      <c r="CK14" s="3" t="s">
        <v>124</v>
      </c>
      <c r="CL14" s="3" t="s">
        <v>124</v>
      </c>
    </row>
    <row r="15" spans="1:109" ht="15" customHeight="1">
      <c r="A15" s="235" t="s">
        <v>5151</v>
      </c>
      <c r="B15" s="81" t="s">
        <v>5152</v>
      </c>
      <c r="C15" s="16" t="s">
        <v>97</v>
      </c>
      <c r="D15" s="237" t="s">
        <v>5153</v>
      </c>
      <c r="E15" s="16" t="s">
        <v>97</v>
      </c>
      <c r="F15" s="131" t="s">
        <v>5154</v>
      </c>
      <c r="I15" s="227" t="s">
        <v>342</v>
      </c>
      <c r="J15" s="16" t="s">
        <v>101</v>
      </c>
      <c r="K15" s="16"/>
      <c r="L15" s="16" t="s">
        <v>5075</v>
      </c>
      <c r="P15" s="81" t="s">
        <v>5155</v>
      </c>
      <c r="Q15" s="81" t="s">
        <v>5155</v>
      </c>
      <c r="R15" s="81" t="s">
        <v>5155</v>
      </c>
      <c r="S15" s="235" t="s">
        <v>5151</v>
      </c>
      <c r="T15" s="228" t="s">
        <v>5076</v>
      </c>
      <c r="U15" s="234">
        <v>13</v>
      </c>
      <c r="V15" s="234"/>
      <c r="W15" s="234"/>
      <c r="X15" s="230" t="s">
        <v>108</v>
      </c>
      <c r="Y15" s="231">
        <f t="shared" si="0"/>
        <v>1</v>
      </c>
      <c r="Z15" s="3">
        <v>0</v>
      </c>
      <c r="AA15" s="3" t="s">
        <v>5156</v>
      </c>
      <c r="AD15" s="6">
        <f t="shared" si="1"/>
        <v>107.97</v>
      </c>
      <c r="AE15" s="232">
        <v>123.04026840000002</v>
      </c>
      <c r="AF15" s="233">
        <f t="shared" si="2"/>
        <v>129.56399999999999</v>
      </c>
      <c r="AG15" s="6">
        <f t="shared" si="3"/>
        <v>79.98</v>
      </c>
      <c r="AH15" s="30" t="s">
        <v>110</v>
      </c>
      <c r="AI15" s="3">
        <v>0.65</v>
      </c>
      <c r="AJ15" s="18">
        <v>0.35</v>
      </c>
      <c r="AK15" s="6">
        <f t="shared" si="4"/>
        <v>106.89</v>
      </c>
      <c r="AL15" s="6">
        <f t="shared" si="5"/>
        <v>105.81</v>
      </c>
      <c r="AM15" s="6">
        <f t="shared" si="6"/>
        <v>104.73</v>
      </c>
      <c r="AN15" s="6">
        <f t="shared" si="7"/>
        <v>104.73</v>
      </c>
      <c r="AO15" s="6">
        <f t="shared" si="8"/>
        <v>107.97</v>
      </c>
      <c r="BG15" s="12">
        <v>0.01</v>
      </c>
      <c r="BH15" s="12">
        <v>0.02</v>
      </c>
      <c r="BI15" s="12">
        <v>0.03</v>
      </c>
      <c r="BJ15" s="12">
        <v>0.03</v>
      </c>
      <c r="CC15" s="3" t="str">
        <f t="shared" si="9"/>
        <v>Allied-Moulded-P2420.jpg</v>
      </c>
      <c r="CD15" s="16" t="s">
        <v>111</v>
      </c>
      <c r="CE15" s="3"/>
      <c r="CF15" s="3"/>
      <c r="CG15" s="16" t="s">
        <v>5077</v>
      </c>
      <c r="CI15" s="16" t="s">
        <v>97</v>
      </c>
      <c r="CJ15" s="3" t="s">
        <v>4493</v>
      </c>
      <c r="CK15" s="3" t="s">
        <v>124</v>
      </c>
      <c r="CL15" s="3" t="s">
        <v>2145</v>
      </c>
    </row>
    <row r="16" spans="1:109" ht="15" customHeight="1">
      <c r="A16" s="235" t="s">
        <v>5157</v>
      </c>
      <c r="B16" s="81" t="s">
        <v>5158</v>
      </c>
      <c r="C16" s="16" t="s">
        <v>97</v>
      </c>
      <c r="D16" s="236" t="s">
        <v>5159</v>
      </c>
      <c r="E16" s="16" t="s">
        <v>97</v>
      </c>
      <c r="F16" s="131" t="s">
        <v>5160</v>
      </c>
      <c r="I16" s="227" t="s">
        <v>342</v>
      </c>
      <c r="J16" s="16" t="s">
        <v>101</v>
      </c>
      <c r="K16" s="16"/>
      <c r="L16" s="16" t="s">
        <v>5075</v>
      </c>
      <c r="M16" s="16"/>
      <c r="P16" s="81" t="s">
        <v>5161</v>
      </c>
      <c r="Q16" s="81" t="s">
        <v>5161</v>
      </c>
      <c r="R16" s="81" t="s">
        <v>5162</v>
      </c>
      <c r="S16" s="235" t="s">
        <v>5163</v>
      </c>
      <c r="T16" s="228" t="s">
        <v>5076</v>
      </c>
      <c r="U16" s="229">
        <v>13</v>
      </c>
      <c r="V16" s="229"/>
      <c r="W16" s="229"/>
      <c r="X16" s="230" t="s">
        <v>108</v>
      </c>
      <c r="Y16" s="231">
        <f t="shared" si="0"/>
        <v>1</v>
      </c>
      <c r="Z16" s="3">
        <v>0</v>
      </c>
      <c r="AA16" s="3" t="s">
        <v>5164</v>
      </c>
      <c r="AD16" s="6">
        <f t="shared" si="1"/>
        <v>159.6</v>
      </c>
      <c r="AE16" s="232">
        <v>181.87363215000002</v>
      </c>
      <c r="AF16" s="233">
        <f t="shared" si="2"/>
        <v>191.51999999999998</v>
      </c>
      <c r="AG16" s="6">
        <f t="shared" si="3"/>
        <v>118.22</v>
      </c>
      <c r="AH16" s="30" t="s">
        <v>110</v>
      </c>
      <c r="AI16" s="3">
        <v>0.65</v>
      </c>
      <c r="AJ16" s="18">
        <v>0.35</v>
      </c>
      <c r="AK16" s="6">
        <f t="shared" si="4"/>
        <v>158</v>
      </c>
      <c r="AL16" s="6">
        <f t="shared" si="5"/>
        <v>156.41</v>
      </c>
      <c r="AM16" s="6">
        <f t="shared" si="6"/>
        <v>154.81</v>
      </c>
      <c r="AN16" s="6">
        <f t="shared" si="7"/>
        <v>154.81</v>
      </c>
      <c r="AO16" s="6">
        <f t="shared" si="8"/>
        <v>159.6</v>
      </c>
      <c r="BG16" s="12">
        <v>0.01</v>
      </c>
      <c r="BH16" s="12">
        <v>0.02</v>
      </c>
      <c r="BI16" s="12">
        <v>0.03</v>
      </c>
      <c r="BJ16" s="12">
        <v>0.03</v>
      </c>
      <c r="CC16" s="3" t="str">
        <f t="shared" si="9"/>
        <v>Allied-Moulded-PA4032.jpg</v>
      </c>
      <c r="CD16" s="16" t="s">
        <v>111</v>
      </c>
      <c r="CE16" s="3"/>
      <c r="CF16" s="3"/>
      <c r="CG16" s="16" t="s">
        <v>5077</v>
      </c>
      <c r="CI16" s="16" t="s">
        <v>97</v>
      </c>
      <c r="CJ16" s="3" t="s">
        <v>4493</v>
      </c>
      <c r="CK16" s="3" t="s">
        <v>249</v>
      </c>
      <c r="CL16" s="3" t="s">
        <v>250</v>
      </c>
    </row>
    <row r="17" spans="1:109" ht="15" customHeight="1">
      <c r="A17" s="235" t="s">
        <v>5165</v>
      </c>
      <c r="B17" s="81" t="s">
        <v>5166</v>
      </c>
      <c r="C17" s="16" t="s">
        <v>97</v>
      </c>
      <c r="D17" s="236" t="s">
        <v>5167</v>
      </c>
      <c r="E17" s="16" t="s">
        <v>97</v>
      </c>
      <c r="F17" s="131" t="s">
        <v>5168</v>
      </c>
      <c r="I17" s="227" t="s">
        <v>342</v>
      </c>
      <c r="J17" s="16" t="s">
        <v>101</v>
      </c>
      <c r="K17" s="16"/>
      <c r="L17" s="16" t="s">
        <v>5075</v>
      </c>
      <c r="P17" s="81" t="s">
        <v>5169</v>
      </c>
      <c r="Q17" s="81" t="s">
        <v>5169</v>
      </c>
      <c r="R17" s="81" t="s">
        <v>5169</v>
      </c>
      <c r="S17" s="235" t="s">
        <v>5165</v>
      </c>
      <c r="T17" s="228" t="s">
        <v>5076</v>
      </c>
      <c r="U17" s="229">
        <v>12</v>
      </c>
      <c r="V17" s="229"/>
      <c r="W17" s="229"/>
      <c r="X17" s="230" t="s">
        <v>108</v>
      </c>
      <c r="Y17" s="231">
        <f t="shared" si="0"/>
        <v>1</v>
      </c>
      <c r="Z17" s="3">
        <v>0</v>
      </c>
      <c r="AA17" s="3" t="s">
        <v>5170</v>
      </c>
      <c r="AD17" s="6">
        <f t="shared" si="1"/>
        <v>73.209999999999994</v>
      </c>
      <c r="AE17" s="232">
        <v>83.427640799999992</v>
      </c>
      <c r="AF17" s="233">
        <f t="shared" si="2"/>
        <v>87.85199999999999</v>
      </c>
      <c r="AG17" s="6">
        <f t="shared" si="3"/>
        <v>54.23</v>
      </c>
      <c r="AH17" s="30" t="s">
        <v>110</v>
      </c>
      <c r="AI17" s="3">
        <v>0.65</v>
      </c>
      <c r="AJ17" s="18">
        <v>0.35</v>
      </c>
      <c r="AK17" s="6">
        <f t="shared" si="4"/>
        <v>72.48</v>
      </c>
      <c r="AL17" s="6">
        <f t="shared" si="5"/>
        <v>71.75</v>
      </c>
      <c r="AM17" s="6">
        <f t="shared" si="6"/>
        <v>71.010000000000005</v>
      </c>
      <c r="AN17" s="6">
        <f t="shared" si="7"/>
        <v>71.010000000000005</v>
      </c>
      <c r="AO17" s="6">
        <f t="shared" si="8"/>
        <v>73.209999999999994</v>
      </c>
      <c r="BG17" s="12">
        <v>0.01</v>
      </c>
      <c r="BH17" s="12">
        <v>0.02</v>
      </c>
      <c r="BI17" s="12">
        <v>0.03</v>
      </c>
      <c r="BJ17" s="12">
        <v>0.03</v>
      </c>
      <c r="CC17" s="3" t="str">
        <f t="shared" si="9"/>
        <v>Allied-Moulded-PG2420.jpg</v>
      </c>
      <c r="CD17" s="16" t="s">
        <v>111</v>
      </c>
      <c r="CE17" s="3"/>
      <c r="CF17" s="3"/>
      <c r="CG17" s="16" t="s">
        <v>5077</v>
      </c>
      <c r="CI17" s="16" t="s">
        <v>97</v>
      </c>
      <c r="CJ17" s="3" t="s">
        <v>4493</v>
      </c>
      <c r="CK17" s="3" t="s">
        <v>124</v>
      </c>
      <c r="CL17" s="3" t="s">
        <v>2145</v>
      </c>
    </row>
    <row r="18" spans="1:109" ht="15" customHeight="1">
      <c r="A18" s="235" t="s">
        <v>5171</v>
      </c>
      <c r="B18" s="81" t="s">
        <v>5172</v>
      </c>
      <c r="C18" s="16" t="s">
        <v>97</v>
      </c>
      <c r="D18" s="236" t="s">
        <v>5173</v>
      </c>
      <c r="E18" s="16" t="s">
        <v>97</v>
      </c>
      <c r="F18" s="131" t="s">
        <v>5174</v>
      </c>
      <c r="I18" s="227" t="s">
        <v>342</v>
      </c>
      <c r="J18" s="16" t="s">
        <v>101</v>
      </c>
      <c r="K18" s="16"/>
      <c r="L18" s="16" t="s">
        <v>5075</v>
      </c>
      <c r="P18" s="81" t="s">
        <v>5175</v>
      </c>
      <c r="Q18" s="81" t="s">
        <v>5175</v>
      </c>
      <c r="R18" s="81" t="s">
        <v>5175</v>
      </c>
      <c r="S18" s="235" t="s">
        <v>5171</v>
      </c>
      <c r="T18" s="228" t="s">
        <v>5076</v>
      </c>
      <c r="U18" s="238">
        <v>8</v>
      </c>
      <c r="V18" s="238"/>
      <c r="W18" s="238"/>
      <c r="X18" s="230" t="s">
        <v>108</v>
      </c>
      <c r="Y18" s="231">
        <f t="shared" si="0"/>
        <v>1</v>
      </c>
      <c r="Z18" s="3">
        <v>0</v>
      </c>
      <c r="AA18" s="3" t="s">
        <v>5176</v>
      </c>
      <c r="AD18" s="6">
        <f t="shared" si="1"/>
        <v>121.16</v>
      </c>
      <c r="AE18" s="157">
        <v>138.0724002</v>
      </c>
      <c r="AF18" s="233">
        <f t="shared" si="2"/>
        <v>145.392</v>
      </c>
      <c r="AG18" s="6">
        <f t="shared" si="3"/>
        <v>89.75</v>
      </c>
      <c r="AH18" s="30" t="s">
        <v>110</v>
      </c>
      <c r="AI18" s="3">
        <v>0.65</v>
      </c>
      <c r="AJ18" s="18">
        <v>0.35</v>
      </c>
      <c r="AK18" s="6">
        <f t="shared" si="4"/>
        <v>119.95</v>
      </c>
      <c r="AL18" s="6">
        <f t="shared" si="5"/>
        <v>118.74</v>
      </c>
      <c r="AM18" s="6">
        <f t="shared" si="6"/>
        <v>117.53</v>
      </c>
      <c r="AN18" s="6">
        <f t="shared" si="7"/>
        <v>117.53</v>
      </c>
      <c r="AO18" s="6">
        <f t="shared" si="8"/>
        <v>121.16</v>
      </c>
      <c r="BG18" s="12">
        <v>0.01</v>
      </c>
      <c r="BH18" s="12">
        <v>0.02</v>
      </c>
      <c r="BI18" s="12">
        <v>0.03</v>
      </c>
      <c r="BJ18" s="12">
        <v>0.03</v>
      </c>
      <c r="CC18" s="3" t="str">
        <f t="shared" si="9"/>
        <v>Allied-Moulded-PA3024.jpg</v>
      </c>
      <c r="CD18" s="16" t="s">
        <v>111</v>
      </c>
      <c r="CE18" s="3"/>
      <c r="CF18" s="3"/>
      <c r="CG18" s="16" t="s">
        <v>5077</v>
      </c>
      <c r="CI18" s="16" t="s">
        <v>97</v>
      </c>
      <c r="CJ18" s="3" t="s">
        <v>4493</v>
      </c>
      <c r="CK18" s="3" t="s">
        <v>123</v>
      </c>
      <c r="CL18" s="3" t="s">
        <v>124</v>
      </c>
    </row>
    <row r="19" spans="1:109" ht="15" customHeight="1">
      <c r="A19" s="235" t="s">
        <v>5177</v>
      </c>
      <c r="B19" s="81" t="s">
        <v>5178</v>
      </c>
      <c r="C19" s="16" t="s">
        <v>97</v>
      </c>
      <c r="D19" s="236" t="s">
        <v>5179</v>
      </c>
      <c r="E19" s="16" t="s">
        <v>97</v>
      </c>
      <c r="F19" s="131" t="s">
        <v>5180</v>
      </c>
      <c r="I19" s="227" t="s">
        <v>342</v>
      </c>
      <c r="J19" s="16" t="s">
        <v>101</v>
      </c>
      <c r="K19" s="16"/>
      <c r="L19" s="16" t="s">
        <v>5075</v>
      </c>
      <c r="P19" s="81" t="s">
        <v>5181</v>
      </c>
      <c r="Q19" s="81" t="s">
        <v>5181</v>
      </c>
      <c r="R19" s="81" t="s">
        <v>5181</v>
      </c>
      <c r="S19" s="235" t="s">
        <v>5177</v>
      </c>
      <c r="T19" s="228" t="s">
        <v>5076</v>
      </c>
      <c r="U19" s="238">
        <v>7</v>
      </c>
      <c r="V19" s="238"/>
      <c r="W19" s="238"/>
      <c r="X19" s="230" t="s">
        <v>108</v>
      </c>
      <c r="Y19" s="231">
        <f t="shared" si="0"/>
        <v>1</v>
      </c>
      <c r="Z19" s="3">
        <v>0</v>
      </c>
      <c r="AA19" s="3" t="s">
        <v>5182</v>
      </c>
      <c r="AD19" s="6">
        <f t="shared" si="1"/>
        <v>35.9</v>
      </c>
      <c r="AE19" s="232">
        <v>40.900348649999998</v>
      </c>
      <c r="AF19" s="233">
        <f t="shared" si="2"/>
        <v>43.08</v>
      </c>
      <c r="AG19" s="6">
        <f t="shared" si="3"/>
        <v>26.59</v>
      </c>
      <c r="AH19" s="30" t="s">
        <v>110</v>
      </c>
      <c r="AI19" s="3">
        <v>0.65</v>
      </c>
      <c r="AJ19" s="18">
        <v>0.35</v>
      </c>
      <c r="AK19" s="6">
        <f t="shared" si="4"/>
        <v>35.54</v>
      </c>
      <c r="AL19" s="6">
        <f t="shared" si="5"/>
        <v>35.18</v>
      </c>
      <c r="AM19" s="6">
        <f t="shared" si="6"/>
        <v>34.82</v>
      </c>
      <c r="AN19" s="6">
        <f t="shared" si="7"/>
        <v>34.82</v>
      </c>
      <c r="AO19" s="6">
        <f t="shared" si="8"/>
        <v>35.9</v>
      </c>
      <c r="BG19" s="12">
        <v>0.01</v>
      </c>
      <c r="BH19" s="12">
        <v>0.02</v>
      </c>
      <c r="BI19" s="12">
        <v>0.03</v>
      </c>
      <c r="BJ19" s="12">
        <v>0.03</v>
      </c>
      <c r="CC19" s="3" t="str">
        <f t="shared" si="9"/>
        <v>Allied-Moulded-PG206.jpg</v>
      </c>
      <c r="CD19" s="16" t="s">
        <v>111</v>
      </c>
      <c r="CE19" s="3"/>
      <c r="CF19" s="3"/>
      <c r="CG19" s="16" t="s">
        <v>5077</v>
      </c>
      <c r="CI19" s="16" t="s">
        <v>97</v>
      </c>
      <c r="CJ19" s="3" t="s">
        <v>4493</v>
      </c>
      <c r="CK19" s="3" t="s">
        <v>2145</v>
      </c>
      <c r="CL19" s="3" t="s">
        <v>242</v>
      </c>
    </row>
    <row r="20" spans="1:109" ht="15" customHeight="1">
      <c r="A20" s="235" t="s">
        <v>5183</v>
      </c>
      <c r="B20" s="81" t="s">
        <v>5184</v>
      </c>
      <c r="C20" s="16" t="s">
        <v>97</v>
      </c>
      <c r="D20" s="236" t="s">
        <v>5185</v>
      </c>
      <c r="E20" s="16" t="s">
        <v>97</v>
      </c>
      <c r="F20" s="131" t="s">
        <v>5186</v>
      </c>
      <c r="I20" s="227" t="s">
        <v>342</v>
      </c>
      <c r="J20" s="16" t="s">
        <v>101</v>
      </c>
      <c r="K20" s="16"/>
      <c r="L20" s="16" t="s">
        <v>5075</v>
      </c>
      <c r="P20" s="81" t="s">
        <v>5187</v>
      </c>
      <c r="Q20" s="81" t="s">
        <v>5187</v>
      </c>
      <c r="R20" s="81" t="s">
        <v>5187</v>
      </c>
      <c r="S20" s="235" t="s">
        <v>5183</v>
      </c>
      <c r="T20" s="228" t="s">
        <v>5076</v>
      </c>
      <c r="U20" s="229">
        <v>6</v>
      </c>
      <c r="V20" s="229"/>
      <c r="W20" s="229"/>
      <c r="X20" s="230" t="s">
        <v>108</v>
      </c>
      <c r="Y20" s="231">
        <f t="shared" si="0"/>
        <v>1</v>
      </c>
      <c r="Z20" s="3">
        <v>0</v>
      </c>
      <c r="AA20" s="3" t="s">
        <v>5188</v>
      </c>
      <c r="AD20" s="6">
        <f t="shared" si="1"/>
        <v>31.9</v>
      </c>
      <c r="AE20" s="232">
        <v>36.3590199</v>
      </c>
      <c r="AF20" s="233">
        <f t="shared" si="2"/>
        <v>38.279999999999994</v>
      </c>
      <c r="AG20" s="6">
        <f t="shared" si="3"/>
        <v>23.63</v>
      </c>
      <c r="AH20" s="30" t="s">
        <v>110</v>
      </c>
      <c r="AI20" s="3">
        <v>0.65</v>
      </c>
      <c r="AJ20" s="18">
        <v>0.35</v>
      </c>
      <c r="AK20" s="6">
        <f t="shared" si="4"/>
        <v>31.58</v>
      </c>
      <c r="AL20" s="6">
        <f t="shared" si="5"/>
        <v>31.26</v>
      </c>
      <c r="AM20" s="6">
        <f t="shared" si="6"/>
        <v>30.94</v>
      </c>
      <c r="AN20" s="6">
        <f t="shared" si="7"/>
        <v>30.94</v>
      </c>
      <c r="AO20" s="6">
        <f t="shared" si="8"/>
        <v>31.9</v>
      </c>
      <c r="BG20" s="12">
        <v>0.01</v>
      </c>
      <c r="BH20" s="12">
        <v>0.02</v>
      </c>
      <c r="BI20" s="12">
        <v>0.03</v>
      </c>
      <c r="BJ20" s="12">
        <v>0.03</v>
      </c>
      <c r="CC20" s="3" t="str">
        <f t="shared" si="9"/>
        <v>Allied-Moulded-P186.jpg</v>
      </c>
      <c r="CD20" s="16" t="s">
        <v>111</v>
      </c>
      <c r="CE20" s="3"/>
      <c r="CF20" s="3"/>
      <c r="CG20" s="16" t="s">
        <v>5077</v>
      </c>
      <c r="CI20" s="16" t="s">
        <v>97</v>
      </c>
      <c r="CJ20" s="16" t="s">
        <v>4493</v>
      </c>
      <c r="CK20" s="3" t="s">
        <v>1814</v>
      </c>
      <c r="CL20" s="3" t="s">
        <v>242</v>
      </c>
    </row>
    <row r="21" spans="1:109" s="1" customFormat="1" ht="15" customHeight="1">
      <c r="A21" s="235" t="s">
        <v>5189</v>
      </c>
      <c r="B21" s="81" t="s">
        <v>5190</v>
      </c>
      <c r="C21" s="16" t="s">
        <v>97</v>
      </c>
      <c r="D21" s="237" t="s">
        <v>5191</v>
      </c>
      <c r="E21" s="16" t="s">
        <v>97</v>
      </c>
      <c r="F21" s="131" t="s">
        <v>5192</v>
      </c>
      <c r="G21" s="3"/>
      <c r="H21" s="3"/>
      <c r="I21" s="227" t="s">
        <v>342</v>
      </c>
      <c r="J21" s="16" t="s">
        <v>101</v>
      </c>
      <c r="K21" s="16"/>
      <c r="L21" s="16" t="s">
        <v>5075</v>
      </c>
      <c r="M21" s="3"/>
      <c r="N21" s="3"/>
      <c r="O21" s="3"/>
      <c r="P21" s="81" t="s">
        <v>5193</v>
      </c>
      <c r="Q21" s="81" t="s">
        <v>5193</v>
      </c>
      <c r="R21" s="81" t="s">
        <v>5193</v>
      </c>
      <c r="S21" s="235" t="s">
        <v>5189</v>
      </c>
      <c r="T21" s="228" t="s">
        <v>5076</v>
      </c>
      <c r="U21" s="239">
        <v>6</v>
      </c>
      <c r="V21" s="239"/>
      <c r="W21" s="239"/>
      <c r="X21" s="230" t="s">
        <v>108</v>
      </c>
      <c r="Y21" s="231">
        <f t="shared" si="0"/>
        <v>1</v>
      </c>
      <c r="Z21" s="3">
        <v>0</v>
      </c>
      <c r="AA21" s="3" t="s">
        <v>5194</v>
      </c>
      <c r="AB21" s="3"/>
      <c r="AC21" s="3"/>
      <c r="AD21" s="6">
        <f t="shared" si="1"/>
        <v>27</v>
      </c>
      <c r="AE21" s="232">
        <v>30.7675074</v>
      </c>
      <c r="AF21" s="233">
        <f t="shared" si="2"/>
        <v>32.4</v>
      </c>
      <c r="AG21" s="6">
        <f t="shared" si="3"/>
        <v>20</v>
      </c>
      <c r="AH21" s="30" t="s">
        <v>110</v>
      </c>
      <c r="AI21" s="3">
        <v>0.65</v>
      </c>
      <c r="AJ21" s="18">
        <v>0.35</v>
      </c>
      <c r="AK21" s="6">
        <f t="shared" si="4"/>
        <v>26.73</v>
      </c>
      <c r="AL21" s="6">
        <f t="shared" si="5"/>
        <v>26.46</v>
      </c>
      <c r="AM21" s="6">
        <f t="shared" si="6"/>
        <v>26.19</v>
      </c>
      <c r="AN21" s="6">
        <f t="shared" si="7"/>
        <v>26.19</v>
      </c>
      <c r="AO21" s="6">
        <f t="shared" si="8"/>
        <v>27</v>
      </c>
      <c r="AP21" s="12"/>
      <c r="AQ21" s="12"/>
      <c r="AR21" s="3"/>
      <c r="AS21" s="3"/>
      <c r="AT21" s="3"/>
      <c r="AU21" s="3"/>
      <c r="AV21" s="3"/>
      <c r="AW21" s="3"/>
      <c r="AX21" s="3"/>
      <c r="AY21" s="3"/>
      <c r="AZ21" s="3"/>
      <c r="BA21" s="3"/>
      <c r="BB21" s="3"/>
      <c r="BC21" s="3"/>
      <c r="BD21" s="3"/>
      <c r="BE21" s="3"/>
      <c r="BF21" s="3"/>
      <c r="BG21" s="12">
        <v>0.01</v>
      </c>
      <c r="BH21" s="12">
        <v>0.02</v>
      </c>
      <c r="BI21" s="12">
        <v>0.03</v>
      </c>
      <c r="BJ21" s="12">
        <v>0.03</v>
      </c>
      <c r="BK21" s="3"/>
      <c r="BL21" s="3"/>
      <c r="BM21" s="3"/>
      <c r="BN21" s="3"/>
      <c r="BO21" s="3"/>
      <c r="BP21" s="3"/>
      <c r="BQ21" s="222"/>
      <c r="BR21" s="222"/>
      <c r="BS21" s="222"/>
      <c r="BT21" s="222"/>
      <c r="BU21" s="222"/>
      <c r="BV21" s="222"/>
      <c r="BW21" s="222"/>
      <c r="BX21" s="222"/>
      <c r="BY21" s="222"/>
      <c r="BZ21" s="222"/>
      <c r="CA21" s="222"/>
      <c r="CB21" s="222"/>
      <c r="CC21" s="3" t="str">
        <f t="shared" si="9"/>
        <v>Allied-Moulded-PG186.jpg</v>
      </c>
      <c r="CD21" s="16" t="s">
        <v>111</v>
      </c>
      <c r="CE21" s="3"/>
      <c r="CF21" s="3"/>
      <c r="CG21" s="16" t="s">
        <v>5077</v>
      </c>
      <c r="CH21" s="3"/>
      <c r="CI21" s="16" t="s">
        <v>97</v>
      </c>
      <c r="CJ21" s="3" t="s">
        <v>4493</v>
      </c>
      <c r="CK21" s="3" t="s">
        <v>1814</v>
      </c>
      <c r="CL21" s="3" t="s">
        <v>242</v>
      </c>
      <c r="CM21" s="3"/>
      <c r="CN21" s="3"/>
      <c r="CO21" s="3"/>
      <c r="CP21" s="3"/>
      <c r="CQ21" s="3"/>
      <c r="CR21" s="3"/>
      <c r="CS21" s="3"/>
      <c r="CT21" s="3"/>
      <c r="CU21" s="3"/>
      <c r="CV21" s="3"/>
      <c r="CW21" s="3"/>
      <c r="CX21" s="3"/>
      <c r="CY21" s="3"/>
      <c r="CZ21" s="3"/>
      <c r="DA21" s="3"/>
      <c r="DB21" s="3"/>
      <c r="DC21" s="3"/>
      <c r="DD21" s="3"/>
      <c r="DE21" s="3"/>
    </row>
    <row r="22" spans="1:109" ht="15" customHeight="1">
      <c r="A22" s="222" t="s">
        <v>5195</v>
      </c>
      <c r="B22" s="3" t="s">
        <v>5196</v>
      </c>
      <c r="C22" s="16" t="s">
        <v>97</v>
      </c>
      <c r="D22" s="234" t="s">
        <v>5197</v>
      </c>
      <c r="E22" s="16" t="s">
        <v>97</v>
      </c>
      <c r="F22" s="131" t="s">
        <v>5198</v>
      </c>
      <c r="I22" s="227" t="s">
        <v>342</v>
      </c>
      <c r="J22" s="16" t="s">
        <v>101</v>
      </c>
      <c r="K22" s="16"/>
      <c r="L22" s="16" t="s">
        <v>5075</v>
      </c>
      <c r="P22" s="3" t="s">
        <v>5199</v>
      </c>
      <c r="Q22" s="3" t="s">
        <v>5199</v>
      </c>
      <c r="R22" s="3" t="s">
        <v>5199</v>
      </c>
      <c r="S22" s="222" t="s">
        <v>5195</v>
      </c>
      <c r="T22" s="228" t="s">
        <v>5076</v>
      </c>
      <c r="U22" s="240">
        <v>6</v>
      </c>
      <c r="V22" s="239"/>
      <c r="W22" s="239"/>
      <c r="X22" s="230" t="s">
        <v>108</v>
      </c>
      <c r="Y22" s="231">
        <f t="shared" si="0"/>
        <v>1</v>
      </c>
      <c r="Z22" s="3">
        <v>0</v>
      </c>
      <c r="AA22" s="3" t="s">
        <v>5200</v>
      </c>
      <c r="AD22" s="6">
        <f t="shared" si="1"/>
        <v>103.22</v>
      </c>
      <c r="AE22" s="122">
        <v>117.6253932</v>
      </c>
      <c r="AF22" s="233">
        <f t="shared" si="2"/>
        <v>123.86399999999999</v>
      </c>
      <c r="AG22" s="6">
        <f t="shared" si="3"/>
        <v>76.459999999999994</v>
      </c>
      <c r="AH22" s="30" t="s">
        <v>110</v>
      </c>
      <c r="AI22" s="3">
        <v>0.65</v>
      </c>
      <c r="AJ22" s="18">
        <v>0.35</v>
      </c>
      <c r="AK22" s="6">
        <f t="shared" si="4"/>
        <v>102.19</v>
      </c>
      <c r="AL22" s="6">
        <f t="shared" si="5"/>
        <v>101.16</v>
      </c>
      <c r="AM22" s="6">
        <f t="shared" si="6"/>
        <v>100.12</v>
      </c>
      <c r="AN22" s="6">
        <f t="shared" si="7"/>
        <v>100.12</v>
      </c>
      <c r="AO22" s="6">
        <f t="shared" si="8"/>
        <v>103.22</v>
      </c>
      <c r="BG22" s="12">
        <v>0.01</v>
      </c>
      <c r="BH22" s="12">
        <v>0.02</v>
      </c>
      <c r="BI22" s="12">
        <v>0.03</v>
      </c>
      <c r="BJ22" s="12">
        <v>0.03</v>
      </c>
      <c r="CC22" s="3" t="str">
        <f t="shared" si="9"/>
        <v>Allied-Moulded-PA2424.jpg</v>
      </c>
      <c r="CD22" s="16" t="s">
        <v>111</v>
      </c>
      <c r="CE22" s="3"/>
      <c r="CF22" s="3"/>
      <c r="CG22" s="16" t="s">
        <v>5077</v>
      </c>
      <c r="CI22" s="16" t="s">
        <v>97</v>
      </c>
      <c r="CJ22" s="3" t="s">
        <v>4493</v>
      </c>
      <c r="CK22" s="3" t="s">
        <v>124</v>
      </c>
      <c r="CL22" s="3" t="s">
        <v>124</v>
      </c>
    </row>
    <row r="23" spans="1:109" ht="15" customHeight="1">
      <c r="A23" s="241" t="s">
        <v>5201</v>
      </c>
      <c r="B23" s="86" t="s">
        <v>5202</v>
      </c>
      <c r="C23" s="16" t="s">
        <v>97</v>
      </c>
      <c r="D23" s="86" t="s">
        <v>5203</v>
      </c>
      <c r="E23" s="16" t="s">
        <v>97</v>
      </c>
      <c r="F23" s="150" t="s">
        <v>5074</v>
      </c>
      <c r="I23" s="227" t="s">
        <v>342</v>
      </c>
      <c r="J23" s="16" t="s">
        <v>101</v>
      </c>
      <c r="K23" s="16"/>
      <c r="L23" s="16" t="s">
        <v>5075</v>
      </c>
      <c r="M23" s="16"/>
      <c r="N23" s="16"/>
      <c r="P23" s="86" t="s">
        <v>5204</v>
      </c>
      <c r="Q23" s="86" t="s">
        <v>5204</v>
      </c>
      <c r="R23" s="86" t="s">
        <v>5204</v>
      </c>
      <c r="S23" s="241" t="s">
        <v>5201</v>
      </c>
      <c r="T23" s="146" t="s">
        <v>5076</v>
      </c>
      <c r="U23" s="97">
        <v>5</v>
      </c>
      <c r="X23" s="31" t="s">
        <v>108</v>
      </c>
      <c r="Y23" s="231">
        <f t="shared" si="0"/>
        <v>1</v>
      </c>
      <c r="Z23" s="3">
        <v>0</v>
      </c>
      <c r="AA23" s="3" t="s">
        <v>5205</v>
      </c>
      <c r="AD23" s="6">
        <f t="shared" si="1"/>
        <v>64.83</v>
      </c>
      <c r="AE23" s="99">
        <v>73.876716900000005</v>
      </c>
      <c r="AF23" s="233">
        <f t="shared" si="2"/>
        <v>77.795999999999992</v>
      </c>
      <c r="AG23" s="6">
        <f t="shared" si="3"/>
        <v>48.02</v>
      </c>
      <c r="AH23" s="30" t="s">
        <v>110</v>
      </c>
      <c r="AI23" s="3">
        <v>0.65</v>
      </c>
      <c r="AJ23" s="18">
        <v>0.35</v>
      </c>
      <c r="AK23" s="6">
        <f t="shared" si="4"/>
        <v>64.180000000000007</v>
      </c>
      <c r="AL23" s="6">
        <f t="shared" si="5"/>
        <v>63.53</v>
      </c>
      <c r="AM23" s="6">
        <f t="shared" si="6"/>
        <v>62.89</v>
      </c>
      <c r="AN23" s="6">
        <f t="shared" si="7"/>
        <v>62.89</v>
      </c>
      <c r="AO23" s="6">
        <f t="shared" si="8"/>
        <v>64.83</v>
      </c>
      <c r="BG23" s="12">
        <v>0.01</v>
      </c>
      <c r="BH23" s="12">
        <v>0.02</v>
      </c>
      <c r="BI23" s="12">
        <v>0.03</v>
      </c>
      <c r="BJ23" s="12">
        <v>0.03</v>
      </c>
      <c r="BK23" s="12"/>
      <c r="CC23" s="3" t="str">
        <f t="shared" si="9"/>
        <v>Allied-Moulded-PF186.jpg</v>
      </c>
      <c r="CD23" s="16" t="s">
        <v>111</v>
      </c>
      <c r="CE23" s="3"/>
      <c r="CF23" s="3"/>
      <c r="CG23" s="16" t="s">
        <v>5077</v>
      </c>
      <c r="CH23" s="16"/>
      <c r="CI23" s="16" t="s">
        <v>97</v>
      </c>
      <c r="CJ23" s="16" t="s">
        <v>118</v>
      </c>
      <c r="CK23" s="16" t="s">
        <v>1814</v>
      </c>
      <c r="CL23" s="16" t="s">
        <v>242</v>
      </c>
      <c r="CN23" s="16"/>
      <c r="CO23" s="16"/>
      <c r="CP23" s="16"/>
      <c r="CQ23" s="16"/>
    </row>
    <row r="24" spans="1:109" ht="15" customHeight="1">
      <c r="A24" s="241" t="s">
        <v>5206</v>
      </c>
      <c r="B24" s="86" t="s">
        <v>5207</v>
      </c>
      <c r="C24" s="16" t="s">
        <v>97</v>
      </c>
      <c r="D24" s="86" t="s">
        <v>5208</v>
      </c>
      <c r="E24" s="16" t="s">
        <v>97</v>
      </c>
      <c r="F24" s="150" t="s">
        <v>5209</v>
      </c>
      <c r="I24" s="227" t="s">
        <v>342</v>
      </c>
      <c r="J24" s="16" t="s">
        <v>101</v>
      </c>
      <c r="K24" s="16"/>
      <c r="L24" s="16" t="s">
        <v>5075</v>
      </c>
      <c r="M24" s="16"/>
      <c r="N24" s="16"/>
      <c r="P24" s="86" t="s">
        <v>5210</v>
      </c>
      <c r="Q24" s="86" t="s">
        <v>5210</v>
      </c>
      <c r="R24" s="86" t="s">
        <v>5210</v>
      </c>
      <c r="S24" s="241" t="s">
        <v>5206</v>
      </c>
      <c r="T24" s="146" t="s">
        <v>5076</v>
      </c>
      <c r="U24" s="97">
        <v>5</v>
      </c>
      <c r="X24" s="31" t="s">
        <v>108</v>
      </c>
      <c r="Y24" s="231">
        <f t="shared" si="0"/>
        <v>1</v>
      </c>
      <c r="Z24" s="3">
        <v>0</v>
      </c>
      <c r="AA24" s="3" t="s">
        <v>5211</v>
      </c>
      <c r="AD24" s="6">
        <f t="shared" si="1"/>
        <v>76.150000000000006</v>
      </c>
      <c r="AE24" s="99">
        <v>86.787728999999999</v>
      </c>
      <c r="AF24" s="233">
        <f t="shared" si="2"/>
        <v>91.38000000000001</v>
      </c>
      <c r="AG24" s="6">
        <f t="shared" si="3"/>
        <v>56.41</v>
      </c>
      <c r="AH24" s="30" t="s">
        <v>110</v>
      </c>
      <c r="AI24" s="3">
        <v>0.65</v>
      </c>
      <c r="AJ24" s="18">
        <v>0.35</v>
      </c>
      <c r="AK24" s="6">
        <f t="shared" si="4"/>
        <v>75.39</v>
      </c>
      <c r="AL24" s="6">
        <f t="shared" si="5"/>
        <v>74.63</v>
      </c>
      <c r="AM24" s="6">
        <f t="shared" si="6"/>
        <v>73.87</v>
      </c>
      <c r="AN24" s="6">
        <f t="shared" si="7"/>
        <v>73.87</v>
      </c>
      <c r="AO24" s="6">
        <f t="shared" si="8"/>
        <v>76.150000000000006</v>
      </c>
      <c r="BG24" s="12">
        <v>0.01</v>
      </c>
      <c r="BH24" s="12">
        <v>0.02</v>
      </c>
      <c r="BI24" s="12">
        <v>0.03</v>
      </c>
      <c r="BJ24" s="12">
        <v>0.03</v>
      </c>
      <c r="BK24" s="12"/>
      <c r="CC24" s="3" t="str">
        <f t="shared" si="9"/>
        <v>Allied-Moulded-PF206.jpg</v>
      </c>
      <c r="CD24" s="16" t="s">
        <v>111</v>
      </c>
      <c r="CE24" s="3"/>
      <c r="CF24" s="3"/>
      <c r="CG24" s="16" t="s">
        <v>5077</v>
      </c>
      <c r="CH24" s="16"/>
      <c r="CI24" s="16" t="s">
        <v>97</v>
      </c>
      <c r="CJ24" s="16" t="s">
        <v>118</v>
      </c>
      <c r="CK24" s="16" t="s">
        <v>2145</v>
      </c>
      <c r="CL24" s="16" t="s">
        <v>242</v>
      </c>
      <c r="CN24" s="16"/>
      <c r="CO24" s="16"/>
      <c r="CP24" s="16"/>
      <c r="CQ24" s="16"/>
    </row>
    <row r="25" spans="1:109" ht="15" customHeight="1">
      <c r="A25" s="222" t="s">
        <v>5212</v>
      </c>
      <c r="B25" s="3" t="s">
        <v>5213</v>
      </c>
      <c r="C25" s="16" t="s">
        <v>97</v>
      </c>
      <c r="D25" s="242" t="s">
        <v>5214</v>
      </c>
      <c r="E25" s="16" t="s">
        <v>97</v>
      </c>
      <c r="F25" s="131" t="s">
        <v>5215</v>
      </c>
      <c r="I25" s="227" t="s">
        <v>342</v>
      </c>
      <c r="J25" s="16" t="s">
        <v>101</v>
      </c>
      <c r="K25" s="16"/>
      <c r="L25" s="16" t="s">
        <v>5075</v>
      </c>
      <c r="P25" s="3" t="s">
        <v>5216</v>
      </c>
      <c r="Q25" s="3" t="s">
        <v>5216</v>
      </c>
      <c r="R25" s="3" t="s">
        <v>5216</v>
      </c>
      <c r="S25" s="222" t="s">
        <v>5212</v>
      </c>
      <c r="T25" s="228" t="s">
        <v>5076</v>
      </c>
      <c r="U25" s="243">
        <v>5</v>
      </c>
      <c r="V25" s="238"/>
      <c r="W25" s="238"/>
      <c r="X25" s="230" t="s">
        <v>108</v>
      </c>
      <c r="Y25" s="231">
        <f t="shared" si="0"/>
        <v>1</v>
      </c>
      <c r="Z25" s="3">
        <v>0</v>
      </c>
      <c r="AA25" s="3" t="s">
        <v>5217</v>
      </c>
      <c r="AD25" s="6">
        <f t="shared" si="1"/>
        <v>22.56</v>
      </c>
      <c r="AE25" s="244">
        <v>25.715278050000002</v>
      </c>
      <c r="AF25" s="233">
        <f t="shared" si="2"/>
        <v>27.071999999999999</v>
      </c>
      <c r="AG25" s="6">
        <f t="shared" si="3"/>
        <v>16.71</v>
      </c>
      <c r="AH25" s="30" t="s">
        <v>110</v>
      </c>
      <c r="AI25" s="3">
        <v>0.65</v>
      </c>
      <c r="AJ25" s="18">
        <v>0.35</v>
      </c>
      <c r="AK25" s="6">
        <f t="shared" si="4"/>
        <v>22.33</v>
      </c>
      <c r="AL25" s="6">
        <f t="shared" si="5"/>
        <v>22.11</v>
      </c>
      <c r="AM25" s="6">
        <f t="shared" si="6"/>
        <v>21.88</v>
      </c>
      <c r="AN25" s="6">
        <f t="shared" si="7"/>
        <v>21.88</v>
      </c>
      <c r="AO25" s="6">
        <f t="shared" si="8"/>
        <v>22.56</v>
      </c>
      <c r="BG25" s="12">
        <v>0.01</v>
      </c>
      <c r="BH25" s="12">
        <v>0.02</v>
      </c>
      <c r="BI25" s="12">
        <v>0.03</v>
      </c>
      <c r="BJ25" s="12">
        <v>0.03</v>
      </c>
      <c r="CC25" s="3" t="str">
        <f t="shared" si="9"/>
        <v>Allied-Moulded-PG164.jpg</v>
      </c>
      <c r="CD25" s="16" t="s">
        <v>111</v>
      </c>
      <c r="CE25" s="3"/>
      <c r="CF25" s="3"/>
      <c r="CG25" s="16" t="s">
        <v>5077</v>
      </c>
      <c r="CI25" s="16" t="s">
        <v>97</v>
      </c>
      <c r="CJ25" s="3" t="s">
        <v>4493</v>
      </c>
      <c r="CK25" s="3" t="s">
        <v>242</v>
      </c>
      <c r="CL25" s="3" t="s">
        <v>1037</v>
      </c>
    </row>
    <row r="26" spans="1:109" ht="15" customHeight="1">
      <c r="A26" s="222" t="s">
        <v>5218</v>
      </c>
      <c r="B26" s="3" t="s">
        <v>5219</v>
      </c>
      <c r="C26" s="16" t="s">
        <v>97</v>
      </c>
      <c r="D26" s="245" t="s">
        <v>5220</v>
      </c>
      <c r="E26" s="16" t="s">
        <v>97</v>
      </c>
      <c r="F26" s="131" t="s">
        <v>5221</v>
      </c>
      <c r="I26" s="227" t="s">
        <v>342</v>
      </c>
      <c r="J26" s="16" t="s">
        <v>101</v>
      </c>
      <c r="K26" s="16"/>
      <c r="L26" s="16" t="s">
        <v>5075</v>
      </c>
      <c r="P26" s="3" t="s">
        <v>5222</v>
      </c>
      <c r="Q26" s="3" t="s">
        <v>5222</v>
      </c>
      <c r="R26" s="3" t="s">
        <v>5222</v>
      </c>
      <c r="S26" s="222" t="s">
        <v>5218</v>
      </c>
      <c r="T26" s="228" t="s">
        <v>5076</v>
      </c>
      <c r="U26" s="246">
        <v>5</v>
      </c>
      <c r="V26" s="238"/>
      <c r="W26" s="238"/>
      <c r="X26" s="230" t="s">
        <v>108</v>
      </c>
      <c r="Y26" s="231">
        <f t="shared" si="0"/>
        <v>1</v>
      </c>
      <c r="Z26" s="3">
        <v>0</v>
      </c>
      <c r="AA26" s="3" t="s">
        <v>5223</v>
      </c>
      <c r="AD26" s="6">
        <f t="shared" si="1"/>
        <v>94.5</v>
      </c>
      <c r="AE26" s="123">
        <v>107.6912361</v>
      </c>
      <c r="AF26" s="233">
        <f t="shared" si="2"/>
        <v>113.39999999999999</v>
      </c>
      <c r="AG26" s="6">
        <f t="shared" si="3"/>
        <v>70</v>
      </c>
      <c r="AH26" s="30" t="s">
        <v>110</v>
      </c>
      <c r="AI26" s="3">
        <v>0.65</v>
      </c>
      <c r="AJ26" s="18">
        <v>0.35</v>
      </c>
      <c r="AK26" s="6">
        <f t="shared" si="4"/>
        <v>93.56</v>
      </c>
      <c r="AL26" s="6">
        <f t="shared" si="5"/>
        <v>92.61</v>
      </c>
      <c r="AM26" s="6">
        <f t="shared" si="6"/>
        <v>91.67</v>
      </c>
      <c r="AN26" s="6">
        <f t="shared" si="7"/>
        <v>91.67</v>
      </c>
      <c r="AO26" s="6">
        <f t="shared" si="8"/>
        <v>94.5</v>
      </c>
      <c r="BG26" s="12">
        <v>0.01</v>
      </c>
      <c r="BH26" s="12">
        <v>0.02</v>
      </c>
      <c r="BI26" s="12">
        <v>0.03</v>
      </c>
      <c r="BJ26" s="12">
        <v>0.03</v>
      </c>
      <c r="CC26" s="3" t="str">
        <f t="shared" si="9"/>
        <v>Allied-Moulded-PA2420.jpg</v>
      </c>
      <c r="CD26" s="16" t="s">
        <v>111</v>
      </c>
      <c r="CE26" s="3"/>
      <c r="CF26" s="3"/>
      <c r="CG26" s="16" t="s">
        <v>5077</v>
      </c>
      <c r="CI26" s="16" t="s">
        <v>97</v>
      </c>
      <c r="CJ26" s="3" t="s">
        <v>4493</v>
      </c>
      <c r="CK26" s="3" t="s">
        <v>124</v>
      </c>
      <c r="CL26" s="3" t="s">
        <v>2145</v>
      </c>
    </row>
    <row r="27" spans="1:109" ht="15" customHeight="1">
      <c r="A27" s="117" t="s">
        <v>5224</v>
      </c>
      <c r="B27" s="117" t="s">
        <v>5225</v>
      </c>
      <c r="C27" s="56" t="s">
        <v>97</v>
      </c>
      <c r="D27" s="118" t="s">
        <v>5226</v>
      </c>
      <c r="E27" s="56" t="s">
        <v>97</v>
      </c>
      <c r="F27" s="150" t="s">
        <v>5074</v>
      </c>
      <c r="G27" s="1"/>
      <c r="H27" s="1"/>
      <c r="I27" s="227" t="s">
        <v>342</v>
      </c>
      <c r="J27" s="16" t="s">
        <v>101</v>
      </c>
      <c r="K27" s="56"/>
      <c r="L27" s="56" t="s">
        <v>5075</v>
      </c>
      <c r="M27" s="56"/>
      <c r="N27" s="56"/>
      <c r="O27" s="1"/>
      <c r="P27" s="117" t="s">
        <v>5227</v>
      </c>
      <c r="Q27" s="117" t="s">
        <v>5227</v>
      </c>
      <c r="R27" s="117" t="s">
        <v>5227</v>
      </c>
      <c r="S27" s="117" t="s">
        <v>5224</v>
      </c>
      <c r="T27" s="146" t="s">
        <v>5076</v>
      </c>
      <c r="U27" s="91">
        <v>5</v>
      </c>
      <c r="V27" s="10"/>
      <c r="W27" s="10"/>
      <c r="X27" s="61" t="s">
        <v>108</v>
      </c>
      <c r="Y27" s="231">
        <f t="shared" si="0"/>
        <v>1</v>
      </c>
      <c r="Z27" s="1">
        <v>0</v>
      </c>
      <c r="AA27" s="1" t="s">
        <v>5228</v>
      </c>
      <c r="AB27" s="1"/>
      <c r="AC27" s="1"/>
      <c r="AD27" s="10">
        <f t="shared" si="1"/>
        <v>49.48</v>
      </c>
      <c r="AE27" s="120">
        <v>56.384036099999996</v>
      </c>
      <c r="AF27" s="233">
        <f t="shared" si="2"/>
        <v>59.375999999999991</v>
      </c>
      <c r="AG27" s="10">
        <f t="shared" si="3"/>
        <v>36.65</v>
      </c>
      <c r="AH27" s="60" t="s">
        <v>110</v>
      </c>
      <c r="AI27" s="1">
        <v>0.65</v>
      </c>
      <c r="AJ27" s="57">
        <v>0.35</v>
      </c>
      <c r="AK27" s="10">
        <f t="shared" si="4"/>
        <v>48.99</v>
      </c>
      <c r="AL27" s="10">
        <f t="shared" si="5"/>
        <v>48.49</v>
      </c>
      <c r="AM27" s="10">
        <f t="shared" si="6"/>
        <v>48</v>
      </c>
      <c r="AN27" s="10">
        <f t="shared" si="7"/>
        <v>48</v>
      </c>
      <c r="AO27" s="10">
        <f t="shared" si="8"/>
        <v>49.48</v>
      </c>
      <c r="AP27" s="46"/>
      <c r="AQ27" s="46"/>
      <c r="AR27" s="1"/>
      <c r="AS27" s="1"/>
      <c r="AT27" s="1"/>
      <c r="AU27" s="1"/>
      <c r="AV27" s="1"/>
      <c r="AW27" s="1"/>
      <c r="AX27" s="1"/>
      <c r="AY27" s="1"/>
      <c r="AZ27" s="1"/>
      <c r="BA27" s="1"/>
      <c r="BB27" s="1"/>
      <c r="BC27" s="1"/>
      <c r="BD27" s="1"/>
      <c r="BE27" s="1"/>
      <c r="BF27" s="1"/>
      <c r="BG27" s="12">
        <v>0.01</v>
      </c>
      <c r="BH27" s="12">
        <v>0.02</v>
      </c>
      <c r="BI27" s="12">
        <v>0.03</v>
      </c>
      <c r="BJ27" s="12">
        <v>0.03</v>
      </c>
      <c r="BK27" s="46"/>
      <c r="BL27" s="1"/>
      <c r="BM27" s="1"/>
      <c r="BN27" s="1"/>
      <c r="BO27" s="1"/>
      <c r="BP27" s="1"/>
      <c r="BQ27" s="247"/>
      <c r="BR27" s="247"/>
      <c r="BS27" s="247"/>
      <c r="BT27" s="247"/>
      <c r="BU27" s="247"/>
      <c r="BV27" s="247"/>
      <c r="BW27" s="247"/>
      <c r="BX27" s="247"/>
      <c r="BY27" s="247"/>
      <c r="BZ27" s="247"/>
      <c r="CA27" s="247"/>
      <c r="CB27" s="247"/>
      <c r="CC27" s="1" t="str">
        <f t="shared" si="9"/>
        <v>Allied-Moulded-PL206.jpg</v>
      </c>
      <c r="CD27" s="16" t="s">
        <v>111</v>
      </c>
      <c r="CE27" s="1"/>
      <c r="CF27" s="1"/>
      <c r="CG27" s="16" t="s">
        <v>5077</v>
      </c>
      <c r="CH27" s="56"/>
      <c r="CI27" s="16" t="s">
        <v>97</v>
      </c>
      <c r="CJ27" s="56" t="s">
        <v>4493</v>
      </c>
      <c r="CK27" s="56" t="s">
        <v>2145</v>
      </c>
      <c r="CL27" s="56" t="s">
        <v>242</v>
      </c>
      <c r="CM27" s="1"/>
      <c r="CN27" s="56"/>
      <c r="CO27" s="56"/>
      <c r="CP27" s="56"/>
      <c r="CQ27" s="56"/>
      <c r="CR27" s="1"/>
      <c r="CS27" s="1"/>
      <c r="CT27" s="1"/>
      <c r="CU27" s="1"/>
      <c r="CV27" s="1"/>
      <c r="CW27" s="1"/>
      <c r="CX27" s="1"/>
      <c r="CY27" s="1"/>
      <c r="CZ27" s="1"/>
      <c r="DA27" s="1"/>
      <c r="DB27" s="1"/>
      <c r="DC27" s="1"/>
      <c r="DD27" s="1"/>
      <c r="DE27" s="1"/>
    </row>
    <row r="28" spans="1:109" ht="15" customHeight="1">
      <c r="A28" s="241" t="s">
        <v>5229</v>
      </c>
      <c r="B28" s="86" t="s">
        <v>5230</v>
      </c>
      <c r="C28" s="16" t="s">
        <v>97</v>
      </c>
      <c r="D28" s="248" t="s">
        <v>5231</v>
      </c>
      <c r="E28" s="16" t="s">
        <v>97</v>
      </c>
      <c r="F28" s="150" t="s">
        <v>5232</v>
      </c>
      <c r="I28" s="227" t="s">
        <v>342</v>
      </c>
      <c r="J28" s="16" t="s">
        <v>101</v>
      </c>
      <c r="K28" s="16"/>
      <c r="L28" s="16" t="s">
        <v>5075</v>
      </c>
      <c r="M28" s="16"/>
      <c r="N28" s="16"/>
      <c r="P28" s="86" t="s">
        <v>5233</v>
      </c>
      <c r="Q28" s="86" t="s">
        <v>5233</v>
      </c>
      <c r="R28" s="86" t="s">
        <v>5233</v>
      </c>
      <c r="S28" s="241" t="s">
        <v>5229</v>
      </c>
      <c r="T28" s="146" t="s">
        <v>5076</v>
      </c>
      <c r="U28" s="97">
        <v>4</v>
      </c>
      <c r="X28" s="31" t="s">
        <v>108</v>
      </c>
      <c r="Y28" s="231">
        <f t="shared" si="0"/>
        <v>1</v>
      </c>
      <c r="Z28" s="3">
        <v>0</v>
      </c>
      <c r="AA28" s="3" t="s">
        <v>5234</v>
      </c>
      <c r="AD28" s="6">
        <f t="shared" si="1"/>
        <v>22.98</v>
      </c>
      <c r="AE28" s="120">
        <v>26.183602199999999</v>
      </c>
      <c r="AF28" s="233">
        <f t="shared" si="2"/>
        <v>27.576000000000001</v>
      </c>
      <c r="AG28" s="6">
        <f t="shared" si="3"/>
        <v>17.02</v>
      </c>
      <c r="AH28" s="30" t="s">
        <v>110</v>
      </c>
      <c r="AI28" s="3">
        <v>0.65</v>
      </c>
      <c r="AJ28" s="18">
        <v>0.35</v>
      </c>
      <c r="AK28" s="6">
        <f t="shared" si="4"/>
        <v>22.75</v>
      </c>
      <c r="AL28" s="6">
        <f t="shared" si="5"/>
        <v>22.52</v>
      </c>
      <c r="AM28" s="6">
        <f t="shared" si="6"/>
        <v>22.29</v>
      </c>
      <c r="AN28" s="6">
        <f t="shared" si="7"/>
        <v>22.29</v>
      </c>
      <c r="AO28" s="6">
        <f t="shared" si="8"/>
        <v>22.98</v>
      </c>
      <c r="BG28" s="12">
        <v>0.01</v>
      </c>
      <c r="BH28" s="12">
        <v>0.02</v>
      </c>
      <c r="BI28" s="12">
        <v>0.03</v>
      </c>
      <c r="BJ28" s="12">
        <v>0.03</v>
      </c>
      <c r="BK28" s="12"/>
      <c r="CC28" s="3" t="str">
        <f t="shared" si="9"/>
        <v>Allied-Moulded-PL142.jpg</v>
      </c>
      <c r="CD28" s="16" t="s">
        <v>111</v>
      </c>
      <c r="CE28" s="3"/>
      <c r="CF28" s="3"/>
      <c r="CG28" s="16" t="s">
        <v>5077</v>
      </c>
      <c r="CH28" s="16"/>
      <c r="CI28" s="16" t="s">
        <v>97</v>
      </c>
      <c r="CJ28" s="16" t="s">
        <v>4493</v>
      </c>
      <c r="CK28" s="16" t="s">
        <v>1037</v>
      </c>
      <c r="CL28" s="16" t="s">
        <v>125</v>
      </c>
      <c r="CN28" s="16"/>
      <c r="CO28" s="16"/>
      <c r="CP28" s="16"/>
      <c r="CQ28" s="16"/>
    </row>
    <row r="29" spans="1:109" ht="15" customHeight="1">
      <c r="A29" s="222" t="s">
        <v>5235</v>
      </c>
      <c r="B29" s="3" t="s">
        <v>5236</v>
      </c>
      <c r="C29" s="16" t="s">
        <v>97</v>
      </c>
      <c r="D29" s="249" t="s">
        <v>5237</v>
      </c>
      <c r="E29" s="16" t="s">
        <v>97</v>
      </c>
      <c r="F29" s="131" t="s">
        <v>5238</v>
      </c>
      <c r="I29" s="227" t="s">
        <v>342</v>
      </c>
      <c r="J29" s="16" t="s">
        <v>101</v>
      </c>
      <c r="K29" s="16"/>
      <c r="L29" s="16" t="s">
        <v>5075</v>
      </c>
      <c r="P29" s="3" t="s">
        <v>5239</v>
      </c>
      <c r="Q29" s="3" t="s">
        <v>5239</v>
      </c>
      <c r="R29" s="3" t="s">
        <v>5239</v>
      </c>
      <c r="S29" s="222" t="s">
        <v>5235</v>
      </c>
      <c r="T29" s="228" t="s">
        <v>5076</v>
      </c>
      <c r="U29" s="250">
        <v>4</v>
      </c>
      <c r="V29" s="234"/>
      <c r="W29" s="234"/>
      <c r="X29" s="230" t="s">
        <v>108</v>
      </c>
      <c r="Y29" s="231">
        <f t="shared" si="0"/>
        <v>1</v>
      </c>
      <c r="Z29" s="3">
        <v>0</v>
      </c>
      <c r="AA29" s="3" t="s">
        <v>5240</v>
      </c>
      <c r="AD29" s="6">
        <f t="shared" si="1"/>
        <v>28.22</v>
      </c>
      <c r="AE29" s="244">
        <v>32.158289099999998</v>
      </c>
      <c r="AF29" s="233">
        <f t="shared" si="2"/>
        <v>33.863999999999997</v>
      </c>
      <c r="AG29" s="6">
        <f t="shared" si="3"/>
        <v>20.9</v>
      </c>
      <c r="AH29" s="30" t="s">
        <v>110</v>
      </c>
      <c r="AI29" s="3">
        <v>0.65</v>
      </c>
      <c r="AJ29" s="18">
        <v>0.35</v>
      </c>
      <c r="AK29" s="6">
        <f t="shared" si="4"/>
        <v>27.94</v>
      </c>
      <c r="AL29" s="6">
        <f t="shared" si="5"/>
        <v>27.66</v>
      </c>
      <c r="AM29" s="6">
        <f t="shared" si="6"/>
        <v>27.37</v>
      </c>
      <c r="AN29" s="6">
        <f t="shared" si="7"/>
        <v>27.37</v>
      </c>
      <c r="AO29" s="6">
        <f t="shared" si="8"/>
        <v>28.22</v>
      </c>
      <c r="BG29" s="12">
        <v>0.01</v>
      </c>
      <c r="BH29" s="12">
        <v>0.02</v>
      </c>
      <c r="BI29" s="12">
        <v>0.03</v>
      </c>
      <c r="BJ29" s="12">
        <v>0.03</v>
      </c>
      <c r="CC29" s="3" t="str">
        <f t="shared" si="9"/>
        <v>Allied-Moulded-P164.jpg</v>
      </c>
      <c r="CD29" s="16" t="s">
        <v>111</v>
      </c>
      <c r="CE29" s="3"/>
      <c r="CF29" s="3"/>
      <c r="CG29" s="16" t="s">
        <v>5077</v>
      </c>
      <c r="CI29" s="16" t="s">
        <v>97</v>
      </c>
      <c r="CJ29" s="16" t="s">
        <v>4493</v>
      </c>
      <c r="CK29" s="3" t="s">
        <v>242</v>
      </c>
      <c r="CL29" s="3" t="s">
        <v>1037</v>
      </c>
    </row>
    <row r="30" spans="1:109" ht="15" customHeight="1">
      <c r="A30" s="222" t="s">
        <v>5241</v>
      </c>
      <c r="B30" s="3" t="s">
        <v>5242</v>
      </c>
      <c r="C30" s="16" t="s">
        <v>97</v>
      </c>
      <c r="D30" s="245" t="s">
        <v>5243</v>
      </c>
      <c r="E30" s="16" t="s">
        <v>97</v>
      </c>
      <c r="F30" s="131" t="s">
        <v>5244</v>
      </c>
      <c r="I30" s="227" t="s">
        <v>342</v>
      </c>
      <c r="J30" s="16" t="s">
        <v>101</v>
      </c>
      <c r="K30" s="16"/>
      <c r="L30" s="16" t="s">
        <v>5075</v>
      </c>
      <c r="P30" s="3" t="s">
        <v>5245</v>
      </c>
      <c r="Q30" s="3" t="s">
        <v>5245</v>
      </c>
      <c r="R30" s="3" t="s">
        <v>5245</v>
      </c>
      <c r="S30" s="222" t="s">
        <v>5241</v>
      </c>
      <c r="T30" s="228" t="s">
        <v>5076</v>
      </c>
      <c r="U30" s="246">
        <v>4</v>
      </c>
      <c r="V30" s="238"/>
      <c r="W30" s="238"/>
      <c r="X30" s="230" t="s">
        <v>108</v>
      </c>
      <c r="Y30" s="231">
        <f t="shared" si="0"/>
        <v>1</v>
      </c>
      <c r="Z30" s="3">
        <v>0</v>
      </c>
      <c r="AA30" s="3" t="s">
        <v>5246</v>
      </c>
      <c r="AD30" s="6">
        <f t="shared" si="1"/>
        <v>53.16</v>
      </c>
      <c r="AE30" s="71">
        <v>60.584414100000004</v>
      </c>
      <c r="AF30" s="233">
        <f t="shared" si="2"/>
        <v>63.791999999999994</v>
      </c>
      <c r="AG30" s="6">
        <f t="shared" si="3"/>
        <v>39.380000000000003</v>
      </c>
      <c r="AH30" s="30" t="s">
        <v>110</v>
      </c>
      <c r="AI30" s="3">
        <v>0.65</v>
      </c>
      <c r="AJ30" s="18">
        <v>0.35</v>
      </c>
      <c r="AK30" s="6">
        <f t="shared" si="4"/>
        <v>52.63</v>
      </c>
      <c r="AL30" s="6">
        <f t="shared" si="5"/>
        <v>52.1</v>
      </c>
      <c r="AM30" s="6">
        <f t="shared" si="6"/>
        <v>51.57</v>
      </c>
      <c r="AN30" s="6">
        <f t="shared" si="7"/>
        <v>51.57</v>
      </c>
      <c r="AO30" s="6">
        <f t="shared" si="8"/>
        <v>53.16</v>
      </c>
      <c r="BG30" s="12">
        <v>0.01</v>
      </c>
      <c r="BH30" s="12">
        <v>0.02</v>
      </c>
      <c r="BI30" s="12">
        <v>0.03</v>
      </c>
      <c r="BJ30" s="12">
        <v>0.03</v>
      </c>
      <c r="CC30" s="3" t="str">
        <f t="shared" si="9"/>
        <v>Allied-Moulded-PLA206.jpg</v>
      </c>
      <c r="CD30" s="16" t="s">
        <v>111</v>
      </c>
      <c r="CE30" s="3"/>
      <c r="CF30" s="3"/>
      <c r="CG30" s="16" t="s">
        <v>5077</v>
      </c>
      <c r="CI30" s="16" t="s">
        <v>97</v>
      </c>
      <c r="CJ30" s="3" t="s">
        <v>5247</v>
      </c>
      <c r="CK30" s="3" t="s">
        <v>2145</v>
      </c>
      <c r="CL30" s="3" t="s">
        <v>242</v>
      </c>
    </row>
    <row r="31" spans="1:109" ht="15" customHeight="1">
      <c r="A31" s="222" t="s">
        <v>5248</v>
      </c>
      <c r="B31" s="3" t="s">
        <v>5249</v>
      </c>
      <c r="C31" s="16" t="s">
        <v>97</v>
      </c>
      <c r="D31" s="249" t="s">
        <v>5250</v>
      </c>
      <c r="E31" s="16" t="s">
        <v>97</v>
      </c>
      <c r="F31" s="131" t="s">
        <v>5251</v>
      </c>
      <c r="I31" s="227" t="s">
        <v>342</v>
      </c>
      <c r="J31" s="16" t="s">
        <v>101</v>
      </c>
      <c r="K31" s="16"/>
      <c r="L31" s="16" t="s">
        <v>5075</v>
      </c>
      <c r="P31" s="3" t="s">
        <v>5252</v>
      </c>
      <c r="Q31" s="3" t="s">
        <v>5252</v>
      </c>
      <c r="R31" s="3" t="s">
        <v>5252</v>
      </c>
      <c r="S31" s="222" t="s">
        <v>5248</v>
      </c>
      <c r="T31" s="228" t="s">
        <v>5076</v>
      </c>
      <c r="U31" s="240">
        <v>4</v>
      </c>
      <c r="V31" s="239"/>
      <c r="W31" s="239"/>
      <c r="X31" s="230" t="s">
        <v>108</v>
      </c>
      <c r="Y31" s="231">
        <f t="shared" si="0"/>
        <v>1</v>
      </c>
      <c r="Z31" s="3">
        <v>0</v>
      </c>
      <c r="AA31" s="3" t="s">
        <v>5253</v>
      </c>
      <c r="AD31" s="6">
        <f t="shared" si="1"/>
        <v>172.87</v>
      </c>
      <c r="AE31" s="244">
        <v>197.00457315</v>
      </c>
      <c r="AF31" s="233">
        <f t="shared" si="2"/>
        <v>207.44399999999999</v>
      </c>
      <c r="AG31" s="6">
        <f t="shared" si="3"/>
        <v>128.05000000000001</v>
      </c>
      <c r="AH31" s="30" t="s">
        <v>110</v>
      </c>
      <c r="AI31" s="3">
        <v>0.65</v>
      </c>
      <c r="AJ31" s="18">
        <v>0.35</v>
      </c>
      <c r="AK31" s="6">
        <f t="shared" si="4"/>
        <v>171.14</v>
      </c>
      <c r="AL31" s="6">
        <f t="shared" si="5"/>
        <v>169.41</v>
      </c>
      <c r="AM31" s="6">
        <f t="shared" si="6"/>
        <v>167.68</v>
      </c>
      <c r="AN31" s="6">
        <f t="shared" si="7"/>
        <v>167.68</v>
      </c>
      <c r="AO31" s="6">
        <f t="shared" si="8"/>
        <v>172.87</v>
      </c>
      <c r="BG31" s="12">
        <v>0.01</v>
      </c>
      <c r="BH31" s="12">
        <v>0.02</v>
      </c>
      <c r="BI31" s="12">
        <v>0.03</v>
      </c>
      <c r="BJ31" s="12">
        <v>0.03</v>
      </c>
      <c r="CC31" s="3" t="str">
        <f t="shared" si="9"/>
        <v>Allied-Moulded-PF2424.jpg</v>
      </c>
      <c r="CD31" s="16" t="s">
        <v>111</v>
      </c>
      <c r="CE31" s="3"/>
      <c r="CF31" s="3"/>
      <c r="CG31" s="16" t="s">
        <v>5077</v>
      </c>
      <c r="CI31" s="16" t="s">
        <v>97</v>
      </c>
      <c r="CJ31" s="3" t="s">
        <v>4493</v>
      </c>
      <c r="CK31" s="3" t="s">
        <v>124</v>
      </c>
      <c r="CL31" s="3" t="s">
        <v>124</v>
      </c>
    </row>
    <row r="32" spans="1:109" ht="15" customHeight="1">
      <c r="A32" s="222" t="s">
        <v>5254</v>
      </c>
      <c r="B32" s="3" t="s">
        <v>5255</v>
      </c>
      <c r="C32" s="16" t="s">
        <v>97</v>
      </c>
      <c r="D32" s="245" t="s">
        <v>5256</v>
      </c>
      <c r="E32" s="16" t="s">
        <v>97</v>
      </c>
      <c r="F32" s="131" t="s">
        <v>5257</v>
      </c>
      <c r="I32" s="227" t="s">
        <v>342</v>
      </c>
      <c r="J32" s="16" t="s">
        <v>101</v>
      </c>
      <c r="K32" s="16"/>
      <c r="L32" s="16" t="s">
        <v>5075</v>
      </c>
      <c r="P32" s="3" t="s">
        <v>5258</v>
      </c>
      <c r="Q32" s="3" t="s">
        <v>5258</v>
      </c>
      <c r="R32" s="3" t="s">
        <v>5258</v>
      </c>
      <c r="S32" s="222" t="s">
        <v>5254</v>
      </c>
      <c r="T32" s="228" t="s">
        <v>5076</v>
      </c>
      <c r="U32" s="246">
        <v>4</v>
      </c>
      <c r="V32" s="238"/>
      <c r="W32" s="238"/>
      <c r="X32" s="230" t="s">
        <v>108</v>
      </c>
      <c r="Y32" s="231">
        <f t="shared" si="0"/>
        <v>1</v>
      </c>
      <c r="Z32" s="3">
        <v>0</v>
      </c>
      <c r="AA32" s="3" t="s">
        <v>5259</v>
      </c>
      <c r="AD32" s="6">
        <f t="shared" si="1"/>
        <v>207.36</v>
      </c>
      <c r="AE32" s="244">
        <v>236.30905725</v>
      </c>
      <c r="AF32" s="233">
        <f t="shared" si="2"/>
        <v>248.83199999999999</v>
      </c>
      <c r="AG32" s="6">
        <f t="shared" si="3"/>
        <v>153.6</v>
      </c>
      <c r="AH32" s="30" t="s">
        <v>110</v>
      </c>
      <c r="AI32" s="3">
        <v>0.65</v>
      </c>
      <c r="AJ32" s="18">
        <v>0.35</v>
      </c>
      <c r="AK32" s="6">
        <f t="shared" si="4"/>
        <v>205.29</v>
      </c>
      <c r="AL32" s="6">
        <f t="shared" si="5"/>
        <v>203.21</v>
      </c>
      <c r="AM32" s="6">
        <f t="shared" si="6"/>
        <v>201.14</v>
      </c>
      <c r="AN32" s="6">
        <f t="shared" si="7"/>
        <v>201.14</v>
      </c>
      <c r="AO32" s="6">
        <f t="shared" si="8"/>
        <v>207.36</v>
      </c>
      <c r="BG32" s="12">
        <v>0.01</v>
      </c>
      <c r="BH32" s="12">
        <v>0.02</v>
      </c>
      <c r="BI32" s="12">
        <v>0.03</v>
      </c>
      <c r="BJ32" s="12">
        <v>0.03</v>
      </c>
      <c r="CC32" s="3" t="str">
        <f t="shared" si="9"/>
        <v>Allied-Moulded-PF3024.jpg</v>
      </c>
      <c r="CD32" s="16" t="s">
        <v>111</v>
      </c>
      <c r="CE32" s="3"/>
      <c r="CF32" s="3"/>
      <c r="CG32" s="16" t="s">
        <v>5077</v>
      </c>
      <c r="CI32" s="16" t="s">
        <v>97</v>
      </c>
      <c r="CJ32" s="3" t="s">
        <v>4493</v>
      </c>
      <c r="CK32" s="3" t="s">
        <v>123</v>
      </c>
      <c r="CL32" s="3" t="s">
        <v>124</v>
      </c>
    </row>
    <row r="33" spans="1:95" ht="15" customHeight="1">
      <c r="A33" s="241" t="s">
        <v>5260</v>
      </c>
      <c r="B33" s="86" t="s">
        <v>5261</v>
      </c>
      <c r="C33" s="16" t="s">
        <v>97</v>
      </c>
      <c r="D33" s="86" t="s">
        <v>5262</v>
      </c>
      <c r="E33" s="16" t="s">
        <v>97</v>
      </c>
      <c r="F33" s="150" t="s">
        <v>5263</v>
      </c>
      <c r="I33" s="227" t="s">
        <v>342</v>
      </c>
      <c r="J33" s="16" t="s">
        <v>101</v>
      </c>
      <c r="K33" s="16"/>
      <c r="L33" s="16" t="s">
        <v>5075</v>
      </c>
      <c r="M33" s="16"/>
      <c r="N33" s="16"/>
      <c r="P33" s="86" t="s">
        <v>5264</v>
      </c>
      <c r="Q33" s="86" t="s">
        <v>5264</v>
      </c>
      <c r="R33" s="86" t="s">
        <v>5264</v>
      </c>
      <c r="S33" s="241" t="s">
        <v>5260</v>
      </c>
      <c r="T33" s="146" t="s">
        <v>5076</v>
      </c>
      <c r="U33" s="6">
        <v>3</v>
      </c>
      <c r="X33" s="31" t="s">
        <v>108</v>
      </c>
      <c r="Y33" s="231">
        <f t="shared" si="0"/>
        <v>1</v>
      </c>
      <c r="Z33" s="3">
        <v>0</v>
      </c>
      <c r="AA33" s="3" t="s">
        <v>5265</v>
      </c>
      <c r="AD33" s="6">
        <f t="shared" si="1"/>
        <v>37.04</v>
      </c>
      <c r="AE33" s="120">
        <v>42.21526575</v>
      </c>
      <c r="AF33" s="233">
        <f t="shared" si="2"/>
        <v>44.448</v>
      </c>
      <c r="AG33" s="6">
        <f t="shared" si="3"/>
        <v>27.44</v>
      </c>
      <c r="AH33" s="30" t="s">
        <v>110</v>
      </c>
      <c r="AI33" s="3">
        <v>0.65</v>
      </c>
      <c r="AJ33" s="18">
        <v>0.35</v>
      </c>
      <c r="AK33" s="6">
        <f t="shared" si="4"/>
        <v>36.67</v>
      </c>
      <c r="AL33" s="6">
        <f t="shared" si="5"/>
        <v>36.299999999999997</v>
      </c>
      <c r="AM33" s="6">
        <f t="shared" si="6"/>
        <v>35.93</v>
      </c>
      <c r="AN33" s="6">
        <f t="shared" si="7"/>
        <v>35.93</v>
      </c>
      <c r="AO33" s="6">
        <f t="shared" si="8"/>
        <v>37.04</v>
      </c>
      <c r="BG33" s="12">
        <v>0.01</v>
      </c>
      <c r="BH33" s="12">
        <v>0.02</v>
      </c>
      <c r="BI33" s="12">
        <v>0.03</v>
      </c>
      <c r="BJ33" s="12">
        <v>0.03</v>
      </c>
      <c r="BK33" s="12"/>
      <c r="CC33" s="3" t="str">
        <f t="shared" si="9"/>
        <v>Allied-Moulded-PF142.jpg</v>
      </c>
      <c r="CD33" s="16" t="s">
        <v>111</v>
      </c>
      <c r="CE33" s="3"/>
      <c r="CF33" s="3"/>
      <c r="CG33" s="16" t="s">
        <v>5077</v>
      </c>
      <c r="CH33" s="16"/>
      <c r="CI33" s="16" t="s">
        <v>97</v>
      </c>
      <c r="CJ33" s="16" t="s">
        <v>118</v>
      </c>
      <c r="CK33" s="16" t="s">
        <v>1037</v>
      </c>
      <c r="CL33" s="16" t="s">
        <v>125</v>
      </c>
      <c r="CN33" s="16"/>
      <c r="CO33" s="16"/>
      <c r="CP33" s="16"/>
      <c r="CQ33" s="16"/>
    </row>
    <row r="34" spans="1:95" ht="15" customHeight="1">
      <c r="A34" s="241" t="s">
        <v>5266</v>
      </c>
      <c r="B34" s="86" t="s">
        <v>5267</v>
      </c>
      <c r="C34" s="16" t="s">
        <v>97</v>
      </c>
      <c r="D34" s="248" t="s">
        <v>5268</v>
      </c>
      <c r="E34" s="16" t="s">
        <v>97</v>
      </c>
      <c r="F34" s="150" t="s">
        <v>5269</v>
      </c>
      <c r="I34" s="227" t="s">
        <v>342</v>
      </c>
      <c r="J34" s="16" t="s">
        <v>101</v>
      </c>
      <c r="K34" s="16"/>
      <c r="L34" s="16" t="s">
        <v>5075</v>
      </c>
      <c r="M34" s="16"/>
      <c r="N34" s="16"/>
      <c r="P34" s="86" t="s">
        <v>5270</v>
      </c>
      <c r="Q34" s="86" t="s">
        <v>5270</v>
      </c>
      <c r="R34" s="86" t="s">
        <v>5270</v>
      </c>
      <c r="S34" s="241" t="s">
        <v>5266</v>
      </c>
      <c r="T34" s="146" t="s">
        <v>5076</v>
      </c>
      <c r="U34" s="97">
        <v>3</v>
      </c>
      <c r="X34" s="31" t="s">
        <v>108</v>
      </c>
      <c r="Y34" s="231">
        <f t="shared" si="0"/>
        <v>1</v>
      </c>
      <c r="Z34" s="3">
        <v>0</v>
      </c>
      <c r="AA34" s="3" t="s">
        <v>5271</v>
      </c>
      <c r="AD34" s="6">
        <f t="shared" si="1"/>
        <v>48.37</v>
      </c>
      <c r="AE34" s="99">
        <v>55.126278899999988</v>
      </c>
      <c r="AF34" s="233">
        <f t="shared" si="2"/>
        <v>58.043999999999997</v>
      </c>
      <c r="AG34" s="6">
        <f t="shared" si="3"/>
        <v>35.83</v>
      </c>
      <c r="AH34" s="30" t="s">
        <v>110</v>
      </c>
      <c r="AI34" s="3">
        <v>0.65</v>
      </c>
      <c r="AJ34" s="18">
        <v>0.35</v>
      </c>
      <c r="AK34" s="6">
        <f t="shared" si="4"/>
        <v>47.89</v>
      </c>
      <c r="AL34" s="6">
        <f t="shared" si="5"/>
        <v>47.4</v>
      </c>
      <c r="AM34" s="6">
        <f t="shared" si="6"/>
        <v>46.92</v>
      </c>
      <c r="AN34" s="6">
        <f t="shared" si="7"/>
        <v>46.92</v>
      </c>
      <c r="AO34" s="6">
        <f t="shared" si="8"/>
        <v>48.37</v>
      </c>
      <c r="BG34" s="12">
        <v>0.01</v>
      </c>
      <c r="BH34" s="12">
        <v>0.02</v>
      </c>
      <c r="BI34" s="12">
        <v>0.03</v>
      </c>
      <c r="BJ34" s="12">
        <v>0.03</v>
      </c>
      <c r="BK34" s="12"/>
      <c r="CC34" s="3" t="str">
        <f t="shared" si="9"/>
        <v>Allied-Moulded-PF164.jpg</v>
      </c>
      <c r="CD34" s="16" t="s">
        <v>111</v>
      </c>
      <c r="CE34" s="3"/>
      <c r="CF34" s="3"/>
      <c r="CG34" s="16" t="s">
        <v>5077</v>
      </c>
      <c r="CH34" s="16"/>
      <c r="CI34" s="16" t="s">
        <v>97</v>
      </c>
      <c r="CJ34" s="16" t="s">
        <v>118</v>
      </c>
      <c r="CK34" s="16" t="s">
        <v>242</v>
      </c>
      <c r="CL34" s="16" t="s">
        <v>1037</v>
      </c>
      <c r="CN34" s="16"/>
      <c r="CO34" s="16"/>
      <c r="CP34" s="16"/>
      <c r="CQ34" s="16"/>
    </row>
    <row r="35" spans="1:95" ht="15" customHeight="1">
      <c r="A35" s="241" t="s">
        <v>5272</v>
      </c>
      <c r="B35" s="86" t="s">
        <v>5273</v>
      </c>
      <c r="C35" s="16" t="s">
        <v>97</v>
      </c>
      <c r="D35" s="251" t="s">
        <v>5274</v>
      </c>
      <c r="E35" s="16" t="s">
        <v>97</v>
      </c>
      <c r="F35" s="150" t="s">
        <v>5275</v>
      </c>
      <c r="I35" s="227" t="s">
        <v>342</v>
      </c>
      <c r="J35" s="16" t="s">
        <v>101</v>
      </c>
      <c r="K35" s="16"/>
      <c r="L35" s="16" t="s">
        <v>5075</v>
      </c>
      <c r="M35" s="16"/>
      <c r="N35" s="16"/>
      <c r="P35" s="86" t="s">
        <v>5276</v>
      </c>
      <c r="Q35" s="86" t="s">
        <v>5276</v>
      </c>
      <c r="R35" s="86" t="s">
        <v>5276</v>
      </c>
      <c r="S35" s="241" t="s">
        <v>5272</v>
      </c>
      <c r="T35" s="146" t="s">
        <v>5076</v>
      </c>
      <c r="U35" s="96">
        <v>3</v>
      </c>
      <c r="X35" s="31" t="s">
        <v>108</v>
      </c>
      <c r="Y35" s="231">
        <f t="shared" si="0"/>
        <v>1</v>
      </c>
      <c r="Z35" s="3">
        <v>0</v>
      </c>
      <c r="AA35" s="3" t="s">
        <v>5277</v>
      </c>
      <c r="AD35" s="6">
        <f t="shared" si="1"/>
        <v>13.65</v>
      </c>
      <c r="AE35" s="98">
        <v>15.554054249999998</v>
      </c>
      <c r="AF35" s="233">
        <f t="shared" si="2"/>
        <v>16.38</v>
      </c>
      <c r="AG35" s="6">
        <f t="shared" si="3"/>
        <v>10.11</v>
      </c>
      <c r="AH35" s="30" t="s">
        <v>110</v>
      </c>
      <c r="AI35" s="3">
        <v>0.65</v>
      </c>
      <c r="AJ35" s="18">
        <v>0.35</v>
      </c>
      <c r="AK35" s="6">
        <f t="shared" si="4"/>
        <v>13.51</v>
      </c>
      <c r="AL35" s="6">
        <f t="shared" si="5"/>
        <v>13.38</v>
      </c>
      <c r="AM35" s="6">
        <f t="shared" si="6"/>
        <v>13.24</v>
      </c>
      <c r="AN35" s="6">
        <f t="shared" si="7"/>
        <v>13.24</v>
      </c>
      <c r="AO35" s="6">
        <f t="shared" si="8"/>
        <v>13.65</v>
      </c>
      <c r="BG35" s="12">
        <v>0.01</v>
      </c>
      <c r="BH35" s="12">
        <v>0.02</v>
      </c>
      <c r="BI35" s="12">
        <v>0.03</v>
      </c>
      <c r="BJ35" s="12">
        <v>0.03</v>
      </c>
      <c r="BK35" s="12"/>
      <c r="CC35" s="3" t="str">
        <f t="shared" si="9"/>
        <v>Allied-Moulded-PL120.jpg</v>
      </c>
      <c r="CD35" s="16" t="s">
        <v>111</v>
      </c>
      <c r="CE35" s="3"/>
      <c r="CF35" s="3"/>
      <c r="CG35" s="16" t="s">
        <v>5077</v>
      </c>
      <c r="CH35" s="16"/>
      <c r="CI35" s="16" t="s">
        <v>97</v>
      </c>
      <c r="CJ35" s="16" t="s">
        <v>4493</v>
      </c>
      <c r="CK35" s="16" t="s">
        <v>125</v>
      </c>
      <c r="CL35" s="16" t="s">
        <v>167</v>
      </c>
      <c r="CN35" s="16"/>
      <c r="CO35" s="16"/>
      <c r="CP35" s="16"/>
      <c r="CQ35" s="16"/>
    </row>
    <row r="36" spans="1:95" ht="15" customHeight="1">
      <c r="A36" s="222" t="s">
        <v>5278</v>
      </c>
      <c r="B36" s="3" t="s">
        <v>5279</v>
      </c>
      <c r="C36" s="16" t="s">
        <v>97</v>
      </c>
      <c r="D36" s="234" t="s">
        <v>5280</v>
      </c>
      <c r="E36" s="16" t="s">
        <v>97</v>
      </c>
      <c r="F36" s="131" t="s">
        <v>5281</v>
      </c>
      <c r="I36" s="227" t="s">
        <v>342</v>
      </c>
      <c r="J36" s="16" t="s">
        <v>101</v>
      </c>
      <c r="K36" s="16"/>
      <c r="L36" s="16" t="s">
        <v>5075</v>
      </c>
      <c r="P36" s="3" t="s">
        <v>5282</v>
      </c>
      <c r="Q36" s="3" t="s">
        <v>5282</v>
      </c>
      <c r="R36" s="3" t="s">
        <v>5282</v>
      </c>
      <c r="S36" s="222" t="s">
        <v>5278</v>
      </c>
      <c r="T36" s="228" t="s">
        <v>5076</v>
      </c>
      <c r="U36" s="240">
        <v>3</v>
      </c>
      <c r="V36" s="239"/>
      <c r="W36" s="239"/>
      <c r="X36" s="230" t="s">
        <v>108</v>
      </c>
      <c r="Y36" s="231">
        <f t="shared" ref="Y36:Y67" si="10">IF(AD36=0, 0, IF(OR(H36="", H36&lt;&gt;0), 1, 0))</f>
        <v>1</v>
      </c>
      <c r="Z36" s="3">
        <v>0</v>
      </c>
      <c r="AA36" s="3" t="s">
        <v>5283</v>
      </c>
      <c r="AD36" s="6">
        <f t="shared" ref="AD36:AD67" si="11">ROUND((AG36*(1+AJ36)),2)</f>
        <v>18.309999999999999</v>
      </c>
      <c r="AE36" s="252">
        <v>20.861732849999999</v>
      </c>
      <c r="AF36" s="233">
        <f t="shared" ref="AF36:AF67" si="12">AD36*1.2</f>
        <v>21.971999999999998</v>
      </c>
      <c r="AG36" s="6">
        <f t="shared" ref="AG36:AG67" si="13">ROUND((AE36*AI36),2)</f>
        <v>13.56</v>
      </c>
      <c r="AH36" s="30" t="s">
        <v>110</v>
      </c>
      <c r="AI36" s="3">
        <v>0.65</v>
      </c>
      <c r="AJ36" s="18">
        <v>0.35</v>
      </c>
      <c r="AK36" s="6">
        <f t="shared" ref="AK36:AK67" si="14">ROUND((AD36-(AD36*BG36)),2)</f>
        <v>18.13</v>
      </c>
      <c r="AL36" s="6">
        <f t="shared" ref="AL36:AL67" si="15">ROUND((AD36-(AD36*BH36)),2)</f>
        <v>17.940000000000001</v>
      </c>
      <c r="AM36" s="6">
        <f t="shared" ref="AM36:AM67" si="16">ROUND((AD36-(AD36*BI36)),2)</f>
        <v>17.760000000000002</v>
      </c>
      <c r="AN36" s="6">
        <f t="shared" ref="AN36:AN67" si="17">ROUND((AD36-(AD36*BJ36)),2)</f>
        <v>17.760000000000002</v>
      </c>
      <c r="AO36" s="6">
        <f t="shared" ref="AO36:AO67" si="18">ROUND((AD36-(AD36*BK36)),2)</f>
        <v>18.309999999999999</v>
      </c>
      <c r="BG36" s="12">
        <v>0.01</v>
      </c>
      <c r="BH36" s="12">
        <v>0.02</v>
      </c>
      <c r="BI36" s="12">
        <v>0.03</v>
      </c>
      <c r="BJ36" s="12">
        <v>0.03</v>
      </c>
      <c r="CC36" s="3" t="str">
        <f t="shared" ref="CC36:CC67" si="19">IF(B36&lt;&gt;"",CONCATENATE(SUBSTITUTE(B36," ","-"),".jpg"),"")</f>
        <v>Allied-Moulded-PL122.jpg</v>
      </c>
      <c r="CD36" s="16" t="s">
        <v>111</v>
      </c>
      <c r="CE36" s="3"/>
      <c r="CF36" s="3"/>
      <c r="CG36" s="16" t="s">
        <v>5077</v>
      </c>
      <c r="CI36" s="16" t="s">
        <v>97</v>
      </c>
      <c r="CJ36" s="16" t="s">
        <v>4493</v>
      </c>
      <c r="CK36" s="3" t="s">
        <v>125</v>
      </c>
      <c r="CL36" s="3" t="s">
        <v>125</v>
      </c>
    </row>
    <row r="37" spans="1:95" ht="15" customHeight="1">
      <c r="A37" s="222" t="s">
        <v>5284</v>
      </c>
      <c r="B37" s="3" t="s">
        <v>5285</v>
      </c>
      <c r="C37" s="16" t="s">
        <v>97</v>
      </c>
      <c r="D37" s="229" t="s">
        <v>5286</v>
      </c>
      <c r="E37" s="16" t="s">
        <v>97</v>
      </c>
      <c r="F37" s="131" t="s">
        <v>5287</v>
      </c>
      <c r="I37" s="227" t="s">
        <v>342</v>
      </c>
      <c r="J37" s="16" t="s">
        <v>101</v>
      </c>
      <c r="K37" s="16"/>
      <c r="L37" s="16" t="s">
        <v>5075</v>
      </c>
      <c r="P37" s="3" t="s">
        <v>5288</v>
      </c>
      <c r="Q37" s="3" t="s">
        <v>5288</v>
      </c>
      <c r="R37" s="3" t="s">
        <v>5288</v>
      </c>
      <c r="S37" s="222" t="s">
        <v>5289</v>
      </c>
      <c r="T37" s="228" t="s">
        <v>5076</v>
      </c>
      <c r="U37" s="246">
        <v>3</v>
      </c>
      <c r="V37" s="238"/>
      <c r="W37" s="238"/>
      <c r="X37" s="230" t="s">
        <v>108</v>
      </c>
      <c r="Y37" s="231">
        <f t="shared" si="10"/>
        <v>1</v>
      </c>
      <c r="Z37" s="3">
        <v>0</v>
      </c>
      <c r="AA37" s="3" t="s">
        <v>5290</v>
      </c>
      <c r="AD37" s="6">
        <f t="shared" si="11"/>
        <v>35.590000000000003</v>
      </c>
      <c r="AE37" s="122">
        <v>40.559749650000001</v>
      </c>
      <c r="AF37" s="233">
        <f t="shared" si="12"/>
        <v>42.708000000000006</v>
      </c>
      <c r="AG37" s="6">
        <f t="shared" si="13"/>
        <v>26.36</v>
      </c>
      <c r="AH37" s="30" t="s">
        <v>110</v>
      </c>
      <c r="AI37" s="3">
        <v>0.65</v>
      </c>
      <c r="AJ37" s="18">
        <v>0.35</v>
      </c>
      <c r="AK37" s="6">
        <f t="shared" si="14"/>
        <v>35.229999999999997</v>
      </c>
      <c r="AL37" s="6">
        <f t="shared" si="15"/>
        <v>34.880000000000003</v>
      </c>
      <c r="AM37" s="6">
        <f t="shared" si="16"/>
        <v>34.520000000000003</v>
      </c>
      <c r="AN37" s="6">
        <f t="shared" si="17"/>
        <v>34.520000000000003</v>
      </c>
      <c r="AO37" s="6">
        <f t="shared" si="18"/>
        <v>35.590000000000003</v>
      </c>
      <c r="BG37" s="12">
        <v>0.01</v>
      </c>
      <c r="BH37" s="12">
        <v>0.02</v>
      </c>
      <c r="BI37" s="12">
        <v>0.03</v>
      </c>
      <c r="BJ37" s="12">
        <v>0.03</v>
      </c>
      <c r="CC37" s="3" t="str">
        <f t="shared" si="19"/>
        <v>Allied-Moulded-PA164.jpg</v>
      </c>
      <c r="CD37" s="16" t="s">
        <v>111</v>
      </c>
      <c r="CE37" s="3"/>
      <c r="CF37" s="3"/>
      <c r="CG37" s="16" t="s">
        <v>5077</v>
      </c>
      <c r="CI37" s="16" t="s">
        <v>97</v>
      </c>
      <c r="CJ37" s="3" t="s">
        <v>5247</v>
      </c>
      <c r="CK37" s="3" t="s">
        <v>242</v>
      </c>
      <c r="CL37" s="3" t="s">
        <v>1037</v>
      </c>
    </row>
    <row r="38" spans="1:95" ht="15" customHeight="1">
      <c r="A38" s="222" t="s">
        <v>5291</v>
      </c>
      <c r="B38" s="3" t="s">
        <v>5292</v>
      </c>
      <c r="C38" s="16" t="s">
        <v>97</v>
      </c>
      <c r="D38" s="234" t="s">
        <v>5293</v>
      </c>
      <c r="E38" s="16" t="s">
        <v>97</v>
      </c>
      <c r="F38" s="131" t="s">
        <v>5294</v>
      </c>
      <c r="I38" s="227" t="s">
        <v>342</v>
      </c>
      <c r="J38" s="16" t="s">
        <v>101</v>
      </c>
      <c r="K38" s="16"/>
      <c r="L38" s="16" t="s">
        <v>5075</v>
      </c>
      <c r="P38" s="3" t="s">
        <v>5295</v>
      </c>
      <c r="Q38" s="3" t="s">
        <v>5295</v>
      </c>
      <c r="R38" s="3" t="s">
        <v>5295</v>
      </c>
      <c r="S38" s="222" t="s">
        <v>5291</v>
      </c>
      <c r="T38" s="228" t="s">
        <v>5076</v>
      </c>
      <c r="U38" s="240">
        <v>3</v>
      </c>
      <c r="V38" s="239"/>
      <c r="W38" s="239"/>
      <c r="X38" s="230" t="s">
        <v>108</v>
      </c>
      <c r="Y38" s="231">
        <f t="shared" si="10"/>
        <v>1</v>
      </c>
      <c r="Z38" s="3">
        <v>0</v>
      </c>
      <c r="AA38" s="3" t="s">
        <v>5296</v>
      </c>
      <c r="AD38" s="6">
        <f t="shared" si="11"/>
        <v>42.51</v>
      </c>
      <c r="AE38" s="122">
        <v>48.450309600000004</v>
      </c>
      <c r="AF38" s="233">
        <f t="shared" si="12"/>
        <v>51.011999999999993</v>
      </c>
      <c r="AG38" s="6">
        <f t="shared" si="13"/>
        <v>31.49</v>
      </c>
      <c r="AH38" s="30" t="s">
        <v>110</v>
      </c>
      <c r="AI38" s="3">
        <v>0.65</v>
      </c>
      <c r="AJ38" s="18">
        <v>0.35</v>
      </c>
      <c r="AK38" s="6">
        <f t="shared" si="14"/>
        <v>42.08</v>
      </c>
      <c r="AL38" s="6">
        <f t="shared" si="15"/>
        <v>41.66</v>
      </c>
      <c r="AM38" s="6">
        <f t="shared" si="16"/>
        <v>41.23</v>
      </c>
      <c r="AN38" s="6">
        <f t="shared" si="17"/>
        <v>41.23</v>
      </c>
      <c r="AO38" s="6">
        <f t="shared" si="18"/>
        <v>42.51</v>
      </c>
      <c r="BG38" s="12">
        <v>0.01</v>
      </c>
      <c r="BH38" s="12">
        <v>0.02</v>
      </c>
      <c r="BI38" s="12">
        <v>0.03</v>
      </c>
      <c r="BJ38" s="12">
        <v>0.03</v>
      </c>
      <c r="CC38" s="3" t="str">
        <f t="shared" si="19"/>
        <v>Allied-Moulded-PA186.jpg</v>
      </c>
      <c r="CD38" s="16" t="s">
        <v>111</v>
      </c>
      <c r="CE38" s="3"/>
      <c r="CF38" s="3"/>
      <c r="CG38" s="16" t="s">
        <v>5077</v>
      </c>
      <c r="CI38" s="16" t="s">
        <v>97</v>
      </c>
      <c r="CJ38" s="3" t="s">
        <v>5247</v>
      </c>
      <c r="CK38" s="3" t="s">
        <v>1814</v>
      </c>
      <c r="CL38" s="3" t="s">
        <v>242</v>
      </c>
    </row>
    <row r="39" spans="1:95" ht="15" customHeight="1">
      <c r="A39" s="222" t="s">
        <v>5297</v>
      </c>
      <c r="B39" s="3" t="s">
        <v>5298</v>
      </c>
      <c r="C39" s="16" t="s">
        <v>97</v>
      </c>
      <c r="D39" s="229" t="s">
        <v>5299</v>
      </c>
      <c r="E39" s="16" t="s">
        <v>97</v>
      </c>
      <c r="F39" s="131" t="s">
        <v>5300</v>
      </c>
      <c r="I39" s="227" t="s">
        <v>342</v>
      </c>
      <c r="J39" s="16" t="s">
        <v>101</v>
      </c>
      <c r="K39" s="16"/>
      <c r="L39" s="16" t="s">
        <v>5075</v>
      </c>
      <c r="P39" s="3" t="s">
        <v>5301</v>
      </c>
      <c r="Q39" s="3" t="s">
        <v>5301</v>
      </c>
      <c r="R39" s="3" t="s">
        <v>5301</v>
      </c>
      <c r="S39" s="222" t="s">
        <v>5297</v>
      </c>
      <c r="T39" s="228" t="s">
        <v>5076</v>
      </c>
      <c r="U39" s="246">
        <v>3</v>
      </c>
      <c r="V39" s="238"/>
      <c r="W39" s="238"/>
      <c r="X39" s="230" t="s">
        <v>108</v>
      </c>
      <c r="Y39" s="231">
        <f t="shared" si="10"/>
        <v>1</v>
      </c>
      <c r="Z39" s="3">
        <v>0</v>
      </c>
      <c r="AA39" s="3" t="s">
        <v>5302</v>
      </c>
      <c r="AD39" s="6">
        <f t="shared" si="11"/>
        <v>14.53</v>
      </c>
      <c r="AE39" s="252">
        <v>16.547470799999999</v>
      </c>
      <c r="AF39" s="233">
        <f t="shared" si="12"/>
        <v>17.436</v>
      </c>
      <c r="AG39" s="6">
        <f t="shared" si="13"/>
        <v>10.76</v>
      </c>
      <c r="AH39" s="30" t="s">
        <v>110</v>
      </c>
      <c r="AI39" s="3">
        <v>0.65</v>
      </c>
      <c r="AJ39" s="18">
        <v>0.35</v>
      </c>
      <c r="AK39" s="6">
        <f t="shared" si="14"/>
        <v>14.38</v>
      </c>
      <c r="AL39" s="6">
        <f t="shared" si="15"/>
        <v>14.24</v>
      </c>
      <c r="AM39" s="6">
        <f t="shared" si="16"/>
        <v>14.09</v>
      </c>
      <c r="AN39" s="6">
        <f t="shared" si="17"/>
        <v>14.09</v>
      </c>
      <c r="AO39" s="6">
        <f t="shared" si="18"/>
        <v>14.53</v>
      </c>
      <c r="BG39" s="12">
        <v>0.01</v>
      </c>
      <c r="BH39" s="12">
        <v>0.02</v>
      </c>
      <c r="BI39" s="12">
        <v>0.03</v>
      </c>
      <c r="BJ39" s="12">
        <v>0.03</v>
      </c>
      <c r="CC39" s="3" t="str">
        <f t="shared" si="19"/>
        <v>Allied-Moulded-PG122.jpg</v>
      </c>
      <c r="CD39" s="16" t="s">
        <v>111</v>
      </c>
      <c r="CE39" s="3"/>
      <c r="CF39" s="3"/>
      <c r="CG39" s="16" t="s">
        <v>5077</v>
      </c>
      <c r="CI39" s="16" t="s">
        <v>97</v>
      </c>
      <c r="CJ39" s="3" t="s">
        <v>4493</v>
      </c>
      <c r="CK39" s="3" t="s">
        <v>125</v>
      </c>
      <c r="CL39" s="3" t="s">
        <v>125</v>
      </c>
    </row>
    <row r="40" spans="1:95" ht="15" customHeight="1">
      <c r="A40" s="222" t="s">
        <v>5303</v>
      </c>
      <c r="B40" s="3" t="s">
        <v>5304</v>
      </c>
      <c r="C40" s="16" t="s">
        <v>97</v>
      </c>
      <c r="D40" s="234" t="s">
        <v>5305</v>
      </c>
      <c r="E40" s="16" t="s">
        <v>97</v>
      </c>
      <c r="F40" s="131" t="s">
        <v>5261</v>
      </c>
      <c r="I40" s="227" t="s">
        <v>342</v>
      </c>
      <c r="J40" s="16" t="s">
        <v>101</v>
      </c>
      <c r="K40" s="16"/>
      <c r="L40" s="16" t="s">
        <v>5075</v>
      </c>
      <c r="P40" s="3" t="s">
        <v>5306</v>
      </c>
      <c r="Q40" s="3" t="s">
        <v>5306</v>
      </c>
      <c r="R40" s="3" t="s">
        <v>5306</v>
      </c>
      <c r="S40" s="222" t="s">
        <v>5303</v>
      </c>
      <c r="T40" s="228" t="s">
        <v>5076</v>
      </c>
      <c r="U40" s="240">
        <v>3</v>
      </c>
      <c r="V40" s="239"/>
      <c r="W40" s="239"/>
      <c r="X40" s="230" t="s">
        <v>108</v>
      </c>
      <c r="Y40" s="231">
        <f t="shared" si="10"/>
        <v>1</v>
      </c>
      <c r="Z40" s="3">
        <v>0</v>
      </c>
      <c r="AA40" s="3" t="s">
        <v>5307</v>
      </c>
      <c r="AD40" s="6">
        <f t="shared" si="11"/>
        <v>16.86</v>
      </c>
      <c r="AE40" s="252">
        <v>19.215500850000002</v>
      </c>
      <c r="AF40" s="233">
        <f t="shared" si="12"/>
        <v>20.231999999999999</v>
      </c>
      <c r="AG40" s="6">
        <f t="shared" si="13"/>
        <v>12.49</v>
      </c>
      <c r="AH40" s="30" t="s">
        <v>110</v>
      </c>
      <c r="AI40" s="3">
        <v>0.65</v>
      </c>
      <c r="AJ40" s="18">
        <v>0.35</v>
      </c>
      <c r="AK40" s="6">
        <f t="shared" si="14"/>
        <v>16.690000000000001</v>
      </c>
      <c r="AL40" s="6">
        <f t="shared" si="15"/>
        <v>16.52</v>
      </c>
      <c r="AM40" s="6">
        <f t="shared" si="16"/>
        <v>16.350000000000001</v>
      </c>
      <c r="AN40" s="6">
        <f t="shared" si="17"/>
        <v>16.350000000000001</v>
      </c>
      <c r="AO40" s="6">
        <f t="shared" si="18"/>
        <v>16.86</v>
      </c>
      <c r="BG40" s="12">
        <v>0.01</v>
      </c>
      <c r="BH40" s="12">
        <v>0.02</v>
      </c>
      <c r="BI40" s="12">
        <v>0.03</v>
      </c>
      <c r="BJ40" s="12">
        <v>0.03</v>
      </c>
      <c r="CC40" s="3" t="str">
        <f t="shared" si="19"/>
        <v>Allied-Moulded-PG142.jpg</v>
      </c>
      <c r="CD40" s="16" t="s">
        <v>111</v>
      </c>
      <c r="CE40" s="3"/>
      <c r="CF40" s="3"/>
      <c r="CG40" s="16" t="s">
        <v>5077</v>
      </c>
      <c r="CI40" s="16" t="s">
        <v>97</v>
      </c>
      <c r="CJ40" s="3" t="s">
        <v>4493</v>
      </c>
      <c r="CK40" s="3" t="s">
        <v>1037</v>
      </c>
      <c r="CL40" s="3" t="s">
        <v>125</v>
      </c>
    </row>
    <row r="41" spans="1:95" ht="15" customHeight="1">
      <c r="A41" s="222" t="s">
        <v>5308</v>
      </c>
      <c r="B41" s="3" t="s">
        <v>5309</v>
      </c>
      <c r="C41" s="16" t="s">
        <v>97</v>
      </c>
      <c r="D41" s="229" t="s">
        <v>5310</v>
      </c>
      <c r="E41" s="16" t="s">
        <v>97</v>
      </c>
      <c r="F41" s="131" t="s">
        <v>5311</v>
      </c>
      <c r="I41" s="227" t="s">
        <v>342</v>
      </c>
      <c r="J41" s="16" t="s">
        <v>101</v>
      </c>
      <c r="K41" s="16"/>
      <c r="L41" s="16" t="s">
        <v>5075</v>
      </c>
      <c r="P41" s="3" t="s">
        <v>5312</v>
      </c>
      <c r="Q41" s="3" t="s">
        <v>5312</v>
      </c>
      <c r="R41" s="3" t="s">
        <v>5312</v>
      </c>
      <c r="S41" s="222" t="s">
        <v>5308</v>
      </c>
      <c r="T41" s="228" t="s">
        <v>5076</v>
      </c>
      <c r="U41" s="246">
        <v>3</v>
      </c>
      <c r="V41" s="238"/>
      <c r="W41" s="238"/>
      <c r="X41" s="230" t="s">
        <v>108</v>
      </c>
      <c r="Y41" s="231">
        <f t="shared" si="10"/>
        <v>1</v>
      </c>
      <c r="Z41" s="3">
        <v>0</v>
      </c>
      <c r="AA41" s="3" t="s">
        <v>5313</v>
      </c>
      <c r="AD41" s="6">
        <f t="shared" si="11"/>
        <v>161.57</v>
      </c>
      <c r="AE41" s="252">
        <v>184.12927575000003</v>
      </c>
      <c r="AF41" s="233">
        <f t="shared" si="12"/>
        <v>193.88399999999999</v>
      </c>
      <c r="AG41" s="6">
        <f t="shared" si="13"/>
        <v>119.68</v>
      </c>
      <c r="AH41" s="30" t="s">
        <v>110</v>
      </c>
      <c r="AI41" s="3">
        <v>0.65</v>
      </c>
      <c r="AJ41" s="18">
        <v>0.35</v>
      </c>
      <c r="AK41" s="6">
        <f t="shared" si="14"/>
        <v>159.94999999999999</v>
      </c>
      <c r="AL41" s="6">
        <f t="shared" si="15"/>
        <v>158.34</v>
      </c>
      <c r="AM41" s="6">
        <f t="shared" si="16"/>
        <v>156.72</v>
      </c>
      <c r="AN41" s="6">
        <f t="shared" si="17"/>
        <v>156.72</v>
      </c>
      <c r="AO41" s="6">
        <f t="shared" si="18"/>
        <v>161.57</v>
      </c>
      <c r="BG41" s="12">
        <v>0.01</v>
      </c>
      <c r="BH41" s="12">
        <v>0.02</v>
      </c>
      <c r="BI41" s="12">
        <v>0.03</v>
      </c>
      <c r="BJ41" s="12">
        <v>0.03</v>
      </c>
      <c r="CC41" s="3" t="str">
        <f t="shared" si="19"/>
        <v>Allied-Moulded-PF2420.jpg</v>
      </c>
      <c r="CD41" s="16" t="s">
        <v>111</v>
      </c>
      <c r="CE41" s="3"/>
      <c r="CF41" s="3"/>
      <c r="CG41" s="16" t="s">
        <v>5077</v>
      </c>
      <c r="CI41" s="16" t="s">
        <v>97</v>
      </c>
      <c r="CJ41" s="3" t="s">
        <v>4493</v>
      </c>
      <c r="CK41" s="3" t="s">
        <v>124</v>
      </c>
      <c r="CL41" s="3" t="s">
        <v>2145</v>
      </c>
    </row>
    <row r="42" spans="1:95" ht="15" customHeight="1">
      <c r="A42" s="222" t="s">
        <v>5314</v>
      </c>
      <c r="B42" s="3" t="s">
        <v>5315</v>
      </c>
      <c r="C42" s="16" t="s">
        <v>97</v>
      </c>
      <c r="D42" s="229" t="s">
        <v>5316</v>
      </c>
      <c r="E42" s="16" t="s">
        <v>97</v>
      </c>
      <c r="F42" s="131" t="s">
        <v>5317</v>
      </c>
      <c r="I42" s="227" t="s">
        <v>342</v>
      </c>
      <c r="J42" s="16" t="s">
        <v>101</v>
      </c>
      <c r="K42" s="16"/>
      <c r="L42" s="16" t="s">
        <v>5075</v>
      </c>
      <c r="P42" s="3" t="s">
        <v>5318</v>
      </c>
      <c r="Q42" s="3" t="s">
        <v>5318</v>
      </c>
      <c r="R42" s="3" t="s">
        <v>5318</v>
      </c>
      <c r="S42" s="222" t="s">
        <v>5314</v>
      </c>
      <c r="T42" s="228" t="s">
        <v>5319</v>
      </c>
      <c r="U42" s="246">
        <v>3</v>
      </c>
      <c r="V42" s="238"/>
      <c r="W42" s="238"/>
      <c r="X42" s="230" t="s">
        <v>108</v>
      </c>
      <c r="Y42" s="231">
        <f t="shared" si="10"/>
        <v>1</v>
      </c>
      <c r="Z42" s="3">
        <v>0</v>
      </c>
      <c r="AA42" s="3" t="s">
        <v>5320</v>
      </c>
      <c r="AD42" s="6">
        <f t="shared" si="11"/>
        <v>53.96</v>
      </c>
      <c r="AE42" s="252">
        <v>61.493876849999999</v>
      </c>
      <c r="AF42" s="233">
        <f t="shared" si="12"/>
        <v>64.751999999999995</v>
      </c>
      <c r="AG42" s="6">
        <f t="shared" si="13"/>
        <v>39.97</v>
      </c>
      <c r="AH42" s="30" t="s">
        <v>110</v>
      </c>
      <c r="AI42" s="3">
        <v>0.65</v>
      </c>
      <c r="AJ42" s="18">
        <v>0.35</v>
      </c>
      <c r="AK42" s="6">
        <f t="shared" si="14"/>
        <v>53.42</v>
      </c>
      <c r="AL42" s="6">
        <f t="shared" si="15"/>
        <v>52.88</v>
      </c>
      <c r="AM42" s="6">
        <f t="shared" si="16"/>
        <v>52.34</v>
      </c>
      <c r="AN42" s="6">
        <f t="shared" si="17"/>
        <v>52.34</v>
      </c>
      <c r="AO42" s="6">
        <f t="shared" si="18"/>
        <v>53.96</v>
      </c>
      <c r="BG42" s="12">
        <v>0.01</v>
      </c>
      <c r="BH42" s="12">
        <v>0.02</v>
      </c>
      <c r="BI42" s="12">
        <v>0.03</v>
      </c>
      <c r="BJ42" s="12">
        <v>0.03</v>
      </c>
      <c r="CC42" s="3" t="str">
        <f t="shared" si="19"/>
        <v>Allied-Moulded-PLPVC186.jpg</v>
      </c>
      <c r="CD42" s="16" t="s">
        <v>111</v>
      </c>
      <c r="CE42" s="3"/>
      <c r="CF42" s="3"/>
      <c r="CG42" s="16" t="s">
        <v>5077</v>
      </c>
      <c r="CI42" s="16" t="s">
        <v>97</v>
      </c>
      <c r="CJ42" s="3" t="s">
        <v>5321</v>
      </c>
      <c r="CK42" s="3" t="s">
        <v>1814</v>
      </c>
      <c r="CL42" s="3" t="s">
        <v>242</v>
      </c>
    </row>
    <row r="43" spans="1:95" ht="15" customHeight="1">
      <c r="A43" s="241" t="s">
        <v>5322</v>
      </c>
      <c r="B43" s="86" t="s">
        <v>5323</v>
      </c>
      <c r="C43" s="16" t="s">
        <v>97</v>
      </c>
      <c r="D43" s="86" t="s">
        <v>5324</v>
      </c>
      <c r="E43" s="16" t="s">
        <v>97</v>
      </c>
      <c r="F43" s="150" t="s">
        <v>5325</v>
      </c>
      <c r="I43" s="227" t="s">
        <v>342</v>
      </c>
      <c r="J43" s="16" t="s">
        <v>101</v>
      </c>
      <c r="K43" s="16"/>
      <c r="L43" s="16" t="s">
        <v>5075</v>
      </c>
      <c r="M43" s="16"/>
      <c r="N43" s="16"/>
      <c r="P43" s="86" t="s">
        <v>5326</v>
      </c>
      <c r="Q43" s="86" t="s">
        <v>5326</v>
      </c>
      <c r="R43" s="86" t="s">
        <v>5326</v>
      </c>
      <c r="S43" s="241" t="s">
        <v>5322</v>
      </c>
      <c r="T43" s="146" t="s">
        <v>5076</v>
      </c>
      <c r="U43" s="97">
        <v>2</v>
      </c>
      <c r="X43" s="31" t="s">
        <v>108</v>
      </c>
      <c r="Y43" s="231">
        <f t="shared" si="10"/>
        <v>1</v>
      </c>
      <c r="Z43" s="3">
        <v>0</v>
      </c>
      <c r="AA43" s="3" t="s">
        <v>5327</v>
      </c>
      <c r="AD43" s="6">
        <f t="shared" si="11"/>
        <v>10.64</v>
      </c>
      <c r="AE43" s="99">
        <v>12.119673300000001</v>
      </c>
      <c r="AF43" s="233">
        <f t="shared" si="12"/>
        <v>12.768000000000001</v>
      </c>
      <c r="AG43" s="6">
        <f t="shared" si="13"/>
        <v>7.88</v>
      </c>
      <c r="AH43" s="30" t="s">
        <v>110</v>
      </c>
      <c r="AI43" s="3">
        <v>0.65</v>
      </c>
      <c r="AJ43" s="18">
        <v>0.35</v>
      </c>
      <c r="AK43" s="6">
        <f t="shared" si="14"/>
        <v>10.53</v>
      </c>
      <c r="AL43" s="6">
        <f t="shared" si="15"/>
        <v>10.43</v>
      </c>
      <c r="AM43" s="6">
        <f t="shared" si="16"/>
        <v>10.32</v>
      </c>
      <c r="AN43" s="6">
        <f t="shared" si="17"/>
        <v>10.32</v>
      </c>
      <c r="AO43" s="6">
        <f t="shared" si="18"/>
        <v>10.64</v>
      </c>
      <c r="BG43" s="12">
        <v>0.01</v>
      </c>
      <c r="BH43" s="12">
        <v>0.02</v>
      </c>
      <c r="BI43" s="12">
        <v>0.03</v>
      </c>
      <c r="BJ43" s="12">
        <v>0.03</v>
      </c>
      <c r="BK43" s="12"/>
      <c r="CC43" s="3" t="str">
        <f t="shared" si="19"/>
        <v>Allied-Moulded-PL108.jpg</v>
      </c>
      <c r="CD43" s="16" t="s">
        <v>111</v>
      </c>
      <c r="CE43" s="3"/>
      <c r="CF43" s="3"/>
      <c r="CG43" s="16" t="s">
        <v>5077</v>
      </c>
      <c r="CH43" s="16"/>
      <c r="CI43" s="16" t="s">
        <v>97</v>
      </c>
      <c r="CJ43" s="16" t="s">
        <v>4493</v>
      </c>
      <c r="CK43" s="16" t="s">
        <v>167</v>
      </c>
      <c r="CL43" s="16" t="s">
        <v>385</v>
      </c>
      <c r="CN43" s="16"/>
      <c r="CO43" s="16"/>
      <c r="CP43" s="16"/>
      <c r="CQ43" s="16"/>
    </row>
    <row r="44" spans="1:95" ht="15" customHeight="1">
      <c r="A44" s="222" t="s">
        <v>5328</v>
      </c>
      <c r="B44" s="3" t="s">
        <v>5275</v>
      </c>
      <c r="C44" s="16" t="s">
        <v>97</v>
      </c>
      <c r="D44" s="253" t="s">
        <v>5329</v>
      </c>
      <c r="E44" s="16" t="s">
        <v>97</v>
      </c>
      <c r="F44" s="131" t="s">
        <v>5273</v>
      </c>
      <c r="I44" s="227" t="s">
        <v>342</v>
      </c>
      <c r="J44" s="16" t="s">
        <v>101</v>
      </c>
      <c r="K44" s="16"/>
      <c r="L44" s="16" t="s">
        <v>5075</v>
      </c>
      <c r="P44" s="3" t="s">
        <v>5330</v>
      </c>
      <c r="Q44" s="3" t="s">
        <v>5330</v>
      </c>
      <c r="R44" s="3" t="s">
        <v>5330</v>
      </c>
      <c r="S44" s="222" t="s">
        <v>5328</v>
      </c>
      <c r="T44" s="228" t="s">
        <v>5076</v>
      </c>
      <c r="U44" s="254">
        <v>2</v>
      </c>
      <c r="V44" s="239"/>
      <c r="W44" s="239"/>
      <c r="X44" s="230" t="s">
        <v>108</v>
      </c>
      <c r="Y44" s="231">
        <f t="shared" si="10"/>
        <v>1</v>
      </c>
      <c r="Z44" s="3">
        <v>0</v>
      </c>
      <c r="AA44" s="3" t="s">
        <v>5331</v>
      </c>
      <c r="AD44" s="6">
        <f t="shared" si="11"/>
        <v>15.46</v>
      </c>
      <c r="AE44" s="124">
        <v>17.611843200000003</v>
      </c>
      <c r="AF44" s="233">
        <f t="shared" si="12"/>
        <v>18.552</v>
      </c>
      <c r="AG44" s="6">
        <f t="shared" si="13"/>
        <v>11.45</v>
      </c>
      <c r="AH44" s="30" t="s">
        <v>110</v>
      </c>
      <c r="AI44" s="3">
        <v>0.65</v>
      </c>
      <c r="AJ44" s="18">
        <v>0.35</v>
      </c>
      <c r="AK44" s="6">
        <f t="shared" si="14"/>
        <v>15.31</v>
      </c>
      <c r="AL44" s="6">
        <f t="shared" si="15"/>
        <v>15.15</v>
      </c>
      <c r="AM44" s="6">
        <f t="shared" si="16"/>
        <v>15</v>
      </c>
      <c r="AN44" s="6">
        <f t="shared" si="17"/>
        <v>15</v>
      </c>
      <c r="AO44" s="6">
        <f t="shared" si="18"/>
        <v>15.46</v>
      </c>
      <c r="BG44" s="12">
        <v>0.01</v>
      </c>
      <c r="BH44" s="12">
        <v>0.02</v>
      </c>
      <c r="BI44" s="12">
        <v>0.03</v>
      </c>
      <c r="BJ44" s="12">
        <v>0.03</v>
      </c>
      <c r="CC44" s="3" t="str">
        <f t="shared" si="19"/>
        <v>Allied-Moulded-PLA120.jpg</v>
      </c>
      <c r="CD44" s="16" t="s">
        <v>111</v>
      </c>
      <c r="CE44" s="3"/>
      <c r="CF44" s="3"/>
      <c r="CG44" s="16" t="s">
        <v>5077</v>
      </c>
      <c r="CI44" s="16" t="s">
        <v>97</v>
      </c>
      <c r="CJ44" s="3" t="s">
        <v>5247</v>
      </c>
      <c r="CK44" s="3" t="s">
        <v>125</v>
      </c>
      <c r="CL44" s="3" t="s">
        <v>167</v>
      </c>
    </row>
    <row r="45" spans="1:95" ht="15" customHeight="1">
      <c r="A45" s="222" t="s">
        <v>5332</v>
      </c>
      <c r="B45" s="3" t="s">
        <v>5333</v>
      </c>
      <c r="C45" s="16" t="s">
        <v>97</v>
      </c>
      <c r="D45" s="229" t="s">
        <v>5334</v>
      </c>
      <c r="E45" s="16" t="s">
        <v>97</v>
      </c>
      <c r="F45" s="131" t="s">
        <v>5335</v>
      </c>
      <c r="I45" s="227" t="s">
        <v>342</v>
      </c>
      <c r="J45" s="16" t="s">
        <v>101</v>
      </c>
      <c r="K45" s="16"/>
      <c r="L45" s="16" t="s">
        <v>5075</v>
      </c>
      <c r="P45" s="3" t="s">
        <v>5336</v>
      </c>
      <c r="Q45" s="3" t="s">
        <v>5336</v>
      </c>
      <c r="R45" s="3" t="s">
        <v>5336</v>
      </c>
      <c r="S45" s="222" t="s">
        <v>5332</v>
      </c>
      <c r="T45" s="228" t="s">
        <v>5076</v>
      </c>
      <c r="U45" s="246">
        <v>2</v>
      </c>
      <c r="V45" s="238"/>
      <c r="W45" s="238"/>
      <c r="X45" s="230" t="s">
        <v>108</v>
      </c>
      <c r="Y45" s="231">
        <f t="shared" si="10"/>
        <v>1</v>
      </c>
      <c r="Z45" s="3">
        <v>0</v>
      </c>
      <c r="AA45" s="3" t="s">
        <v>5337</v>
      </c>
      <c r="AD45" s="6">
        <f t="shared" si="11"/>
        <v>20.61</v>
      </c>
      <c r="AE45" s="122">
        <v>23.487188549999996</v>
      </c>
      <c r="AF45" s="233">
        <f t="shared" si="12"/>
        <v>24.731999999999999</v>
      </c>
      <c r="AG45" s="6">
        <f t="shared" si="13"/>
        <v>15.27</v>
      </c>
      <c r="AH45" s="30" t="s">
        <v>110</v>
      </c>
      <c r="AI45" s="3">
        <v>0.65</v>
      </c>
      <c r="AJ45" s="18">
        <v>0.35</v>
      </c>
      <c r="AK45" s="6">
        <f t="shared" si="14"/>
        <v>20.399999999999999</v>
      </c>
      <c r="AL45" s="6">
        <f t="shared" si="15"/>
        <v>20.2</v>
      </c>
      <c r="AM45" s="6">
        <f t="shared" si="16"/>
        <v>19.989999999999998</v>
      </c>
      <c r="AN45" s="6">
        <f t="shared" si="17"/>
        <v>19.989999999999998</v>
      </c>
      <c r="AO45" s="6">
        <f t="shared" si="18"/>
        <v>20.61</v>
      </c>
      <c r="BG45" s="12">
        <v>0.01</v>
      </c>
      <c r="BH45" s="12">
        <v>0.02</v>
      </c>
      <c r="BI45" s="12">
        <v>0.03</v>
      </c>
      <c r="BJ45" s="12">
        <v>0.03</v>
      </c>
      <c r="CC45" s="3" t="str">
        <f t="shared" si="19"/>
        <v>Allied-Moulded-PLA122.jpg</v>
      </c>
      <c r="CD45" s="16" t="s">
        <v>111</v>
      </c>
      <c r="CE45" s="3"/>
      <c r="CF45" s="3"/>
      <c r="CG45" s="16" t="s">
        <v>5077</v>
      </c>
      <c r="CI45" s="16" t="s">
        <v>97</v>
      </c>
      <c r="CJ45" s="3" t="s">
        <v>5247</v>
      </c>
      <c r="CK45" s="3" t="s">
        <v>125</v>
      </c>
      <c r="CL45" s="3" t="s">
        <v>125</v>
      </c>
    </row>
    <row r="46" spans="1:95" ht="15" customHeight="1">
      <c r="A46" s="222" t="s">
        <v>5338</v>
      </c>
      <c r="B46" s="3" t="s">
        <v>5232</v>
      </c>
      <c r="C46" s="16" t="s">
        <v>97</v>
      </c>
      <c r="D46" s="234" t="s">
        <v>5339</v>
      </c>
      <c r="E46" s="16" t="s">
        <v>97</v>
      </c>
      <c r="F46" s="131" t="s">
        <v>5230</v>
      </c>
      <c r="I46" s="227" t="s">
        <v>342</v>
      </c>
      <c r="J46" s="16" t="s">
        <v>101</v>
      </c>
      <c r="K46" s="16"/>
      <c r="L46" s="16" t="s">
        <v>5075</v>
      </c>
      <c r="P46" s="3" t="s">
        <v>5340</v>
      </c>
      <c r="Q46" s="3" t="s">
        <v>5340</v>
      </c>
      <c r="R46" s="3" t="s">
        <v>5340</v>
      </c>
      <c r="S46" s="222" t="s">
        <v>5338</v>
      </c>
      <c r="T46" s="228" t="s">
        <v>5076</v>
      </c>
      <c r="U46" s="240">
        <v>2</v>
      </c>
      <c r="V46" s="239"/>
      <c r="W46" s="239"/>
      <c r="X46" s="230" t="s">
        <v>108</v>
      </c>
      <c r="Y46" s="231">
        <f t="shared" si="10"/>
        <v>1</v>
      </c>
      <c r="Z46" s="3">
        <v>0</v>
      </c>
      <c r="AA46" s="3" t="s">
        <v>5341</v>
      </c>
      <c r="AD46" s="6">
        <f t="shared" si="11"/>
        <v>25.77</v>
      </c>
      <c r="AE46" s="122">
        <v>29.376725699999998</v>
      </c>
      <c r="AF46" s="233">
        <f t="shared" si="12"/>
        <v>30.923999999999999</v>
      </c>
      <c r="AG46" s="6">
        <f t="shared" si="13"/>
        <v>19.09</v>
      </c>
      <c r="AH46" s="30" t="s">
        <v>110</v>
      </c>
      <c r="AI46" s="3">
        <v>0.65</v>
      </c>
      <c r="AJ46" s="18">
        <v>0.35</v>
      </c>
      <c r="AK46" s="6">
        <f t="shared" si="14"/>
        <v>25.51</v>
      </c>
      <c r="AL46" s="6">
        <f t="shared" si="15"/>
        <v>25.25</v>
      </c>
      <c r="AM46" s="6">
        <f t="shared" si="16"/>
        <v>25</v>
      </c>
      <c r="AN46" s="6">
        <f t="shared" si="17"/>
        <v>25</v>
      </c>
      <c r="AO46" s="6">
        <f t="shared" si="18"/>
        <v>25.77</v>
      </c>
      <c r="BG46" s="12">
        <v>0.01</v>
      </c>
      <c r="BH46" s="12">
        <v>0.02</v>
      </c>
      <c r="BI46" s="12">
        <v>0.03</v>
      </c>
      <c r="BJ46" s="12">
        <v>0.03</v>
      </c>
      <c r="CC46" s="3" t="str">
        <f t="shared" si="19"/>
        <v>Allied-Moulded-PLA142.jpg</v>
      </c>
      <c r="CD46" s="16" t="s">
        <v>111</v>
      </c>
      <c r="CE46" s="3"/>
      <c r="CF46" s="3"/>
      <c r="CG46" s="16" t="s">
        <v>5077</v>
      </c>
      <c r="CI46" s="16" t="s">
        <v>97</v>
      </c>
      <c r="CJ46" s="3" t="s">
        <v>5247</v>
      </c>
      <c r="CK46" s="3" t="s">
        <v>1037</v>
      </c>
      <c r="CL46" s="3" t="s">
        <v>125</v>
      </c>
    </row>
    <row r="47" spans="1:95" ht="15" customHeight="1">
      <c r="A47" s="222" t="s">
        <v>5342</v>
      </c>
      <c r="B47" s="3" t="s">
        <v>5343</v>
      </c>
      <c r="C47" s="16" t="s">
        <v>97</v>
      </c>
      <c r="D47" s="255" t="s">
        <v>5344</v>
      </c>
      <c r="E47" s="16" t="s">
        <v>97</v>
      </c>
      <c r="F47" s="131" t="s">
        <v>5345</v>
      </c>
      <c r="I47" s="227" t="s">
        <v>342</v>
      </c>
      <c r="J47" s="16" t="s">
        <v>101</v>
      </c>
      <c r="K47" s="16"/>
      <c r="L47" s="16" t="s">
        <v>5075</v>
      </c>
      <c r="P47" s="3" t="s">
        <v>5346</v>
      </c>
      <c r="Q47" s="3" t="s">
        <v>5346</v>
      </c>
      <c r="R47" s="3" t="s">
        <v>5346</v>
      </c>
      <c r="S47" s="222" t="s">
        <v>5342</v>
      </c>
      <c r="T47" s="228" t="s">
        <v>5076</v>
      </c>
      <c r="U47" s="243">
        <v>2</v>
      </c>
      <c r="V47" s="238"/>
      <c r="W47" s="238"/>
      <c r="X47" s="230" t="s">
        <v>108</v>
      </c>
      <c r="Y47" s="231">
        <f t="shared" si="10"/>
        <v>1</v>
      </c>
      <c r="Z47" s="3">
        <v>0</v>
      </c>
      <c r="AA47" s="3" t="s">
        <v>5347</v>
      </c>
      <c r="AD47" s="6">
        <f t="shared" si="11"/>
        <v>32.36</v>
      </c>
      <c r="AE47" s="256">
        <v>36.875855100000003</v>
      </c>
      <c r="AF47" s="233">
        <f t="shared" si="12"/>
        <v>38.832000000000001</v>
      </c>
      <c r="AG47" s="6">
        <f t="shared" si="13"/>
        <v>23.97</v>
      </c>
      <c r="AH47" s="30" t="s">
        <v>110</v>
      </c>
      <c r="AI47" s="3">
        <v>0.65</v>
      </c>
      <c r="AJ47" s="18">
        <v>0.35</v>
      </c>
      <c r="AK47" s="6">
        <f t="shared" si="14"/>
        <v>32.04</v>
      </c>
      <c r="AL47" s="6">
        <f t="shared" si="15"/>
        <v>31.71</v>
      </c>
      <c r="AM47" s="6">
        <f t="shared" si="16"/>
        <v>31.39</v>
      </c>
      <c r="AN47" s="6">
        <f t="shared" si="17"/>
        <v>31.39</v>
      </c>
      <c r="AO47" s="6">
        <f t="shared" si="18"/>
        <v>32.36</v>
      </c>
      <c r="BG47" s="12">
        <v>0.01</v>
      </c>
      <c r="BH47" s="12">
        <v>0.02</v>
      </c>
      <c r="BI47" s="12">
        <v>0.03</v>
      </c>
      <c r="BJ47" s="12">
        <v>0.03</v>
      </c>
      <c r="CC47" s="3" t="str">
        <f t="shared" si="19"/>
        <v>Allied-Moulded-PF122.jpg</v>
      </c>
      <c r="CD47" s="16" t="s">
        <v>111</v>
      </c>
      <c r="CE47" s="3"/>
      <c r="CF47" s="3"/>
      <c r="CG47" s="16" t="s">
        <v>5077</v>
      </c>
      <c r="CI47" s="16" t="s">
        <v>97</v>
      </c>
      <c r="CJ47" s="3" t="s">
        <v>118</v>
      </c>
      <c r="CK47" s="3" t="s">
        <v>125</v>
      </c>
      <c r="CL47" s="3" t="s">
        <v>125</v>
      </c>
    </row>
    <row r="48" spans="1:95" ht="15" customHeight="1">
      <c r="A48" s="222" t="s">
        <v>5348</v>
      </c>
      <c r="B48" s="3" t="s">
        <v>5349</v>
      </c>
      <c r="C48" s="16" t="s">
        <v>97</v>
      </c>
      <c r="D48" s="229" t="s">
        <v>5350</v>
      </c>
      <c r="E48" s="16" t="s">
        <v>97</v>
      </c>
      <c r="F48" s="131" t="s">
        <v>5351</v>
      </c>
      <c r="I48" s="227" t="s">
        <v>342</v>
      </c>
      <c r="J48" s="16" t="s">
        <v>101</v>
      </c>
      <c r="K48" s="16"/>
      <c r="L48" s="16" t="s">
        <v>5075</v>
      </c>
      <c r="P48" s="3" t="s">
        <v>5352</v>
      </c>
      <c r="Q48" s="3" t="s">
        <v>5352</v>
      </c>
      <c r="R48" s="3" t="s">
        <v>5352</v>
      </c>
      <c r="S48" s="222" t="s">
        <v>5348</v>
      </c>
      <c r="T48" s="228" t="s">
        <v>5076</v>
      </c>
      <c r="U48" s="246">
        <v>2</v>
      </c>
      <c r="V48" s="238"/>
      <c r="W48" s="238"/>
      <c r="X48" s="230" t="s">
        <v>108</v>
      </c>
      <c r="Y48" s="231">
        <f t="shared" si="10"/>
        <v>1</v>
      </c>
      <c r="Z48" s="3">
        <v>0</v>
      </c>
      <c r="AA48" s="3" t="s">
        <v>5353</v>
      </c>
      <c r="AD48" s="6">
        <f t="shared" si="11"/>
        <v>9.18</v>
      </c>
      <c r="AE48" s="244">
        <v>10.4592495</v>
      </c>
      <c r="AF48" s="233">
        <f t="shared" si="12"/>
        <v>11.016</v>
      </c>
      <c r="AG48" s="6">
        <f t="shared" si="13"/>
        <v>6.8</v>
      </c>
      <c r="AH48" s="30" t="s">
        <v>110</v>
      </c>
      <c r="AI48" s="3">
        <v>0.65</v>
      </c>
      <c r="AJ48" s="18">
        <v>0.35</v>
      </c>
      <c r="AK48" s="6">
        <f t="shared" si="14"/>
        <v>9.09</v>
      </c>
      <c r="AL48" s="6">
        <f t="shared" si="15"/>
        <v>9</v>
      </c>
      <c r="AM48" s="6">
        <f t="shared" si="16"/>
        <v>8.9</v>
      </c>
      <c r="AN48" s="6">
        <f t="shared" si="17"/>
        <v>8.9</v>
      </c>
      <c r="AO48" s="6">
        <f t="shared" si="18"/>
        <v>9.18</v>
      </c>
      <c r="BG48" s="12">
        <v>0.01</v>
      </c>
      <c r="BH48" s="12">
        <v>0.02</v>
      </c>
      <c r="BI48" s="12">
        <v>0.03</v>
      </c>
      <c r="BJ48" s="12">
        <v>0.03</v>
      </c>
      <c r="CC48" s="3" t="str">
        <f t="shared" si="19"/>
        <v>Allied-Moulded-PG108.jpg</v>
      </c>
      <c r="CD48" s="16" t="s">
        <v>111</v>
      </c>
      <c r="CE48" s="3"/>
      <c r="CF48" s="3"/>
      <c r="CG48" s="16" t="s">
        <v>5077</v>
      </c>
      <c r="CI48" s="16" t="s">
        <v>97</v>
      </c>
      <c r="CJ48" s="3" t="s">
        <v>4493</v>
      </c>
      <c r="CK48" s="3" t="s">
        <v>167</v>
      </c>
      <c r="CL48" s="3" t="s">
        <v>385</v>
      </c>
    </row>
    <row r="49" spans="1:95" ht="15" customHeight="1">
      <c r="A49" s="222" t="s">
        <v>5354</v>
      </c>
      <c r="B49" s="3" t="s">
        <v>5355</v>
      </c>
      <c r="C49" s="16" t="s">
        <v>97</v>
      </c>
      <c r="D49" s="234" t="s">
        <v>5356</v>
      </c>
      <c r="E49" s="16" t="s">
        <v>97</v>
      </c>
      <c r="F49" s="131" t="s">
        <v>5357</v>
      </c>
      <c r="I49" s="227" t="s">
        <v>342</v>
      </c>
      <c r="J49" s="16" t="s">
        <v>101</v>
      </c>
      <c r="K49" s="16"/>
      <c r="L49" s="16" t="s">
        <v>5075</v>
      </c>
      <c r="P49" s="3" t="s">
        <v>5358</v>
      </c>
      <c r="Q49" s="3" t="s">
        <v>5358</v>
      </c>
      <c r="R49" s="3" t="s">
        <v>5358</v>
      </c>
      <c r="S49" s="222" t="s">
        <v>5354</v>
      </c>
      <c r="T49" s="228" t="s">
        <v>5076</v>
      </c>
      <c r="U49" s="240">
        <v>2</v>
      </c>
      <c r="V49" s="239"/>
      <c r="W49" s="239"/>
      <c r="X49" s="230" t="s">
        <v>108</v>
      </c>
      <c r="Y49" s="231">
        <f t="shared" si="10"/>
        <v>1</v>
      </c>
      <c r="Z49" s="3">
        <v>0</v>
      </c>
      <c r="AA49" s="3" t="s">
        <v>5359</v>
      </c>
      <c r="AD49" s="6">
        <f t="shared" si="11"/>
        <v>12.19</v>
      </c>
      <c r="AE49" s="244">
        <v>13.893630450000002</v>
      </c>
      <c r="AF49" s="233">
        <f t="shared" si="12"/>
        <v>14.627999999999998</v>
      </c>
      <c r="AG49" s="6">
        <f t="shared" si="13"/>
        <v>9.0299999999999994</v>
      </c>
      <c r="AH49" s="30" t="s">
        <v>110</v>
      </c>
      <c r="AI49" s="3">
        <v>0.65</v>
      </c>
      <c r="AJ49" s="18">
        <v>0.35</v>
      </c>
      <c r="AK49" s="6">
        <f t="shared" si="14"/>
        <v>12.07</v>
      </c>
      <c r="AL49" s="6">
        <f t="shared" si="15"/>
        <v>11.95</v>
      </c>
      <c r="AM49" s="6">
        <f t="shared" si="16"/>
        <v>11.82</v>
      </c>
      <c r="AN49" s="6">
        <f t="shared" si="17"/>
        <v>11.82</v>
      </c>
      <c r="AO49" s="6">
        <f t="shared" si="18"/>
        <v>12.19</v>
      </c>
      <c r="BG49" s="12">
        <v>0.01</v>
      </c>
      <c r="BH49" s="12">
        <v>0.02</v>
      </c>
      <c r="BI49" s="12">
        <v>0.03</v>
      </c>
      <c r="BJ49" s="12">
        <v>0.03</v>
      </c>
      <c r="CC49" s="3" t="str">
        <f t="shared" si="19"/>
        <v>Allied-Moulded-PG120.jpg</v>
      </c>
      <c r="CD49" s="16" t="s">
        <v>111</v>
      </c>
      <c r="CE49" s="3"/>
      <c r="CF49" s="3"/>
      <c r="CG49" s="16" t="s">
        <v>5077</v>
      </c>
      <c r="CI49" s="16" t="s">
        <v>97</v>
      </c>
      <c r="CJ49" s="3" t="s">
        <v>4493</v>
      </c>
      <c r="CK49" s="3" t="s">
        <v>125</v>
      </c>
      <c r="CL49" s="3" t="s">
        <v>167</v>
      </c>
    </row>
    <row r="50" spans="1:95" ht="15" customHeight="1">
      <c r="A50" s="222" t="s">
        <v>5360</v>
      </c>
      <c r="B50" s="3" t="s">
        <v>5361</v>
      </c>
      <c r="C50" s="16" t="s">
        <v>97</v>
      </c>
      <c r="D50" s="253" t="s">
        <v>5362</v>
      </c>
      <c r="E50" s="16" t="s">
        <v>97</v>
      </c>
      <c r="F50" s="131" t="s">
        <v>5363</v>
      </c>
      <c r="I50" s="227" t="s">
        <v>342</v>
      </c>
      <c r="J50" s="16" t="s">
        <v>101</v>
      </c>
      <c r="K50" s="16"/>
      <c r="L50" s="16" t="s">
        <v>5075</v>
      </c>
      <c r="P50" s="3" t="s">
        <v>5364</v>
      </c>
      <c r="Q50" s="3" t="s">
        <v>5364</v>
      </c>
      <c r="R50" s="3" t="s">
        <v>5364</v>
      </c>
      <c r="S50" s="222" t="s">
        <v>5360</v>
      </c>
      <c r="T50" s="228" t="s">
        <v>5319</v>
      </c>
      <c r="U50" s="254">
        <v>2</v>
      </c>
      <c r="V50" s="239"/>
      <c r="W50" s="239"/>
      <c r="X50" s="230" t="s">
        <v>108</v>
      </c>
      <c r="Y50" s="231">
        <f t="shared" si="10"/>
        <v>1</v>
      </c>
      <c r="Z50" s="3">
        <v>0</v>
      </c>
      <c r="AA50" s="3" t="s">
        <v>5365</v>
      </c>
      <c r="AD50" s="6">
        <f t="shared" si="11"/>
        <v>19.62</v>
      </c>
      <c r="AE50" s="257">
        <v>22.354586099999999</v>
      </c>
      <c r="AF50" s="233">
        <f t="shared" si="12"/>
        <v>23.544</v>
      </c>
      <c r="AG50" s="6">
        <f t="shared" si="13"/>
        <v>14.53</v>
      </c>
      <c r="AH50" s="30" t="s">
        <v>110</v>
      </c>
      <c r="AI50" s="3">
        <v>0.65</v>
      </c>
      <c r="AJ50" s="18">
        <v>0.35</v>
      </c>
      <c r="AK50" s="6">
        <f t="shared" si="14"/>
        <v>19.420000000000002</v>
      </c>
      <c r="AL50" s="6">
        <f t="shared" si="15"/>
        <v>19.23</v>
      </c>
      <c r="AM50" s="6">
        <f t="shared" si="16"/>
        <v>19.03</v>
      </c>
      <c r="AN50" s="6">
        <f t="shared" si="17"/>
        <v>19.03</v>
      </c>
      <c r="AO50" s="6">
        <f t="shared" si="18"/>
        <v>19.62</v>
      </c>
      <c r="BG50" s="12">
        <v>0.01</v>
      </c>
      <c r="BH50" s="12">
        <v>0.02</v>
      </c>
      <c r="BI50" s="12">
        <v>0.03</v>
      </c>
      <c r="BJ50" s="12">
        <v>0.03</v>
      </c>
      <c r="CC50" s="3" t="str">
        <f t="shared" si="19"/>
        <v>Allied-Moulded-PLPVC120.jpg</v>
      </c>
      <c r="CD50" s="16" t="s">
        <v>111</v>
      </c>
      <c r="CE50" s="3"/>
      <c r="CF50" s="3"/>
      <c r="CG50" s="16" t="s">
        <v>5077</v>
      </c>
      <c r="CI50" s="16" t="s">
        <v>97</v>
      </c>
      <c r="CJ50" s="3" t="s">
        <v>5321</v>
      </c>
      <c r="CK50" s="3" t="s">
        <v>125</v>
      </c>
      <c r="CL50" s="3" t="s">
        <v>167</v>
      </c>
    </row>
    <row r="51" spans="1:95" ht="15" customHeight="1">
      <c r="A51" s="222" t="s">
        <v>5366</v>
      </c>
      <c r="B51" s="3" t="s">
        <v>5367</v>
      </c>
      <c r="C51" s="16" t="s">
        <v>97</v>
      </c>
      <c r="D51" s="229" t="s">
        <v>5368</v>
      </c>
      <c r="E51" s="16" t="s">
        <v>97</v>
      </c>
      <c r="F51" s="131" t="s">
        <v>5369</v>
      </c>
      <c r="I51" s="227" t="s">
        <v>342</v>
      </c>
      <c r="J51" s="16" t="s">
        <v>101</v>
      </c>
      <c r="K51" s="16"/>
      <c r="L51" s="16" t="s">
        <v>5075</v>
      </c>
      <c r="P51" s="3" t="s">
        <v>5370</v>
      </c>
      <c r="Q51" s="3" t="s">
        <v>5370</v>
      </c>
      <c r="R51" s="3" t="s">
        <v>5370</v>
      </c>
      <c r="S51" s="222" t="s">
        <v>5366</v>
      </c>
      <c r="T51" s="228" t="s">
        <v>5319</v>
      </c>
      <c r="U51" s="246">
        <v>2</v>
      </c>
      <c r="V51" s="238"/>
      <c r="W51" s="238"/>
      <c r="X51" s="230" t="s">
        <v>108</v>
      </c>
      <c r="Y51" s="231">
        <f t="shared" si="10"/>
        <v>1</v>
      </c>
      <c r="Z51" s="3">
        <v>0</v>
      </c>
      <c r="AA51" s="3" t="s">
        <v>5371</v>
      </c>
      <c r="AD51" s="6">
        <f t="shared" si="11"/>
        <v>32.72</v>
      </c>
      <c r="AE51" s="252">
        <v>37.292672549999999</v>
      </c>
      <c r="AF51" s="233">
        <f t="shared" si="12"/>
        <v>39.263999999999996</v>
      </c>
      <c r="AG51" s="6">
        <f t="shared" si="13"/>
        <v>24.24</v>
      </c>
      <c r="AH51" s="30" t="s">
        <v>110</v>
      </c>
      <c r="AI51" s="3">
        <v>0.65</v>
      </c>
      <c r="AJ51" s="18">
        <v>0.35</v>
      </c>
      <c r="AK51" s="6">
        <f t="shared" si="14"/>
        <v>32.39</v>
      </c>
      <c r="AL51" s="6">
        <f t="shared" si="15"/>
        <v>32.07</v>
      </c>
      <c r="AM51" s="6">
        <f t="shared" si="16"/>
        <v>31.74</v>
      </c>
      <c r="AN51" s="6">
        <f t="shared" si="17"/>
        <v>31.74</v>
      </c>
      <c r="AO51" s="6">
        <f t="shared" si="18"/>
        <v>32.72</v>
      </c>
      <c r="BG51" s="12">
        <v>0.01</v>
      </c>
      <c r="BH51" s="12">
        <v>0.02</v>
      </c>
      <c r="BI51" s="12">
        <v>0.03</v>
      </c>
      <c r="BJ51" s="12">
        <v>0.03</v>
      </c>
      <c r="CC51" s="3" t="str">
        <f t="shared" si="19"/>
        <v>Allied-Moulded-PLPVC142.jpg</v>
      </c>
      <c r="CD51" s="16" t="s">
        <v>111</v>
      </c>
      <c r="CE51" s="3"/>
      <c r="CF51" s="3"/>
      <c r="CG51" s="16" t="s">
        <v>5077</v>
      </c>
      <c r="CI51" s="16" t="s">
        <v>97</v>
      </c>
      <c r="CJ51" s="3" t="s">
        <v>5321</v>
      </c>
      <c r="CK51" s="3" t="s">
        <v>1037</v>
      </c>
      <c r="CL51" s="3" t="s">
        <v>125</v>
      </c>
    </row>
    <row r="52" spans="1:95" ht="15" customHeight="1">
      <c r="A52" s="222" t="s">
        <v>5372</v>
      </c>
      <c r="B52" s="3" t="s">
        <v>5373</v>
      </c>
      <c r="C52" s="16" t="s">
        <v>97</v>
      </c>
      <c r="D52" s="234" t="s">
        <v>5374</v>
      </c>
      <c r="E52" s="16" t="s">
        <v>97</v>
      </c>
      <c r="F52" s="131" t="s">
        <v>5375</v>
      </c>
      <c r="I52" s="227" t="s">
        <v>342</v>
      </c>
      <c r="J52" s="16" t="s">
        <v>101</v>
      </c>
      <c r="K52" s="16"/>
      <c r="L52" s="16" t="s">
        <v>5075</v>
      </c>
      <c r="P52" s="3" t="s">
        <v>5376</v>
      </c>
      <c r="Q52" s="3" t="s">
        <v>5376</v>
      </c>
      <c r="R52" s="3" t="s">
        <v>5376</v>
      </c>
      <c r="S52" s="222" t="s">
        <v>5372</v>
      </c>
      <c r="T52" s="228" t="s">
        <v>5319</v>
      </c>
      <c r="U52" s="240">
        <v>2</v>
      </c>
      <c r="V52" s="239"/>
      <c r="W52" s="239"/>
      <c r="X52" s="230" t="s">
        <v>108</v>
      </c>
      <c r="Y52" s="231">
        <f t="shared" si="10"/>
        <v>1</v>
      </c>
      <c r="Z52" s="3">
        <v>0</v>
      </c>
      <c r="AA52" s="3" t="s">
        <v>5377</v>
      </c>
      <c r="AD52" s="6">
        <f t="shared" si="11"/>
        <v>45.17</v>
      </c>
      <c r="AE52" s="252">
        <v>51.480103500000006</v>
      </c>
      <c r="AF52" s="233">
        <f t="shared" si="12"/>
        <v>54.204000000000001</v>
      </c>
      <c r="AG52" s="6">
        <f t="shared" si="13"/>
        <v>33.46</v>
      </c>
      <c r="AH52" s="30" t="s">
        <v>110</v>
      </c>
      <c r="AI52" s="3">
        <v>0.65</v>
      </c>
      <c r="AJ52" s="18">
        <v>0.35</v>
      </c>
      <c r="AK52" s="6">
        <f t="shared" si="14"/>
        <v>44.72</v>
      </c>
      <c r="AL52" s="6">
        <f t="shared" si="15"/>
        <v>44.27</v>
      </c>
      <c r="AM52" s="6">
        <f t="shared" si="16"/>
        <v>43.81</v>
      </c>
      <c r="AN52" s="6">
        <f t="shared" si="17"/>
        <v>43.81</v>
      </c>
      <c r="AO52" s="6">
        <f t="shared" si="18"/>
        <v>45.17</v>
      </c>
      <c r="BG52" s="12">
        <v>0.01</v>
      </c>
      <c r="BH52" s="12">
        <v>0.02</v>
      </c>
      <c r="BI52" s="12">
        <v>0.03</v>
      </c>
      <c r="BJ52" s="12">
        <v>0.03</v>
      </c>
      <c r="CC52" s="3" t="str">
        <f t="shared" si="19"/>
        <v>Allied-Moulded-PLPVC164.jpg</v>
      </c>
      <c r="CD52" s="16" t="s">
        <v>111</v>
      </c>
      <c r="CE52" s="3"/>
      <c r="CF52" s="3"/>
      <c r="CG52" s="16" t="s">
        <v>5077</v>
      </c>
      <c r="CI52" s="16" t="s">
        <v>97</v>
      </c>
      <c r="CJ52" s="3" t="s">
        <v>5321</v>
      </c>
      <c r="CK52" s="3" t="s">
        <v>242</v>
      </c>
      <c r="CL52" s="3" t="s">
        <v>1037</v>
      </c>
    </row>
    <row r="53" spans="1:95" ht="15" customHeight="1">
      <c r="A53" s="19" t="s">
        <v>5378</v>
      </c>
      <c r="B53" s="29" t="s">
        <v>5379</v>
      </c>
      <c r="C53" s="16" t="s">
        <v>97</v>
      </c>
      <c r="D53" s="119" t="s">
        <v>5380</v>
      </c>
      <c r="E53" s="16" t="s">
        <v>97</v>
      </c>
      <c r="F53" s="150" t="s">
        <v>5381</v>
      </c>
      <c r="I53" s="227" t="s">
        <v>342</v>
      </c>
      <c r="J53" s="16" t="s">
        <v>101</v>
      </c>
      <c r="K53" s="16"/>
      <c r="L53" s="16" t="s">
        <v>5075</v>
      </c>
      <c r="M53" s="16"/>
      <c r="N53" s="16"/>
      <c r="P53" s="19" t="s">
        <v>5382</v>
      </c>
      <c r="Q53" s="19" t="s">
        <v>5382</v>
      </c>
      <c r="R53" s="19" t="s">
        <v>5382</v>
      </c>
      <c r="S53" s="19" t="s">
        <v>5378</v>
      </c>
      <c r="T53" s="133" t="s">
        <v>5076</v>
      </c>
      <c r="U53" s="96">
        <v>1</v>
      </c>
      <c r="X53" s="31" t="s">
        <v>108</v>
      </c>
      <c r="Y53" s="231">
        <f t="shared" si="10"/>
        <v>1</v>
      </c>
      <c r="Z53" s="3">
        <v>0</v>
      </c>
      <c r="AA53" s="3" t="s">
        <v>5383</v>
      </c>
      <c r="AD53" s="6">
        <f t="shared" si="11"/>
        <v>9.81</v>
      </c>
      <c r="AE53" s="98">
        <v>11.183023950000001</v>
      </c>
      <c r="AF53" s="233">
        <f t="shared" si="12"/>
        <v>11.772</v>
      </c>
      <c r="AG53" s="6">
        <f t="shared" si="13"/>
        <v>7.27</v>
      </c>
      <c r="AH53" s="30" t="s">
        <v>110</v>
      </c>
      <c r="AI53" s="3">
        <v>0.65</v>
      </c>
      <c r="AJ53" s="18">
        <v>0.35</v>
      </c>
      <c r="AK53" s="6">
        <f t="shared" si="14"/>
        <v>9.7100000000000009</v>
      </c>
      <c r="AL53" s="6">
        <f t="shared" si="15"/>
        <v>9.61</v>
      </c>
      <c r="AM53" s="6">
        <f t="shared" si="16"/>
        <v>9.52</v>
      </c>
      <c r="AN53" s="6">
        <f t="shared" si="17"/>
        <v>9.52</v>
      </c>
      <c r="AO53" s="6">
        <f t="shared" si="18"/>
        <v>9.81</v>
      </c>
      <c r="BG53" s="12">
        <v>0.01</v>
      </c>
      <c r="BH53" s="12">
        <v>0.02</v>
      </c>
      <c r="BI53" s="12">
        <v>0.03</v>
      </c>
      <c r="BJ53" s="12">
        <v>0.03</v>
      </c>
      <c r="BK53" s="12"/>
      <c r="CC53" s="3" t="str">
        <f t="shared" si="19"/>
        <v>Allied-Moulded-PA74.jpg</v>
      </c>
      <c r="CD53" s="16" t="s">
        <v>111</v>
      </c>
      <c r="CE53" s="3"/>
      <c r="CF53" s="3"/>
      <c r="CG53" s="16" t="s">
        <v>5077</v>
      </c>
      <c r="CH53" s="16"/>
      <c r="CI53" s="16" t="s">
        <v>97</v>
      </c>
      <c r="CJ53" s="16" t="s">
        <v>5247</v>
      </c>
      <c r="CK53" s="16" t="s">
        <v>2636</v>
      </c>
      <c r="CL53" s="16" t="s">
        <v>657</v>
      </c>
      <c r="CM53" s="16"/>
      <c r="CN53" s="16"/>
      <c r="CO53" s="16"/>
      <c r="CP53" s="16"/>
      <c r="CQ53" s="16"/>
    </row>
    <row r="54" spans="1:95" ht="15" customHeight="1">
      <c r="A54" s="19" t="s">
        <v>5384</v>
      </c>
      <c r="B54" s="29" t="s">
        <v>5385</v>
      </c>
      <c r="C54" s="16" t="s">
        <v>97</v>
      </c>
      <c r="D54" s="19" t="s">
        <v>5386</v>
      </c>
      <c r="E54" s="16" t="s">
        <v>97</v>
      </c>
      <c r="F54" s="150" t="s">
        <v>5387</v>
      </c>
      <c r="I54" s="227" t="s">
        <v>342</v>
      </c>
      <c r="J54" s="16" t="s">
        <v>101</v>
      </c>
      <c r="K54" s="16"/>
      <c r="L54" s="16" t="s">
        <v>5075</v>
      </c>
      <c r="M54" s="16"/>
      <c r="N54" s="16"/>
      <c r="P54" s="19" t="s">
        <v>5388</v>
      </c>
      <c r="Q54" s="19" t="s">
        <v>5388</v>
      </c>
      <c r="R54" s="19" t="s">
        <v>5388</v>
      </c>
      <c r="S54" s="19" t="s">
        <v>5384</v>
      </c>
      <c r="T54" s="133" t="s">
        <v>5076</v>
      </c>
      <c r="U54" s="97">
        <v>1</v>
      </c>
      <c r="X54" s="31" t="s">
        <v>108</v>
      </c>
      <c r="Y54" s="231">
        <f t="shared" si="10"/>
        <v>1</v>
      </c>
      <c r="Z54" s="3">
        <v>0</v>
      </c>
      <c r="AA54" s="3" t="s">
        <v>5389</v>
      </c>
      <c r="AD54" s="6">
        <f t="shared" si="11"/>
        <v>11.93</v>
      </c>
      <c r="AE54" s="99">
        <v>13.595605800000001</v>
      </c>
      <c r="AF54" s="233">
        <f t="shared" si="12"/>
        <v>14.315999999999999</v>
      </c>
      <c r="AG54" s="6">
        <f t="shared" si="13"/>
        <v>8.84</v>
      </c>
      <c r="AH54" s="30" t="s">
        <v>110</v>
      </c>
      <c r="AI54" s="3">
        <v>0.65</v>
      </c>
      <c r="AJ54" s="18">
        <v>0.35</v>
      </c>
      <c r="AK54" s="6">
        <f t="shared" si="14"/>
        <v>11.81</v>
      </c>
      <c r="AL54" s="6">
        <f t="shared" si="15"/>
        <v>11.69</v>
      </c>
      <c r="AM54" s="6">
        <f t="shared" si="16"/>
        <v>11.57</v>
      </c>
      <c r="AN54" s="6">
        <f t="shared" si="17"/>
        <v>11.57</v>
      </c>
      <c r="AO54" s="6">
        <f t="shared" si="18"/>
        <v>11.93</v>
      </c>
      <c r="BG54" s="12">
        <v>0.01</v>
      </c>
      <c r="BH54" s="12">
        <v>0.02</v>
      </c>
      <c r="BI54" s="12">
        <v>0.03</v>
      </c>
      <c r="BJ54" s="12">
        <v>0.03</v>
      </c>
      <c r="BK54" s="12"/>
      <c r="CC54" s="3" t="str">
        <f t="shared" si="19"/>
        <v>Allied-Moulded-PA94.jpg</v>
      </c>
      <c r="CD54" s="16" t="s">
        <v>111</v>
      </c>
      <c r="CE54" s="3"/>
      <c r="CF54" s="3"/>
      <c r="CG54" s="16" t="s">
        <v>5077</v>
      </c>
      <c r="CH54" s="16"/>
      <c r="CI54" s="16" t="s">
        <v>97</v>
      </c>
      <c r="CJ54" s="16" t="s">
        <v>5247</v>
      </c>
      <c r="CK54" s="16" t="s">
        <v>2654</v>
      </c>
      <c r="CL54" s="16" t="s">
        <v>657</v>
      </c>
      <c r="CM54" s="16"/>
      <c r="CN54" s="16"/>
      <c r="CO54" s="16"/>
      <c r="CP54" s="16"/>
      <c r="CQ54" s="16"/>
    </row>
    <row r="55" spans="1:95" ht="15" customHeight="1">
      <c r="A55" s="19" t="s">
        <v>5390</v>
      </c>
      <c r="B55" s="19" t="s">
        <v>5391</v>
      </c>
      <c r="C55" s="16" t="s">
        <v>97</v>
      </c>
      <c r="D55" s="19" t="s">
        <v>5392</v>
      </c>
      <c r="E55" s="16" t="s">
        <v>97</v>
      </c>
      <c r="F55" s="150" t="s">
        <v>5393</v>
      </c>
      <c r="I55" s="227" t="s">
        <v>342</v>
      </c>
      <c r="J55" s="16" t="s">
        <v>101</v>
      </c>
      <c r="K55" s="16"/>
      <c r="L55" s="16" t="s">
        <v>5075</v>
      </c>
      <c r="M55" s="16"/>
      <c r="N55" s="16"/>
      <c r="P55" s="19" t="s">
        <v>5394</v>
      </c>
      <c r="Q55" s="19" t="s">
        <v>5394</v>
      </c>
      <c r="R55" s="19" t="s">
        <v>5394</v>
      </c>
      <c r="S55" s="19" t="s">
        <v>5390</v>
      </c>
      <c r="T55" s="133" t="s">
        <v>5076</v>
      </c>
      <c r="U55" s="97">
        <v>1</v>
      </c>
      <c r="X55" s="31" t="s">
        <v>108</v>
      </c>
      <c r="Y55" s="231">
        <f t="shared" si="10"/>
        <v>1</v>
      </c>
      <c r="Z55" s="3">
        <v>0</v>
      </c>
      <c r="AA55" s="3" t="s">
        <v>5395</v>
      </c>
      <c r="AD55" s="6">
        <f t="shared" si="11"/>
        <v>16.170000000000002</v>
      </c>
      <c r="AE55" s="99">
        <v>18.428998350000001</v>
      </c>
      <c r="AF55" s="233">
        <f t="shared" si="12"/>
        <v>19.404</v>
      </c>
      <c r="AG55" s="6">
        <f t="shared" si="13"/>
        <v>11.98</v>
      </c>
      <c r="AH55" s="30" t="s">
        <v>110</v>
      </c>
      <c r="AI55" s="3">
        <v>0.65</v>
      </c>
      <c r="AJ55" s="18">
        <v>0.35</v>
      </c>
      <c r="AK55" s="6">
        <f t="shared" si="14"/>
        <v>16.010000000000002</v>
      </c>
      <c r="AL55" s="6">
        <f t="shared" si="15"/>
        <v>15.85</v>
      </c>
      <c r="AM55" s="6">
        <f t="shared" si="16"/>
        <v>15.68</v>
      </c>
      <c r="AN55" s="6">
        <f t="shared" si="17"/>
        <v>15.68</v>
      </c>
      <c r="AO55" s="6">
        <f t="shared" si="18"/>
        <v>16.170000000000002</v>
      </c>
      <c r="BG55" s="12">
        <v>0.01</v>
      </c>
      <c r="BH55" s="12">
        <v>0.02</v>
      </c>
      <c r="BI55" s="12">
        <v>0.03</v>
      </c>
      <c r="BJ55" s="12">
        <v>0.03</v>
      </c>
      <c r="BK55" s="12"/>
      <c r="CC55" s="3" t="str">
        <f t="shared" si="19"/>
        <v>Allied-Moulded-PF74.jpg</v>
      </c>
      <c r="CD55" s="16" t="s">
        <v>111</v>
      </c>
      <c r="CE55" s="3"/>
      <c r="CF55" s="3"/>
      <c r="CG55" s="16" t="s">
        <v>5077</v>
      </c>
      <c r="CH55" s="16"/>
      <c r="CI55" s="16" t="s">
        <v>97</v>
      </c>
      <c r="CJ55" s="16" t="s">
        <v>118</v>
      </c>
      <c r="CK55" s="16" t="s">
        <v>2636</v>
      </c>
      <c r="CL55" s="16" t="s">
        <v>657</v>
      </c>
      <c r="CM55" s="16"/>
      <c r="CN55" s="16"/>
      <c r="CO55" s="16"/>
      <c r="CP55" s="16"/>
      <c r="CQ55" s="16"/>
    </row>
    <row r="56" spans="1:95" ht="15" customHeight="1">
      <c r="A56" s="19" t="s">
        <v>5396</v>
      </c>
      <c r="B56" s="19" t="s">
        <v>5397</v>
      </c>
      <c r="C56" s="16" t="s">
        <v>97</v>
      </c>
      <c r="D56" s="119" t="s">
        <v>5398</v>
      </c>
      <c r="E56" s="16" t="s">
        <v>97</v>
      </c>
      <c r="F56" s="150" t="s">
        <v>5399</v>
      </c>
      <c r="I56" s="227" t="s">
        <v>342</v>
      </c>
      <c r="J56" s="16" t="s">
        <v>101</v>
      </c>
      <c r="K56" s="16"/>
      <c r="L56" s="16" t="s">
        <v>5075</v>
      </c>
      <c r="M56" s="16"/>
      <c r="N56" s="16"/>
      <c r="P56" s="19" t="s">
        <v>5400</v>
      </c>
      <c r="Q56" s="19" t="s">
        <v>5400</v>
      </c>
      <c r="R56" s="19" t="s">
        <v>5400</v>
      </c>
      <c r="S56" s="19" t="s">
        <v>5396</v>
      </c>
      <c r="T56" s="133" t="s">
        <v>5076</v>
      </c>
      <c r="U56" s="96">
        <v>1</v>
      </c>
      <c r="X56" s="31" t="s">
        <v>108</v>
      </c>
      <c r="Y56" s="231">
        <f t="shared" si="10"/>
        <v>1</v>
      </c>
      <c r="Z56" s="3">
        <v>0</v>
      </c>
      <c r="AA56" s="3" t="s">
        <v>5401</v>
      </c>
      <c r="AD56" s="6">
        <f t="shared" si="11"/>
        <v>20.78</v>
      </c>
      <c r="AE56" s="98">
        <v>23.679121200000001</v>
      </c>
      <c r="AF56" s="233">
        <f t="shared" si="12"/>
        <v>24.936</v>
      </c>
      <c r="AG56" s="6">
        <f t="shared" si="13"/>
        <v>15.39</v>
      </c>
      <c r="AH56" s="30" t="s">
        <v>110</v>
      </c>
      <c r="AI56" s="3">
        <v>0.65</v>
      </c>
      <c r="AJ56" s="18">
        <v>0.35</v>
      </c>
      <c r="AK56" s="6">
        <f t="shared" si="14"/>
        <v>20.57</v>
      </c>
      <c r="AL56" s="6">
        <f t="shared" si="15"/>
        <v>20.36</v>
      </c>
      <c r="AM56" s="6">
        <f t="shared" si="16"/>
        <v>20.16</v>
      </c>
      <c r="AN56" s="6">
        <f t="shared" si="17"/>
        <v>20.16</v>
      </c>
      <c r="AO56" s="6">
        <f t="shared" si="18"/>
        <v>20.78</v>
      </c>
      <c r="BG56" s="12">
        <v>0.01</v>
      </c>
      <c r="BH56" s="12">
        <v>0.02</v>
      </c>
      <c r="BI56" s="12">
        <v>0.03</v>
      </c>
      <c r="BJ56" s="12">
        <v>0.03</v>
      </c>
      <c r="BK56" s="12"/>
      <c r="BQ56" s="258"/>
      <c r="BR56" s="258"/>
      <c r="BS56" s="258"/>
      <c r="BT56" s="258"/>
      <c r="BU56" s="258"/>
      <c r="BV56" s="258"/>
      <c r="BW56" s="258"/>
      <c r="BX56" s="258"/>
      <c r="BY56" s="258"/>
      <c r="BZ56" s="258"/>
      <c r="CA56" s="258"/>
      <c r="CB56" s="258"/>
      <c r="CC56" s="3" t="str">
        <f t="shared" si="19"/>
        <v>Allied-Moulded-PF94.jpg</v>
      </c>
      <c r="CD56" s="16" t="s">
        <v>111</v>
      </c>
      <c r="CE56" s="3"/>
      <c r="CF56" s="3"/>
      <c r="CG56" s="16" t="s">
        <v>5077</v>
      </c>
      <c r="CH56" s="16"/>
      <c r="CI56" s="16" t="s">
        <v>97</v>
      </c>
      <c r="CJ56" s="16" t="s">
        <v>118</v>
      </c>
      <c r="CK56" s="16" t="s">
        <v>2654</v>
      </c>
      <c r="CL56" s="16" t="s">
        <v>657</v>
      </c>
      <c r="CM56" s="16"/>
      <c r="CN56" s="16"/>
      <c r="CO56" s="16"/>
      <c r="CP56" s="16"/>
      <c r="CQ56" s="16"/>
    </row>
    <row r="57" spans="1:95" ht="15" customHeight="1">
      <c r="A57" s="241" t="s">
        <v>5402</v>
      </c>
      <c r="B57" s="86" t="s">
        <v>5403</v>
      </c>
      <c r="C57" s="16" t="s">
        <v>97</v>
      </c>
      <c r="D57" s="86" t="s">
        <v>5404</v>
      </c>
      <c r="E57" s="16" t="s">
        <v>97</v>
      </c>
      <c r="F57" s="150" t="s">
        <v>5405</v>
      </c>
      <c r="I57" s="227" t="s">
        <v>342</v>
      </c>
      <c r="J57" s="16" t="s">
        <v>101</v>
      </c>
      <c r="K57" s="16"/>
      <c r="L57" s="16" t="s">
        <v>5075</v>
      </c>
      <c r="M57" s="16"/>
      <c r="N57" s="16"/>
      <c r="P57" s="86" t="s">
        <v>5406</v>
      </c>
      <c r="Q57" s="86" t="s">
        <v>5406</v>
      </c>
      <c r="R57" s="86" t="s">
        <v>5406</v>
      </c>
      <c r="S57" s="241" t="s">
        <v>5402</v>
      </c>
      <c r="T57" s="146" t="s">
        <v>5076</v>
      </c>
      <c r="U57" s="97">
        <v>1</v>
      </c>
      <c r="X57" s="31" t="s">
        <v>108</v>
      </c>
      <c r="Y57" s="231">
        <f t="shared" si="10"/>
        <v>1</v>
      </c>
      <c r="Z57" s="3">
        <v>0</v>
      </c>
      <c r="AA57" s="3" t="s">
        <v>5407</v>
      </c>
      <c r="AD57" s="6">
        <f t="shared" si="11"/>
        <v>15.01</v>
      </c>
      <c r="AE57" s="99">
        <v>17.107538700000003</v>
      </c>
      <c r="AF57" s="233">
        <f t="shared" si="12"/>
        <v>18.012</v>
      </c>
      <c r="AG57" s="6">
        <f t="shared" si="13"/>
        <v>11.12</v>
      </c>
      <c r="AH57" s="30" t="s">
        <v>110</v>
      </c>
      <c r="AI57" s="3">
        <v>0.65</v>
      </c>
      <c r="AJ57" s="18">
        <v>0.35</v>
      </c>
      <c r="AK57" s="6">
        <f t="shared" si="14"/>
        <v>14.86</v>
      </c>
      <c r="AL57" s="6">
        <f t="shared" si="15"/>
        <v>14.71</v>
      </c>
      <c r="AM57" s="6">
        <f t="shared" si="16"/>
        <v>14.56</v>
      </c>
      <c r="AN57" s="6">
        <f t="shared" si="17"/>
        <v>14.56</v>
      </c>
      <c r="AO57" s="6">
        <f t="shared" si="18"/>
        <v>15.01</v>
      </c>
      <c r="BG57" s="12">
        <v>0.01</v>
      </c>
      <c r="BH57" s="12">
        <v>0.02</v>
      </c>
      <c r="BI57" s="12">
        <v>0.03</v>
      </c>
      <c r="BJ57" s="12">
        <v>0.03</v>
      </c>
      <c r="BK57" s="12"/>
      <c r="CC57" s="3" t="str">
        <f t="shared" si="19"/>
        <v>Allied-Moulded-PF66.jpg</v>
      </c>
      <c r="CD57" s="16" t="s">
        <v>111</v>
      </c>
      <c r="CE57" s="3"/>
      <c r="CF57" s="3"/>
      <c r="CG57" s="16" t="s">
        <v>5077</v>
      </c>
      <c r="CH57" s="16"/>
      <c r="CI57" s="16" t="s">
        <v>97</v>
      </c>
      <c r="CJ57" s="16" t="s">
        <v>118</v>
      </c>
      <c r="CK57" s="16" t="s">
        <v>351</v>
      </c>
      <c r="CL57" s="16" t="s">
        <v>351</v>
      </c>
      <c r="CN57" s="16"/>
      <c r="CO57" s="16"/>
      <c r="CP57" s="16"/>
      <c r="CQ57" s="16"/>
    </row>
    <row r="58" spans="1:95" ht="15" customHeight="1">
      <c r="A58" s="241" t="s">
        <v>5408</v>
      </c>
      <c r="B58" s="86" t="s">
        <v>5409</v>
      </c>
      <c r="C58" s="16" t="s">
        <v>97</v>
      </c>
      <c r="D58" s="251" t="s">
        <v>5410</v>
      </c>
      <c r="E58" s="16" t="s">
        <v>97</v>
      </c>
      <c r="F58" s="150" t="s">
        <v>5411</v>
      </c>
      <c r="I58" s="227" t="s">
        <v>342</v>
      </c>
      <c r="J58" s="16" t="s">
        <v>101</v>
      </c>
      <c r="K58" s="16"/>
      <c r="L58" s="16" t="s">
        <v>5075</v>
      </c>
      <c r="M58" s="16"/>
      <c r="N58" s="16"/>
      <c r="P58" s="86" t="s">
        <v>5412</v>
      </c>
      <c r="Q58" s="86" t="s">
        <v>5412</v>
      </c>
      <c r="R58" s="86" t="s">
        <v>5412</v>
      </c>
      <c r="S58" s="241" t="s">
        <v>5408</v>
      </c>
      <c r="T58" s="146" t="s">
        <v>5076</v>
      </c>
      <c r="U58" s="96">
        <v>1</v>
      </c>
      <c r="X58" s="31" t="s">
        <v>108</v>
      </c>
      <c r="Y58" s="231">
        <f t="shared" si="10"/>
        <v>1</v>
      </c>
      <c r="Z58" s="3">
        <v>0</v>
      </c>
      <c r="AA58" s="3" t="s">
        <v>5413</v>
      </c>
      <c r="AD58" s="6">
        <f t="shared" si="11"/>
        <v>17.28</v>
      </c>
      <c r="AE58" s="121">
        <v>19.696884900000001</v>
      </c>
      <c r="AF58" s="233">
        <f t="shared" si="12"/>
        <v>20.736000000000001</v>
      </c>
      <c r="AG58" s="6">
        <f t="shared" si="13"/>
        <v>12.8</v>
      </c>
      <c r="AH58" s="30" t="s">
        <v>110</v>
      </c>
      <c r="AI58" s="3">
        <v>0.65</v>
      </c>
      <c r="AJ58" s="18">
        <v>0.35</v>
      </c>
      <c r="AK58" s="6">
        <f t="shared" si="14"/>
        <v>17.11</v>
      </c>
      <c r="AL58" s="6">
        <f t="shared" si="15"/>
        <v>16.93</v>
      </c>
      <c r="AM58" s="6">
        <f t="shared" si="16"/>
        <v>16.760000000000002</v>
      </c>
      <c r="AN58" s="6">
        <f t="shared" si="17"/>
        <v>16.760000000000002</v>
      </c>
      <c r="AO58" s="6">
        <f t="shared" si="18"/>
        <v>17.28</v>
      </c>
      <c r="BG58" s="12">
        <v>0.01</v>
      </c>
      <c r="BH58" s="12">
        <v>0.02</v>
      </c>
      <c r="BI58" s="12">
        <v>0.03</v>
      </c>
      <c r="BJ58" s="12">
        <v>0.03</v>
      </c>
      <c r="BK58" s="12"/>
      <c r="CC58" s="3" t="str">
        <f t="shared" si="19"/>
        <v>Allied-Moulded-PF86.jpg</v>
      </c>
      <c r="CD58" s="16" t="s">
        <v>111</v>
      </c>
      <c r="CE58" s="3"/>
      <c r="CF58" s="3"/>
      <c r="CG58" s="16" t="s">
        <v>5077</v>
      </c>
      <c r="CH58" s="16"/>
      <c r="CI58" s="16" t="s">
        <v>97</v>
      </c>
      <c r="CJ58" s="16" t="s">
        <v>118</v>
      </c>
      <c r="CK58" s="16" t="s">
        <v>385</v>
      </c>
      <c r="CL58" s="16" t="s">
        <v>351</v>
      </c>
      <c r="CN58" s="16"/>
      <c r="CO58" s="16"/>
      <c r="CP58" s="16"/>
      <c r="CQ58" s="16"/>
    </row>
    <row r="59" spans="1:95" ht="15" customHeight="1">
      <c r="A59" s="241" t="s">
        <v>5414</v>
      </c>
      <c r="B59" s="86" t="s">
        <v>5351</v>
      </c>
      <c r="C59" s="16" t="s">
        <v>97</v>
      </c>
      <c r="D59" s="86" t="s">
        <v>5415</v>
      </c>
      <c r="E59" s="16" t="s">
        <v>97</v>
      </c>
      <c r="F59" s="150" t="s">
        <v>5349</v>
      </c>
      <c r="I59" s="227" t="s">
        <v>342</v>
      </c>
      <c r="J59" s="16" t="s">
        <v>101</v>
      </c>
      <c r="K59" s="16"/>
      <c r="L59" s="16" t="s">
        <v>5075</v>
      </c>
      <c r="M59" s="16"/>
      <c r="N59" s="16"/>
      <c r="P59" s="86" t="s">
        <v>5416</v>
      </c>
      <c r="Q59" s="86" t="s">
        <v>5416</v>
      </c>
      <c r="R59" s="86" t="s">
        <v>5416</v>
      </c>
      <c r="S59" s="241" t="s">
        <v>5414</v>
      </c>
      <c r="T59" s="146" t="s">
        <v>5076</v>
      </c>
      <c r="U59" s="97">
        <v>1</v>
      </c>
      <c r="X59" s="31" t="s">
        <v>108</v>
      </c>
      <c r="Y59" s="231">
        <f t="shared" si="10"/>
        <v>1</v>
      </c>
      <c r="Z59" s="3">
        <v>0</v>
      </c>
      <c r="AA59" s="3" t="s">
        <v>5417</v>
      </c>
      <c r="AD59" s="6">
        <f t="shared" si="11"/>
        <v>23.04</v>
      </c>
      <c r="AE59" s="120">
        <v>26.268467400000002</v>
      </c>
      <c r="AF59" s="233">
        <f t="shared" si="12"/>
        <v>27.648</v>
      </c>
      <c r="AG59" s="6">
        <f t="shared" si="13"/>
        <v>17.07</v>
      </c>
      <c r="AH59" s="30" t="s">
        <v>110</v>
      </c>
      <c r="AI59" s="3">
        <v>0.65</v>
      </c>
      <c r="AJ59" s="18">
        <v>0.35</v>
      </c>
      <c r="AK59" s="6">
        <f t="shared" si="14"/>
        <v>22.81</v>
      </c>
      <c r="AL59" s="6">
        <f t="shared" si="15"/>
        <v>22.58</v>
      </c>
      <c r="AM59" s="6">
        <f t="shared" si="16"/>
        <v>22.35</v>
      </c>
      <c r="AN59" s="6">
        <f t="shared" si="17"/>
        <v>22.35</v>
      </c>
      <c r="AO59" s="6">
        <f t="shared" si="18"/>
        <v>23.04</v>
      </c>
      <c r="BG59" s="12">
        <v>0.01</v>
      </c>
      <c r="BH59" s="12">
        <v>0.02</v>
      </c>
      <c r="BI59" s="12">
        <v>0.03</v>
      </c>
      <c r="BJ59" s="12">
        <v>0.03</v>
      </c>
      <c r="BK59" s="12"/>
      <c r="CC59" s="3" t="str">
        <f t="shared" si="19"/>
        <v>Allied-Moulded-PF108.jpg</v>
      </c>
      <c r="CD59" s="16" t="s">
        <v>111</v>
      </c>
      <c r="CE59" s="3"/>
      <c r="CF59" s="3"/>
      <c r="CG59" s="16" t="s">
        <v>5077</v>
      </c>
      <c r="CH59" s="16"/>
      <c r="CI59" s="16" t="s">
        <v>97</v>
      </c>
      <c r="CJ59" s="16" t="s">
        <v>118</v>
      </c>
      <c r="CK59" s="16" t="s">
        <v>167</v>
      </c>
      <c r="CL59" s="16" t="s">
        <v>385</v>
      </c>
      <c r="CN59" s="16"/>
      <c r="CO59" s="16"/>
      <c r="CP59" s="16"/>
      <c r="CQ59" s="16"/>
    </row>
    <row r="60" spans="1:95" ht="15" customHeight="1">
      <c r="A60" s="241" t="s">
        <v>5418</v>
      </c>
      <c r="B60" s="86" t="s">
        <v>5357</v>
      </c>
      <c r="C60" s="16" t="s">
        <v>97</v>
      </c>
      <c r="D60" s="251" t="s">
        <v>5419</v>
      </c>
      <c r="E60" s="16" t="s">
        <v>97</v>
      </c>
      <c r="F60" s="150" t="s">
        <v>5355</v>
      </c>
      <c r="I60" s="227" t="s">
        <v>342</v>
      </c>
      <c r="J60" s="16" t="s">
        <v>101</v>
      </c>
      <c r="K60" s="16"/>
      <c r="L60" s="16" t="s">
        <v>5075</v>
      </c>
      <c r="M60" s="16"/>
      <c r="N60" s="16"/>
      <c r="P60" s="86" t="s">
        <v>5420</v>
      </c>
      <c r="Q60" s="86" t="s">
        <v>5420</v>
      </c>
      <c r="R60" s="86" t="s">
        <v>5420</v>
      </c>
      <c r="S60" s="241" t="s">
        <v>5418</v>
      </c>
      <c r="T60" s="146" t="s">
        <v>5076</v>
      </c>
      <c r="U60" s="96">
        <v>1</v>
      </c>
      <c r="X60" s="31" t="s">
        <v>108</v>
      </c>
      <c r="Y60" s="231">
        <f t="shared" si="10"/>
        <v>1</v>
      </c>
      <c r="Z60" s="3">
        <v>0</v>
      </c>
      <c r="AA60" s="3" t="s">
        <v>5421</v>
      </c>
      <c r="AD60" s="6">
        <f t="shared" si="11"/>
        <v>27.68</v>
      </c>
      <c r="AE60" s="98">
        <v>31.536447599999999</v>
      </c>
      <c r="AF60" s="233">
        <f t="shared" si="12"/>
        <v>33.216000000000001</v>
      </c>
      <c r="AG60" s="6">
        <f t="shared" si="13"/>
        <v>20.5</v>
      </c>
      <c r="AH60" s="30" t="s">
        <v>110</v>
      </c>
      <c r="AI60" s="3">
        <v>0.65</v>
      </c>
      <c r="AJ60" s="18">
        <v>0.35</v>
      </c>
      <c r="AK60" s="6">
        <f t="shared" si="14"/>
        <v>27.4</v>
      </c>
      <c r="AL60" s="6">
        <f t="shared" si="15"/>
        <v>27.13</v>
      </c>
      <c r="AM60" s="6">
        <f t="shared" si="16"/>
        <v>26.85</v>
      </c>
      <c r="AN60" s="6">
        <f t="shared" si="17"/>
        <v>26.85</v>
      </c>
      <c r="AO60" s="6">
        <f t="shared" si="18"/>
        <v>27.68</v>
      </c>
      <c r="BG60" s="12">
        <v>0.01</v>
      </c>
      <c r="BH60" s="12">
        <v>0.02</v>
      </c>
      <c r="BI60" s="12">
        <v>0.03</v>
      </c>
      <c r="BJ60" s="12">
        <v>0.03</v>
      </c>
      <c r="BK60" s="12"/>
      <c r="BQ60" s="259"/>
      <c r="BR60" s="259"/>
      <c r="BS60" s="259"/>
      <c r="BT60" s="259"/>
      <c r="BU60" s="259"/>
      <c r="BV60" s="259"/>
      <c r="BW60" s="259"/>
      <c r="BX60" s="259"/>
      <c r="BY60" s="259"/>
      <c r="BZ60" s="259"/>
      <c r="CA60" s="259"/>
      <c r="CB60" s="259"/>
      <c r="CC60" s="3" t="str">
        <f t="shared" si="19"/>
        <v>Allied-Moulded-PF120.jpg</v>
      </c>
      <c r="CD60" s="16" t="s">
        <v>111</v>
      </c>
      <c r="CE60" s="3"/>
      <c r="CF60" s="3"/>
      <c r="CG60" s="16" t="s">
        <v>5077</v>
      </c>
      <c r="CH60" s="16"/>
      <c r="CI60" s="16" t="s">
        <v>97</v>
      </c>
      <c r="CJ60" s="16" t="s">
        <v>118</v>
      </c>
      <c r="CK60" s="16" t="s">
        <v>125</v>
      </c>
      <c r="CL60" s="16" t="s">
        <v>167</v>
      </c>
      <c r="CN60" s="16"/>
      <c r="CO60" s="16"/>
      <c r="CP60" s="16"/>
      <c r="CQ60" s="16"/>
    </row>
    <row r="61" spans="1:95" ht="15" customHeight="1">
      <c r="A61" s="241" t="s">
        <v>5422</v>
      </c>
      <c r="B61" s="86" t="s">
        <v>5423</v>
      </c>
      <c r="C61" s="16" t="s">
        <v>97</v>
      </c>
      <c r="D61" s="86" t="s">
        <v>5424</v>
      </c>
      <c r="E61" s="16" t="s">
        <v>97</v>
      </c>
      <c r="F61" s="150" t="s">
        <v>5425</v>
      </c>
      <c r="I61" s="227" t="s">
        <v>342</v>
      </c>
      <c r="J61" s="16" t="s">
        <v>101</v>
      </c>
      <c r="K61" s="16"/>
      <c r="L61" s="16" t="s">
        <v>5075</v>
      </c>
      <c r="M61" s="16"/>
      <c r="N61" s="16"/>
      <c r="P61" s="86" t="s">
        <v>5426</v>
      </c>
      <c r="Q61" s="86" t="s">
        <v>5426</v>
      </c>
      <c r="R61" s="86" t="s">
        <v>5426</v>
      </c>
      <c r="S61" s="241" t="s">
        <v>5422</v>
      </c>
      <c r="T61" s="146" t="s">
        <v>5076</v>
      </c>
      <c r="U61" s="97">
        <v>1</v>
      </c>
      <c r="X61" s="31" t="s">
        <v>108</v>
      </c>
      <c r="Y61" s="231">
        <f t="shared" si="10"/>
        <v>1</v>
      </c>
      <c r="Z61" s="3">
        <v>0</v>
      </c>
      <c r="AA61" s="3" t="s">
        <v>5427</v>
      </c>
      <c r="AD61" s="6">
        <f t="shared" si="11"/>
        <v>6.47</v>
      </c>
      <c r="AE61" s="99">
        <v>7.3654685999999989</v>
      </c>
      <c r="AF61" s="233">
        <f t="shared" si="12"/>
        <v>7.7639999999999993</v>
      </c>
      <c r="AG61" s="6">
        <f t="shared" si="13"/>
        <v>4.79</v>
      </c>
      <c r="AH61" s="30" t="s">
        <v>110</v>
      </c>
      <c r="AI61" s="3">
        <v>0.65</v>
      </c>
      <c r="AJ61" s="18">
        <v>0.35</v>
      </c>
      <c r="AK61" s="6">
        <f t="shared" si="14"/>
        <v>6.41</v>
      </c>
      <c r="AL61" s="6">
        <f t="shared" si="15"/>
        <v>6.34</v>
      </c>
      <c r="AM61" s="6">
        <f t="shared" si="16"/>
        <v>6.28</v>
      </c>
      <c r="AN61" s="6">
        <f t="shared" si="17"/>
        <v>6.28</v>
      </c>
      <c r="AO61" s="6">
        <f t="shared" si="18"/>
        <v>6.47</v>
      </c>
      <c r="BG61" s="12">
        <v>0.01</v>
      </c>
      <c r="BH61" s="12">
        <v>0.02</v>
      </c>
      <c r="BI61" s="12">
        <v>0.03</v>
      </c>
      <c r="BJ61" s="12">
        <v>0.03</v>
      </c>
      <c r="BK61" s="12"/>
      <c r="BQ61" s="260"/>
      <c r="BR61" s="260"/>
      <c r="BS61" s="260"/>
      <c r="BT61" s="260"/>
      <c r="BU61" s="260"/>
      <c r="BV61" s="260"/>
      <c r="BW61" s="260"/>
      <c r="BX61" s="260"/>
      <c r="BY61" s="260"/>
      <c r="BZ61" s="260"/>
      <c r="CA61" s="260"/>
      <c r="CB61" s="260"/>
      <c r="CC61" s="3" t="str">
        <f t="shared" si="19"/>
        <v>Allied-Moulded-PL66.jpg</v>
      </c>
      <c r="CD61" s="16" t="s">
        <v>111</v>
      </c>
      <c r="CE61" s="3"/>
      <c r="CF61" s="3"/>
      <c r="CG61" s="16" t="s">
        <v>5077</v>
      </c>
      <c r="CH61" s="16"/>
      <c r="CI61" s="16" t="s">
        <v>97</v>
      </c>
      <c r="CJ61" s="16" t="s">
        <v>4493</v>
      </c>
      <c r="CK61" s="16" t="s">
        <v>351</v>
      </c>
      <c r="CL61" s="16" t="s">
        <v>351</v>
      </c>
      <c r="CN61" s="16"/>
      <c r="CO61" s="16"/>
      <c r="CP61" s="16"/>
      <c r="CQ61" s="16"/>
    </row>
    <row r="62" spans="1:95" ht="15" customHeight="1">
      <c r="A62" s="241" t="s">
        <v>5428</v>
      </c>
      <c r="B62" s="86" t="s">
        <v>5429</v>
      </c>
      <c r="C62" s="16" t="s">
        <v>97</v>
      </c>
      <c r="D62" s="86" t="s">
        <v>5430</v>
      </c>
      <c r="E62" s="16" t="s">
        <v>97</v>
      </c>
      <c r="F62" s="150" t="s">
        <v>5431</v>
      </c>
      <c r="I62" s="227" t="s">
        <v>342</v>
      </c>
      <c r="J62" s="16" t="s">
        <v>101</v>
      </c>
      <c r="K62" s="16"/>
      <c r="L62" s="16" t="s">
        <v>5075</v>
      </c>
      <c r="M62" s="16"/>
      <c r="N62" s="16"/>
      <c r="P62" s="86" t="s">
        <v>5432</v>
      </c>
      <c r="Q62" s="86" t="s">
        <v>5432</v>
      </c>
      <c r="R62" s="86" t="s">
        <v>5432</v>
      </c>
      <c r="S62" s="241" t="s">
        <v>5428</v>
      </c>
      <c r="T62" s="146" t="s">
        <v>5076</v>
      </c>
      <c r="U62" s="97">
        <v>1</v>
      </c>
      <c r="X62" s="31" t="s">
        <v>108</v>
      </c>
      <c r="Y62" s="231">
        <f t="shared" si="10"/>
        <v>1</v>
      </c>
      <c r="Z62" s="3">
        <v>0</v>
      </c>
      <c r="AA62" s="3" t="s">
        <v>5433</v>
      </c>
      <c r="AD62" s="6">
        <f t="shared" si="11"/>
        <v>7.63</v>
      </c>
      <c r="AE62" s="99">
        <v>8.6852923499999992</v>
      </c>
      <c r="AF62" s="233">
        <f t="shared" si="12"/>
        <v>9.1559999999999988</v>
      </c>
      <c r="AG62" s="6">
        <f t="shared" si="13"/>
        <v>5.65</v>
      </c>
      <c r="AH62" s="30" t="s">
        <v>110</v>
      </c>
      <c r="AI62" s="3">
        <v>0.65</v>
      </c>
      <c r="AJ62" s="18">
        <v>0.35</v>
      </c>
      <c r="AK62" s="6">
        <f t="shared" si="14"/>
        <v>7.55</v>
      </c>
      <c r="AL62" s="6">
        <f t="shared" si="15"/>
        <v>7.48</v>
      </c>
      <c r="AM62" s="6">
        <f t="shared" si="16"/>
        <v>7.4</v>
      </c>
      <c r="AN62" s="6">
        <f t="shared" si="17"/>
        <v>7.4</v>
      </c>
      <c r="AO62" s="6">
        <f t="shared" si="18"/>
        <v>7.63</v>
      </c>
      <c r="BG62" s="12">
        <v>0.01</v>
      </c>
      <c r="BH62" s="12">
        <v>0.02</v>
      </c>
      <c r="BI62" s="12">
        <v>0.03</v>
      </c>
      <c r="BJ62" s="12">
        <v>0.03</v>
      </c>
      <c r="BK62" s="12"/>
      <c r="CC62" s="3" t="str">
        <f t="shared" si="19"/>
        <v>Allied-Moulded-PL86.jpg</v>
      </c>
      <c r="CD62" s="16" t="s">
        <v>111</v>
      </c>
      <c r="CE62" s="3"/>
      <c r="CF62" s="3"/>
      <c r="CG62" s="16" t="s">
        <v>5077</v>
      </c>
      <c r="CH62" s="16"/>
      <c r="CI62" s="16" t="s">
        <v>97</v>
      </c>
      <c r="CJ62" s="16" t="s">
        <v>4493</v>
      </c>
      <c r="CK62" s="16" t="s">
        <v>385</v>
      </c>
      <c r="CL62" s="16" t="s">
        <v>351</v>
      </c>
      <c r="CN62" s="16"/>
      <c r="CO62" s="16"/>
      <c r="CP62" s="16"/>
      <c r="CQ62" s="16"/>
    </row>
    <row r="63" spans="1:95" ht="15" customHeight="1">
      <c r="A63" s="222" t="s">
        <v>5434</v>
      </c>
      <c r="B63" s="3" t="s">
        <v>5425</v>
      </c>
      <c r="C63" s="16" t="s">
        <v>97</v>
      </c>
      <c r="D63" s="229" t="s">
        <v>5435</v>
      </c>
      <c r="E63" s="16" t="s">
        <v>97</v>
      </c>
      <c r="F63" s="131" t="s">
        <v>5423</v>
      </c>
      <c r="I63" s="227" t="s">
        <v>342</v>
      </c>
      <c r="J63" s="16" t="s">
        <v>101</v>
      </c>
      <c r="K63" s="16"/>
      <c r="L63" s="16" t="s">
        <v>5075</v>
      </c>
      <c r="P63" s="3" t="s">
        <v>5436</v>
      </c>
      <c r="Q63" s="3" t="s">
        <v>5436</v>
      </c>
      <c r="R63" s="3" t="s">
        <v>5436</v>
      </c>
      <c r="S63" s="222" t="s">
        <v>5434</v>
      </c>
      <c r="T63" s="228" t="s">
        <v>5076</v>
      </c>
      <c r="U63" s="246">
        <v>1</v>
      </c>
      <c r="V63" s="238"/>
      <c r="W63" s="238"/>
      <c r="X63" s="230" t="s">
        <v>108</v>
      </c>
      <c r="Y63" s="231">
        <f t="shared" si="10"/>
        <v>1</v>
      </c>
      <c r="Z63" s="3">
        <v>0</v>
      </c>
      <c r="AA63" s="3" t="s">
        <v>5437</v>
      </c>
      <c r="AD63" s="6">
        <f t="shared" si="11"/>
        <v>7.95</v>
      </c>
      <c r="AE63" s="92">
        <v>9.0684688500000004</v>
      </c>
      <c r="AF63" s="233">
        <f t="shared" si="12"/>
        <v>9.5399999999999991</v>
      </c>
      <c r="AG63" s="6">
        <f t="shared" si="13"/>
        <v>5.89</v>
      </c>
      <c r="AH63" s="30" t="s">
        <v>110</v>
      </c>
      <c r="AI63" s="3">
        <v>0.65</v>
      </c>
      <c r="AJ63" s="18">
        <v>0.35</v>
      </c>
      <c r="AK63" s="6">
        <f t="shared" si="14"/>
        <v>7.87</v>
      </c>
      <c r="AL63" s="6">
        <f t="shared" si="15"/>
        <v>7.79</v>
      </c>
      <c r="AM63" s="6">
        <f t="shared" si="16"/>
        <v>7.71</v>
      </c>
      <c r="AN63" s="6">
        <f t="shared" si="17"/>
        <v>7.71</v>
      </c>
      <c r="AO63" s="6">
        <f t="shared" si="18"/>
        <v>7.95</v>
      </c>
      <c r="BG63" s="12">
        <v>0.01</v>
      </c>
      <c r="BH63" s="12">
        <v>0.02</v>
      </c>
      <c r="BI63" s="12">
        <v>0.03</v>
      </c>
      <c r="BJ63" s="12">
        <v>0.03</v>
      </c>
      <c r="CC63" s="3" t="str">
        <f t="shared" si="19"/>
        <v>Allied-Moulded-PLA66.jpg</v>
      </c>
      <c r="CD63" s="16" t="s">
        <v>111</v>
      </c>
      <c r="CE63" s="3"/>
      <c r="CF63" s="3"/>
      <c r="CG63" s="16" t="s">
        <v>5077</v>
      </c>
      <c r="CI63" s="16" t="s">
        <v>97</v>
      </c>
      <c r="CJ63" s="3" t="s">
        <v>5247</v>
      </c>
      <c r="CK63" s="3" t="s">
        <v>351</v>
      </c>
      <c r="CL63" s="3" t="s">
        <v>351</v>
      </c>
    </row>
    <row r="64" spans="1:95" ht="15" customHeight="1">
      <c r="A64" s="222" t="s">
        <v>5438</v>
      </c>
      <c r="B64" s="3" t="s">
        <v>5431</v>
      </c>
      <c r="C64" s="16" t="s">
        <v>97</v>
      </c>
      <c r="D64" s="229" t="s">
        <v>5439</v>
      </c>
      <c r="E64" s="16" t="s">
        <v>97</v>
      </c>
      <c r="F64" s="131" t="s">
        <v>5429</v>
      </c>
      <c r="I64" s="227" t="s">
        <v>342</v>
      </c>
      <c r="J64" s="16" t="s">
        <v>101</v>
      </c>
      <c r="K64" s="16"/>
      <c r="L64" s="16" t="s">
        <v>5075</v>
      </c>
      <c r="P64" s="3" t="s">
        <v>5440</v>
      </c>
      <c r="Q64" s="3" t="s">
        <v>5440</v>
      </c>
      <c r="R64" s="3" t="s">
        <v>5440</v>
      </c>
      <c r="S64" s="222" t="s">
        <v>5438</v>
      </c>
      <c r="T64" s="228" t="s">
        <v>5076</v>
      </c>
      <c r="U64" s="246">
        <v>1</v>
      </c>
      <c r="V64" s="238"/>
      <c r="W64" s="238"/>
      <c r="X64" s="230" t="s">
        <v>108</v>
      </c>
      <c r="Y64" s="231">
        <f t="shared" si="10"/>
        <v>1</v>
      </c>
      <c r="Z64" s="3">
        <v>0</v>
      </c>
      <c r="AA64" s="3" t="s">
        <v>5441</v>
      </c>
      <c r="AD64" s="6">
        <f t="shared" si="11"/>
        <v>9.56</v>
      </c>
      <c r="AE64" s="122">
        <v>10.899190050000001</v>
      </c>
      <c r="AF64" s="233">
        <f t="shared" si="12"/>
        <v>11.472</v>
      </c>
      <c r="AG64" s="6">
        <f t="shared" si="13"/>
        <v>7.08</v>
      </c>
      <c r="AH64" s="30" t="s">
        <v>110</v>
      </c>
      <c r="AI64" s="3">
        <v>0.65</v>
      </c>
      <c r="AJ64" s="18">
        <v>0.35</v>
      </c>
      <c r="AK64" s="6">
        <f t="shared" si="14"/>
        <v>9.4600000000000009</v>
      </c>
      <c r="AL64" s="6">
        <f t="shared" si="15"/>
        <v>9.3699999999999992</v>
      </c>
      <c r="AM64" s="6">
        <f t="shared" si="16"/>
        <v>9.27</v>
      </c>
      <c r="AN64" s="6">
        <f t="shared" si="17"/>
        <v>9.27</v>
      </c>
      <c r="AO64" s="6">
        <f t="shared" si="18"/>
        <v>9.56</v>
      </c>
      <c r="BG64" s="12">
        <v>0.01</v>
      </c>
      <c r="BH64" s="12">
        <v>0.02</v>
      </c>
      <c r="BI64" s="12">
        <v>0.03</v>
      </c>
      <c r="BJ64" s="12">
        <v>0.03</v>
      </c>
      <c r="CC64" s="3" t="str">
        <f t="shared" si="19"/>
        <v>Allied-Moulded-PLA86.jpg</v>
      </c>
      <c r="CD64" s="16" t="s">
        <v>111</v>
      </c>
      <c r="CE64" s="3"/>
      <c r="CF64" s="3"/>
      <c r="CG64" s="16" t="s">
        <v>5077</v>
      </c>
      <c r="CI64" s="16" t="s">
        <v>97</v>
      </c>
      <c r="CJ64" s="3" t="s">
        <v>5247</v>
      </c>
      <c r="CK64" s="3" t="s">
        <v>385</v>
      </c>
      <c r="CL64" s="3" t="s">
        <v>351</v>
      </c>
    </row>
    <row r="65" spans="1:90" ht="15" customHeight="1">
      <c r="A65" s="222" t="s">
        <v>5442</v>
      </c>
      <c r="B65" s="3" t="s">
        <v>5325</v>
      </c>
      <c r="C65" s="16" t="s">
        <v>97</v>
      </c>
      <c r="D65" s="229" t="s">
        <v>5443</v>
      </c>
      <c r="E65" s="16" t="s">
        <v>97</v>
      </c>
      <c r="F65" s="131" t="s">
        <v>5323</v>
      </c>
      <c r="I65" s="227" t="s">
        <v>342</v>
      </c>
      <c r="J65" s="16" t="s">
        <v>101</v>
      </c>
      <c r="K65" s="16"/>
      <c r="L65" s="16" t="s">
        <v>5075</v>
      </c>
      <c r="P65" s="3" t="s">
        <v>5444</v>
      </c>
      <c r="Q65" s="3" t="s">
        <v>5444</v>
      </c>
      <c r="R65" s="3" t="s">
        <v>5444</v>
      </c>
      <c r="S65" s="222" t="s">
        <v>5442</v>
      </c>
      <c r="T65" s="228" t="s">
        <v>5076</v>
      </c>
      <c r="U65" s="246">
        <v>1</v>
      </c>
      <c r="V65" s="238"/>
      <c r="W65" s="238"/>
      <c r="X65" s="230" t="s">
        <v>108</v>
      </c>
      <c r="Y65" s="231">
        <f t="shared" si="10"/>
        <v>1</v>
      </c>
      <c r="Z65" s="3">
        <v>0</v>
      </c>
      <c r="AA65" s="3" t="s">
        <v>5445</v>
      </c>
      <c r="AD65" s="6">
        <f t="shared" si="11"/>
        <v>15.04</v>
      </c>
      <c r="AE65" s="122">
        <v>17.143518</v>
      </c>
      <c r="AF65" s="233">
        <f t="shared" si="12"/>
        <v>18.047999999999998</v>
      </c>
      <c r="AG65" s="6">
        <f t="shared" si="13"/>
        <v>11.14</v>
      </c>
      <c r="AH65" s="30" t="s">
        <v>110</v>
      </c>
      <c r="AI65" s="3">
        <v>0.65</v>
      </c>
      <c r="AJ65" s="18">
        <v>0.35</v>
      </c>
      <c r="AK65" s="6">
        <f t="shared" si="14"/>
        <v>14.89</v>
      </c>
      <c r="AL65" s="6">
        <f t="shared" si="15"/>
        <v>14.74</v>
      </c>
      <c r="AM65" s="6">
        <f t="shared" si="16"/>
        <v>14.59</v>
      </c>
      <c r="AN65" s="6">
        <f t="shared" si="17"/>
        <v>14.59</v>
      </c>
      <c r="AO65" s="6">
        <f t="shared" si="18"/>
        <v>15.04</v>
      </c>
      <c r="BG65" s="12">
        <v>0.01</v>
      </c>
      <c r="BH65" s="12">
        <v>0.02</v>
      </c>
      <c r="BI65" s="12">
        <v>0.03</v>
      </c>
      <c r="BJ65" s="12">
        <v>0.03</v>
      </c>
      <c r="CC65" s="3" t="str">
        <f t="shared" si="19"/>
        <v>Allied-Moulded-PLA108.jpg</v>
      </c>
      <c r="CD65" s="16" t="s">
        <v>111</v>
      </c>
      <c r="CE65" s="3"/>
      <c r="CF65" s="3"/>
      <c r="CG65" s="16" t="s">
        <v>5077</v>
      </c>
      <c r="CI65" s="16" t="s">
        <v>97</v>
      </c>
      <c r="CJ65" s="3" t="s">
        <v>5247</v>
      </c>
      <c r="CK65" s="3" t="s">
        <v>167</v>
      </c>
      <c r="CL65" s="3" t="s">
        <v>385</v>
      </c>
    </row>
    <row r="66" spans="1:90" ht="15" customHeight="1">
      <c r="A66" s="222" t="s">
        <v>5446</v>
      </c>
      <c r="B66" s="3" t="s">
        <v>5311</v>
      </c>
      <c r="C66" s="16" t="s">
        <v>97</v>
      </c>
      <c r="D66" s="229" t="s">
        <v>5447</v>
      </c>
      <c r="E66" s="16" t="s">
        <v>97</v>
      </c>
      <c r="F66" s="131" t="s">
        <v>5403</v>
      </c>
      <c r="I66" s="227" t="s">
        <v>342</v>
      </c>
      <c r="J66" s="16" t="s">
        <v>101</v>
      </c>
      <c r="K66" s="16"/>
      <c r="L66" s="16" t="s">
        <v>5075</v>
      </c>
      <c r="P66" s="3" t="s">
        <v>5448</v>
      </c>
      <c r="Q66" s="3" t="s">
        <v>5448</v>
      </c>
      <c r="R66" s="3" t="s">
        <v>5448</v>
      </c>
      <c r="S66" s="222" t="s">
        <v>5446</v>
      </c>
      <c r="T66" s="228" t="s">
        <v>5076</v>
      </c>
      <c r="U66" s="246">
        <v>1</v>
      </c>
      <c r="V66" s="238"/>
      <c r="W66" s="238"/>
      <c r="X66" s="230" t="s">
        <v>108</v>
      </c>
      <c r="Y66" s="231">
        <f t="shared" si="10"/>
        <v>1</v>
      </c>
      <c r="Z66" s="3">
        <v>0</v>
      </c>
      <c r="AA66" s="3" t="s">
        <v>5449</v>
      </c>
      <c r="AD66" s="6">
        <f t="shared" si="11"/>
        <v>5.37</v>
      </c>
      <c r="AE66" s="252">
        <v>6.1166027999999999</v>
      </c>
      <c r="AF66" s="233">
        <f t="shared" si="12"/>
        <v>6.444</v>
      </c>
      <c r="AG66" s="6">
        <f t="shared" si="13"/>
        <v>3.98</v>
      </c>
      <c r="AH66" s="30" t="s">
        <v>110</v>
      </c>
      <c r="AI66" s="3">
        <v>0.65</v>
      </c>
      <c r="AJ66" s="18">
        <v>0.35</v>
      </c>
      <c r="AK66" s="6">
        <f t="shared" si="14"/>
        <v>5.32</v>
      </c>
      <c r="AL66" s="6">
        <f t="shared" si="15"/>
        <v>5.26</v>
      </c>
      <c r="AM66" s="6">
        <f t="shared" si="16"/>
        <v>5.21</v>
      </c>
      <c r="AN66" s="6">
        <f t="shared" si="17"/>
        <v>5.21</v>
      </c>
      <c r="AO66" s="6">
        <f t="shared" si="18"/>
        <v>5.37</v>
      </c>
      <c r="BG66" s="12">
        <v>0.01</v>
      </c>
      <c r="BH66" s="12">
        <v>0.02</v>
      </c>
      <c r="BI66" s="12">
        <v>0.03</v>
      </c>
      <c r="BJ66" s="12">
        <v>0.03</v>
      </c>
      <c r="CC66" s="3" t="str">
        <f t="shared" si="19"/>
        <v>Allied-Moulded-PG66.jpg</v>
      </c>
      <c r="CD66" s="16" t="s">
        <v>111</v>
      </c>
      <c r="CE66" s="3"/>
      <c r="CF66" s="3"/>
      <c r="CG66" s="16" t="s">
        <v>5077</v>
      </c>
      <c r="CI66" s="16" t="s">
        <v>97</v>
      </c>
      <c r="CJ66" s="3" t="s">
        <v>4493</v>
      </c>
      <c r="CK66" s="3" t="s">
        <v>351</v>
      </c>
      <c r="CL66" s="3" t="s">
        <v>351</v>
      </c>
    </row>
    <row r="67" spans="1:90" ht="15" customHeight="1">
      <c r="A67" s="222" t="s">
        <v>5450</v>
      </c>
      <c r="B67" s="3" t="s">
        <v>5411</v>
      </c>
      <c r="C67" s="16" t="s">
        <v>97</v>
      </c>
      <c r="D67" s="234" t="s">
        <v>5451</v>
      </c>
      <c r="E67" s="16" t="s">
        <v>97</v>
      </c>
      <c r="F67" s="131" t="s">
        <v>5409</v>
      </c>
      <c r="I67" s="227" t="s">
        <v>342</v>
      </c>
      <c r="J67" s="16" t="s">
        <v>101</v>
      </c>
      <c r="K67" s="16"/>
      <c r="L67" s="16" t="s">
        <v>5075</v>
      </c>
      <c r="P67" s="3" t="s">
        <v>5452</v>
      </c>
      <c r="Q67" s="3" t="s">
        <v>5452</v>
      </c>
      <c r="R67" s="3" t="s">
        <v>5452</v>
      </c>
      <c r="S67" s="222" t="s">
        <v>5450</v>
      </c>
      <c r="T67" s="228" t="s">
        <v>5076</v>
      </c>
      <c r="U67" s="240">
        <v>1</v>
      </c>
      <c r="V67" s="239"/>
      <c r="W67" s="239"/>
      <c r="X67" s="230" t="s">
        <v>108</v>
      </c>
      <c r="Y67" s="231">
        <f t="shared" si="10"/>
        <v>1</v>
      </c>
      <c r="Z67" s="3">
        <v>0</v>
      </c>
      <c r="AA67" s="3" t="s">
        <v>5453</v>
      </c>
      <c r="AD67" s="6">
        <f t="shared" si="11"/>
        <v>6.08</v>
      </c>
      <c r="AE67" s="252">
        <v>6.9255269999999998</v>
      </c>
      <c r="AF67" s="233">
        <f t="shared" si="12"/>
        <v>7.2959999999999994</v>
      </c>
      <c r="AG67" s="6">
        <f t="shared" si="13"/>
        <v>4.5</v>
      </c>
      <c r="AH67" s="30" t="s">
        <v>110</v>
      </c>
      <c r="AI67" s="3">
        <v>0.65</v>
      </c>
      <c r="AJ67" s="18">
        <v>0.35</v>
      </c>
      <c r="AK67" s="6">
        <f t="shared" si="14"/>
        <v>6.02</v>
      </c>
      <c r="AL67" s="6">
        <f t="shared" si="15"/>
        <v>5.96</v>
      </c>
      <c r="AM67" s="6">
        <f t="shared" si="16"/>
        <v>5.9</v>
      </c>
      <c r="AN67" s="6">
        <f t="shared" si="17"/>
        <v>5.9</v>
      </c>
      <c r="AO67" s="6">
        <f t="shared" si="18"/>
        <v>6.08</v>
      </c>
      <c r="BG67" s="12">
        <v>0.01</v>
      </c>
      <c r="BH67" s="12">
        <v>0.02</v>
      </c>
      <c r="BI67" s="12">
        <v>0.03</v>
      </c>
      <c r="BJ67" s="12">
        <v>0.03</v>
      </c>
      <c r="CC67" s="3" t="str">
        <f t="shared" si="19"/>
        <v>Allied-Moulded-PG86.jpg</v>
      </c>
      <c r="CD67" s="16" t="s">
        <v>111</v>
      </c>
      <c r="CE67" s="3"/>
      <c r="CF67" s="3"/>
      <c r="CG67" s="16" t="s">
        <v>5077</v>
      </c>
      <c r="CI67" s="16" t="s">
        <v>97</v>
      </c>
      <c r="CJ67" s="3" t="s">
        <v>4493</v>
      </c>
      <c r="CK67" s="3" t="s">
        <v>385</v>
      </c>
      <c r="CL67" s="3" t="s">
        <v>351</v>
      </c>
    </row>
    <row r="68" spans="1:90" ht="15" customHeight="1">
      <c r="A68" s="222" t="s">
        <v>5454</v>
      </c>
      <c r="B68" s="3" t="s">
        <v>5455</v>
      </c>
      <c r="C68" s="16" t="s">
        <v>97</v>
      </c>
      <c r="D68" s="234" t="s">
        <v>5456</v>
      </c>
      <c r="E68" s="16" t="s">
        <v>97</v>
      </c>
      <c r="F68" s="131" t="s">
        <v>5457</v>
      </c>
      <c r="I68" s="227" t="s">
        <v>342</v>
      </c>
      <c r="J68" s="16" t="s">
        <v>101</v>
      </c>
      <c r="K68" s="16"/>
      <c r="L68" s="16" t="s">
        <v>5075</v>
      </c>
      <c r="P68" s="3" t="s">
        <v>5458</v>
      </c>
      <c r="Q68" s="3" t="s">
        <v>5458</v>
      </c>
      <c r="R68" s="3" t="s">
        <v>5458</v>
      </c>
      <c r="S68" s="222" t="s">
        <v>5454</v>
      </c>
      <c r="T68" s="228" t="s">
        <v>5076</v>
      </c>
      <c r="U68" s="240">
        <v>1</v>
      </c>
      <c r="V68" s="239"/>
      <c r="W68" s="239"/>
      <c r="X68" s="230" t="s">
        <v>108</v>
      </c>
      <c r="Y68" s="231">
        <f t="shared" ref="Y68:Y76" si="20">IF(AD68=0, 0, IF(OR(H68="", H68&lt;&gt;0), 1, 0))</f>
        <v>1</v>
      </c>
      <c r="Z68" s="3">
        <v>0</v>
      </c>
      <c r="AA68" s="3" t="s">
        <v>5459</v>
      </c>
      <c r="AD68" s="6">
        <f t="shared" ref="AD68:AD81" si="21">ROUND((AG68*(1+AJ68)),2)</f>
        <v>5.44</v>
      </c>
      <c r="AE68" s="252">
        <v>6.2002373999999998</v>
      </c>
      <c r="AF68" s="233">
        <f t="shared" ref="AF68:AF76" si="22">AD68*1.2</f>
        <v>6.5280000000000005</v>
      </c>
      <c r="AG68" s="6">
        <f t="shared" ref="AG68:AG76" si="23">ROUND((AE68*AI68),2)</f>
        <v>4.03</v>
      </c>
      <c r="AH68" s="30" t="s">
        <v>110</v>
      </c>
      <c r="AI68" s="3">
        <v>0.65</v>
      </c>
      <c r="AJ68" s="18">
        <v>0.35</v>
      </c>
      <c r="AK68" s="6">
        <f t="shared" ref="AK68:AK76" si="24">ROUND((AD68-(AD68*BG68)),2)</f>
        <v>5.39</v>
      </c>
      <c r="AL68" s="6">
        <f t="shared" ref="AL68:AL76" si="25">ROUND((AD68-(AD68*BH68)),2)</f>
        <v>5.33</v>
      </c>
      <c r="AM68" s="6">
        <f t="shared" ref="AM68:AM76" si="26">ROUND((AD68-(AD68*BI68)),2)</f>
        <v>5.28</v>
      </c>
      <c r="AN68" s="6">
        <f t="shared" ref="AN68:AN76" si="27">ROUND((AD68-(AD68*BJ68)),2)</f>
        <v>5.28</v>
      </c>
      <c r="AO68" s="6">
        <f t="shared" ref="AO68:AO76" si="28">ROUND((AD68-(AD68*BK68)),2)</f>
        <v>5.44</v>
      </c>
      <c r="BG68" s="12">
        <v>0.01</v>
      </c>
      <c r="BH68" s="12">
        <v>0.02</v>
      </c>
      <c r="BI68" s="12">
        <v>0.03</v>
      </c>
      <c r="BJ68" s="12">
        <v>0.03</v>
      </c>
      <c r="CC68" s="3" t="str">
        <f t="shared" ref="CC68:CC76" si="29">IF(B68&lt;&gt;"",CONCATENATE(SUBSTITUTE(B68," ","-"),".jpg"),"")</f>
        <v>Allied-Moulded-PL44.jpg</v>
      </c>
      <c r="CD68" s="16" t="s">
        <v>111</v>
      </c>
      <c r="CE68" s="3"/>
      <c r="CF68" s="3"/>
      <c r="CG68" s="16" t="s">
        <v>5077</v>
      </c>
      <c r="CI68" s="16" t="s">
        <v>97</v>
      </c>
      <c r="CJ68" s="3" t="s">
        <v>4493</v>
      </c>
      <c r="CK68" s="3" t="s">
        <v>657</v>
      </c>
      <c r="CL68" s="3" t="s">
        <v>657</v>
      </c>
    </row>
    <row r="69" spans="1:90" ht="15" customHeight="1">
      <c r="A69" s="222" t="s">
        <v>5460</v>
      </c>
      <c r="B69" s="3" t="s">
        <v>5461</v>
      </c>
      <c r="C69" s="16" t="s">
        <v>97</v>
      </c>
      <c r="D69" s="255" t="s">
        <v>5462</v>
      </c>
      <c r="E69" s="16" t="s">
        <v>97</v>
      </c>
      <c r="F69" s="131" t="s">
        <v>5463</v>
      </c>
      <c r="I69" s="227" t="s">
        <v>342</v>
      </c>
      <c r="J69" s="16" t="s">
        <v>101</v>
      </c>
      <c r="K69" s="16"/>
      <c r="L69" s="16" t="s">
        <v>5075</v>
      </c>
      <c r="P69" s="3" t="s">
        <v>5464</v>
      </c>
      <c r="Q69" s="3" t="s">
        <v>5464</v>
      </c>
      <c r="R69" s="3" t="s">
        <v>5464</v>
      </c>
      <c r="S69" s="222" t="s">
        <v>5460</v>
      </c>
      <c r="T69" s="228" t="s">
        <v>5076</v>
      </c>
      <c r="U69" s="243">
        <v>1</v>
      </c>
      <c r="V69" s="238"/>
      <c r="W69" s="238"/>
      <c r="X69" s="230" t="s">
        <v>108</v>
      </c>
      <c r="Y69" s="231">
        <f t="shared" si="20"/>
        <v>1</v>
      </c>
      <c r="Z69" s="3">
        <v>0</v>
      </c>
      <c r="AA69" s="3" t="s">
        <v>5465</v>
      </c>
      <c r="AD69" s="6">
        <f t="shared" si="21"/>
        <v>9.1300000000000008</v>
      </c>
      <c r="AE69" s="257">
        <v>10.402482300000001</v>
      </c>
      <c r="AF69" s="233">
        <f t="shared" si="22"/>
        <v>10.956000000000001</v>
      </c>
      <c r="AG69" s="6">
        <f t="shared" si="23"/>
        <v>6.76</v>
      </c>
      <c r="AH69" s="30" t="s">
        <v>110</v>
      </c>
      <c r="AI69" s="3">
        <v>0.65</v>
      </c>
      <c r="AJ69" s="18">
        <v>0.35</v>
      </c>
      <c r="AK69" s="6">
        <f t="shared" si="24"/>
        <v>9.0399999999999991</v>
      </c>
      <c r="AL69" s="6">
        <f t="shared" si="25"/>
        <v>8.9499999999999993</v>
      </c>
      <c r="AM69" s="6">
        <f t="shared" si="26"/>
        <v>8.86</v>
      </c>
      <c r="AN69" s="6">
        <f t="shared" si="27"/>
        <v>8.86</v>
      </c>
      <c r="AO69" s="6">
        <f t="shared" si="28"/>
        <v>9.1300000000000008</v>
      </c>
      <c r="BG69" s="12">
        <v>0.01</v>
      </c>
      <c r="BH69" s="12">
        <v>0.02</v>
      </c>
      <c r="BI69" s="12">
        <v>0.03</v>
      </c>
      <c r="BJ69" s="12">
        <v>0.03</v>
      </c>
      <c r="CC69" s="3" t="str">
        <f t="shared" si="29"/>
        <v>Allied-Moulded-PL88.jpg</v>
      </c>
      <c r="CD69" s="16" t="s">
        <v>111</v>
      </c>
      <c r="CE69" s="3"/>
      <c r="CF69" s="3"/>
      <c r="CG69" s="16" t="s">
        <v>5077</v>
      </c>
      <c r="CI69" s="16" t="s">
        <v>97</v>
      </c>
      <c r="CJ69" s="3" t="s">
        <v>4493</v>
      </c>
      <c r="CK69" s="3" t="s">
        <v>385</v>
      </c>
      <c r="CL69" s="3" t="s">
        <v>385</v>
      </c>
    </row>
    <row r="70" spans="1:90" ht="15" customHeight="1">
      <c r="A70" s="222" t="s">
        <v>5466</v>
      </c>
      <c r="B70" s="3" t="s">
        <v>5467</v>
      </c>
      <c r="C70" s="16" t="s">
        <v>97</v>
      </c>
      <c r="D70" s="255" t="s">
        <v>5468</v>
      </c>
      <c r="E70" s="16" t="s">
        <v>97</v>
      </c>
      <c r="F70" s="131" t="s">
        <v>5469</v>
      </c>
      <c r="I70" s="227" t="s">
        <v>342</v>
      </c>
      <c r="J70" s="16" t="s">
        <v>101</v>
      </c>
      <c r="K70" s="16"/>
      <c r="L70" s="16" t="s">
        <v>5075</v>
      </c>
      <c r="P70" s="3" t="s">
        <v>5470</v>
      </c>
      <c r="Q70" s="3" t="s">
        <v>5470</v>
      </c>
      <c r="R70" s="3" t="s">
        <v>5470</v>
      </c>
      <c r="S70" s="222" t="s">
        <v>5466</v>
      </c>
      <c r="T70" s="228" t="s">
        <v>5076</v>
      </c>
      <c r="U70" s="243">
        <v>1</v>
      </c>
      <c r="V70" s="238"/>
      <c r="W70" s="238"/>
      <c r="X70" s="230" t="s">
        <v>108</v>
      </c>
      <c r="Y70" s="231">
        <f t="shared" si="20"/>
        <v>1</v>
      </c>
      <c r="Z70" s="3">
        <v>0</v>
      </c>
      <c r="AA70" s="3" t="s">
        <v>5471</v>
      </c>
      <c r="AD70" s="6">
        <f t="shared" si="21"/>
        <v>6.53</v>
      </c>
      <c r="AE70" s="156">
        <v>7.4402853000000002</v>
      </c>
      <c r="AF70" s="233">
        <f t="shared" si="22"/>
        <v>7.8360000000000003</v>
      </c>
      <c r="AG70" s="6">
        <f t="shared" si="23"/>
        <v>4.84</v>
      </c>
      <c r="AH70" s="30" t="s">
        <v>110</v>
      </c>
      <c r="AI70" s="3">
        <v>0.65</v>
      </c>
      <c r="AJ70" s="18">
        <v>0.35</v>
      </c>
      <c r="AK70" s="6">
        <f t="shared" si="24"/>
        <v>6.46</v>
      </c>
      <c r="AL70" s="6">
        <f t="shared" si="25"/>
        <v>6.4</v>
      </c>
      <c r="AM70" s="6">
        <f t="shared" si="26"/>
        <v>6.33</v>
      </c>
      <c r="AN70" s="6">
        <f t="shared" si="27"/>
        <v>6.33</v>
      </c>
      <c r="AO70" s="6">
        <f t="shared" si="28"/>
        <v>6.53</v>
      </c>
      <c r="BG70" s="12">
        <v>0.01</v>
      </c>
      <c r="BH70" s="12">
        <v>0.02</v>
      </c>
      <c r="BI70" s="12">
        <v>0.03</v>
      </c>
      <c r="BJ70" s="12">
        <v>0.03</v>
      </c>
      <c r="CC70" s="3" t="str">
        <f t="shared" si="29"/>
        <v>Allied-Moulded-PLA44.jpg</v>
      </c>
      <c r="CD70" s="16" t="s">
        <v>111</v>
      </c>
      <c r="CE70" s="3"/>
      <c r="CF70" s="3"/>
      <c r="CG70" s="16" t="s">
        <v>5077</v>
      </c>
      <c r="CI70" s="16" t="s">
        <v>97</v>
      </c>
      <c r="CJ70" s="3" t="s">
        <v>5247</v>
      </c>
      <c r="CK70" s="3" t="s">
        <v>657</v>
      </c>
      <c r="CL70" s="3" t="s">
        <v>657</v>
      </c>
    </row>
    <row r="71" spans="1:90" ht="15" customHeight="1">
      <c r="A71" s="222" t="s">
        <v>5472</v>
      </c>
      <c r="B71" s="3" t="s">
        <v>5463</v>
      </c>
      <c r="C71" s="16" t="s">
        <v>97</v>
      </c>
      <c r="D71" s="253" t="s">
        <v>5473</v>
      </c>
      <c r="E71" s="16" t="s">
        <v>97</v>
      </c>
      <c r="F71" s="131" t="s">
        <v>5461</v>
      </c>
      <c r="I71" s="227" t="s">
        <v>342</v>
      </c>
      <c r="J71" s="16" t="s">
        <v>101</v>
      </c>
      <c r="K71" s="16"/>
      <c r="L71" s="16" t="s">
        <v>5075</v>
      </c>
      <c r="P71" s="3" t="s">
        <v>5474</v>
      </c>
      <c r="Q71" s="3" t="s">
        <v>5474</v>
      </c>
      <c r="R71" s="3" t="s">
        <v>5474</v>
      </c>
      <c r="S71" s="222" t="s">
        <v>5472</v>
      </c>
      <c r="T71" s="228" t="s">
        <v>5076</v>
      </c>
      <c r="U71" s="254">
        <v>1</v>
      </c>
      <c r="V71" s="239"/>
      <c r="W71" s="239"/>
      <c r="X71" s="230" t="s">
        <v>108</v>
      </c>
      <c r="Y71" s="231">
        <f t="shared" si="20"/>
        <v>1</v>
      </c>
      <c r="Z71" s="3">
        <v>0</v>
      </c>
      <c r="AA71" s="3" t="s">
        <v>5475</v>
      </c>
      <c r="AD71" s="6">
        <f t="shared" si="21"/>
        <v>12.3</v>
      </c>
      <c r="AE71" s="156">
        <v>14.02135455</v>
      </c>
      <c r="AF71" s="233">
        <f t="shared" si="22"/>
        <v>14.76</v>
      </c>
      <c r="AG71" s="6">
        <f t="shared" si="23"/>
        <v>9.11</v>
      </c>
      <c r="AH71" s="30" t="s">
        <v>110</v>
      </c>
      <c r="AI71" s="3">
        <v>0.65</v>
      </c>
      <c r="AJ71" s="18">
        <v>0.35</v>
      </c>
      <c r="AK71" s="6">
        <f t="shared" si="24"/>
        <v>12.18</v>
      </c>
      <c r="AL71" s="6">
        <f t="shared" si="25"/>
        <v>12.05</v>
      </c>
      <c r="AM71" s="6">
        <f t="shared" si="26"/>
        <v>11.93</v>
      </c>
      <c r="AN71" s="6">
        <f t="shared" si="27"/>
        <v>11.93</v>
      </c>
      <c r="AO71" s="6">
        <f t="shared" si="28"/>
        <v>12.3</v>
      </c>
      <c r="BG71" s="12">
        <v>0.01</v>
      </c>
      <c r="BH71" s="12">
        <v>0.02</v>
      </c>
      <c r="BI71" s="12">
        <v>0.03</v>
      </c>
      <c r="BJ71" s="12">
        <v>0.03</v>
      </c>
      <c r="CC71" s="3" t="str">
        <f t="shared" si="29"/>
        <v>Allied-Moulded-PLA88.jpg</v>
      </c>
      <c r="CD71" s="16" t="s">
        <v>111</v>
      </c>
      <c r="CE71" s="3"/>
      <c r="CF71" s="3"/>
      <c r="CG71" s="16" t="s">
        <v>5077</v>
      </c>
      <c r="CI71" s="16" t="s">
        <v>97</v>
      </c>
      <c r="CJ71" s="3" t="s">
        <v>5247</v>
      </c>
      <c r="CK71" s="3" t="s">
        <v>385</v>
      </c>
      <c r="CL71" s="3" t="s">
        <v>385</v>
      </c>
    </row>
    <row r="72" spans="1:90" ht="15" customHeight="1">
      <c r="A72" s="222" t="s">
        <v>5476</v>
      </c>
      <c r="B72" s="3" t="s">
        <v>5477</v>
      </c>
      <c r="C72" s="16" t="s">
        <v>97</v>
      </c>
      <c r="D72" s="229" t="s">
        <v>5478</v>
      </c>
      <c r="E72" s="16" t="s">
        <v>97</v>
      </c>
      <c r="F72" s="131" t="s">
        <v>5479</v>
      </c>
      <c r="I72" s="227" t="s">
        <v>342</v>
      </c>
      <c r="J72" s="16" t="s">
        <v>101</v>
      </c>
      <c r="K72" s="16"/>
      <c r="L72" s="16" t="s">
        <v>5075</v>
      </c>
      <c r="P72" s="3" t="s">
        <v>5480</v>
      </c>
      <c r="Q72" s="3" t="s">
        <v>5480</v>
      </c>
      <c r="R72" s="3" t="s">
        <v>5480</v>
      </c>
      <c r="S72" s="222" t="s">
        <v>5476</v>
      </c>
      <c r="T72" s="228" t="s">
        <v>5481</v>
      </c>
      <c r="U72" s="246">
        <v>1</v>
      </c>
      <c r="V72" s="238"/>
      <c r="W72" s="238"/>
      <c r="X72" s="230" t="s">
        <v>108</v>
      </c>
      <c r="Y72" s="231">
        <f t="shared" si="20"/>
        <v>1</v>
      </c>
      <c r="Z72" s="3">
        <v>0</v>
      </c>
      <c r="AA72" s="3" t="s">
        <v>5482</v>
      </c>
      <c r="AD72" s="6">
        <f t="shared" si="21"/>
        <v>9.6</v>
      </c>
      <c r="AE72" s="252">
        <v>10.938155549999999</v>
      </c>
      <c r="AF72" s="233">
        <f t="shared" si="22"/>
        <v>11.52</v>
      </c>
      <c r="AG72" s="6">
        <f t="shared" si="23"/>
        <v>7.11</v>
      </c>
      <c r="AH72" s="30" t="s">
        <v>110</v>
      </c>
      <c r="AI72" s="3">
        <v>0.65</v>
      </c>
      <c r="AJ72" s="18">
        <v>0.35</v>
      </c>
      <c r="AK72" s="6">
        <f t="shared" si="24"/>
        <v>9.5</v>
      </c>
      <c r="AL72" s="6">
        <f t="shared" si="25"/>
        <v>9.41</v>
      </c>
      <c r="AM72" s="6">
        <f t="shared" si="26"/>
        <v>9.31</v>
      </c>
      <c r="AN72" s="6">
        <f t="shared" si="27"/>
        <v>9.31</v>
      </c>
      <c r="AO72" s="6">
        <f t="shared" si="28"/>
        <v>9.6</v>
      </c>
      <c r="BG72" s="12">
        <v>0.01</v>
      </c>
      <c r="BH72" s="12">
        <v>0.02</v>
      </c>
      <c r="BI72" s="12">
        <v>0.03</v>
      </c>
      <c r="BJ72" s="12">
        <v>0.03</v>
      </c>
      <c r="CC72" s="3" t="str">
        <f t="shared" si="29"/>
        <v>Allied-Moulded-PLPVC44.jpg</v>
      </c>
      <c r="CD72" s="16" t="s">
        <v>111</v>
      </c>
      <c r="CE72" s="3"/>
      <c r="CF72" s="3"/>
      <c r="CG72" s="16" t="s">
        <v>5077</v>
      </c>
      <c r="CI72" s="16" t="s">
        <v>97</v>
      </c>
      <c r="CJ72" s="3" t="s">
        <v>5321</v>
      </c>
      <c r="CK72" s="3" t="s">
        <v>657</v>
      </c>
      <c r="CL72" s="3" t="s">
        <v>657</v>
      </c>
    </row>
    <row r="73" spans="1:90" ht="15" customHeight="1">
      <c r="A73" s="222" t="s">
        <v>5483</v>
      </c>
      <c r="B73" s="3" t="s">
        <v>5484</v>
      </c>
      <c r="C73" s="16" t="s">
        <v>97</v>
      </c>
      <c r="D73" s="234" t="s">
        <v>5485</v>
      </c>
      <c r="E73" s="16" t="s">
        <v>97</v>
      </c>
      <c r="F73" s="131" t="s">
        <v>5486</v>
      </c>
      <c r="I73" s="227" t="s">
        <v>342</v>
      </c>
      <c r="J73" s="16" t="s">
        <v>101</v>
      </c>
      <c r="K73" s="16"/>
      <c r="L73" s="16" t="s">
        <v>5075</v>
      </c>
      <c r="P73" s="3" t="s">
        <v>5487</v>
      </c>
      <c r="Q73" s="3" t="s">
        <v>5487</v>
      </c>
      <c r="R73" s="3" t="s">
        <v>5487</v>
      </c>
      <c r="S73" s="222" t="s">
        <v>5483</v>
      </c>
      <c r="T73" s="228" t="s">
        <v>5481</v>
      </c>
      <c r="U73" s="240">
        <v>1</v>
      </c>
      <c r="V73" s="239"/>
      <c r="W73" s="239"/>
      <c r="X73" s="230" t="s">
        <v>108</v>
      </c>
      <c r="Y73" s="231">
        <f t="shared" si="20"/>
        <v>1</v>
      </c>
      <c r="Z73" s="3">
        <v>0</v>
      </c>
      <c r="AA73" s="3" t="s">
        <v>5488</v>
      </c>
      <c r="AD73" s="6">
        <f t="shared" si="21"/>
        <v>11.99</v>
      </c>
      <c r="AE73" s="252">
        <v>13.66197105</v>
      </c>
      <c r="AF73" s="233">
        <f t="shared" si="22"/>
        <v>14.388</v>
      </c>
      <c r="AG73" s="6">
        <f t="shared" si="23"/>
        <v>8.8800000000000008</v>
      </c>
      <c r="AH73" s="30" t="s">
        <v>110</v>
      </c>
      <c r="AI73" s="3">
        <v>0.65</v>
      </c>
      <c r="AJ73" s="18">
        <v>0.35</v>
      </c>
      <c r="AK73" s="6">
        <f t="shared" si="24"/>
        <v>11.87</v>
      </c>
      <c r="AL73" s="6">
        <f t="shared" si="25"/>
        <v>11.75</v>
      </c>
      <c r="AM73" s="6">
        <f t="shared" si="26"/>
        <v>11.63</v>
      </c>
      <c r="AN73" s="6">
        <f t="shared" si="27"/>
        <v>11.63</v>
      </c>
      <c r="AO73" s="6">
        <f t="shared" si="28"/>
        <v>11.99</v>
      </c>
      <c r="BG73" s="12">
        <v>0.01</v>
      </c>
      <c r="BH73" s="12">
        <v>0.02</v>
      </c>
      <c r="BI73" s="12">
        <v>0.03</v>
      </c>
      <c r="BJ73" s="12">
        <v>0.03</v>
      </c>
      <c r="CC73" s="3" t="str">
        <f t="shared" si="29"/>
        <v>Allied-Moulded-PLPVC66.jpg</v>
      </c>
      <c r="CD73" s="16" t="s">
        <v>111</v>
      </c>
      <c r="CE73" s="3"/>
      <c r="CF73" s="3"/>
      <c r="CG73" s="16" t="s">
        <v>5077</v>
      </c>
      <c r="CI73" s="16" t="s">
        <v>97</v>
      </c>
      <c r="CJ73" s="3" t="s">
        <v>5321</v>
      </c>
      <c r="CK73" s="3" t="s">
        <v>351</v>
      </c>
      <c r="CL73" s="3" t="s">
        <v>351</v>
      </c>
    </row>
    <row r="74" spans="1:90" ht="15" customHeight="1">
      <c r="A74" s="222" t="s">
        <v>5489</v>
      </c>
      <c r="B74" s="3" t="s">
        <v>5490</v>
      </c>
      <c r="C74" s="16" t="s">
        <v>97</v>
      </c>
      <c r="D74" s="229" t="s">
        <v>5491</v>
      </c>
      <c r="E74" s="16" t="s">
        <v>97</v>
      </c>
      <c r="F74" s="131" t="s">
        <v>5492</v>
      </c>
      <c r="I74" s="227" t="s">
        <v>342</v>
      </c>
      <c r="J74" s="16" t="s">
        <v>101</v>
      </c>
      <c r="K74" s="16"/>
      <c r="L74" s="16" t="s">
        <v>5075</v>
      </c>
      <c r="P74" s="3" t="s">
        <v>5493</v>
      </c>
      <c r="Q74" s="3" t="s">
        <v>5493</v>
      </c>
      <c r="R74" s="3" t="s">
        <v>5493</v>
      </c>
      <c r="S74" s="222" t="s">
        <v>5489</v>
      </c>
      <c r="T74" s="228" t="s">
        <v>5481</v>
      </c>
      <c r="U74" s="246">
        <v>1</v>
      </c>
      <c r="V74" s="238"/>
      <c r="W74" s="238"/>
      <c r="X74" s="230" t="s">
        <v>108</v>
      </c>
      <c r="Y74" s="231">
        <f t="shared" si="20"/>
        <v>1</v>
      </c>
      <c r="Z74" s="3">
        <v>0</v>
      </c>
      <c r="AA74" s="3" t="s">
        <v>5494</v>
      </c>
      <c r="AD74" s="6">
        <f t="shared" si="21"/>
        <v>12.65</v>
      </c>
      <c r="AE74" s="252">
        <v>14.412626549999999</v>
      </c>
      <c r="AF74" s="233">
        <f t="shared" si="22"/>
        <v>15.18</v>
      </c>
      <c r="AG74" s="6">
        <f t="shared" si="23"/>
        <v>9.3699999999999992</v>
      </c>
      <c r="AH74" s="30" t="s">
        <v>110</v>
      </c>
      <c r="AI74" s="3">
        <v>0.65</v>
      </c>
      <c r="AJ74" s="18">
        <v>0.35</v>
      </c>
      <c r="AK74" s="6">
        <f t="shared" si="24"/>
        <v>12.52</v>
      </c>
      <c r="AL74" s="6">
        <f t="shared" si="25"/>
        <v>12.4</v>
      </c>
      <c r="AM74" s="6">
        <f t="shared" si="26"/>
        <v>12.27</v>
      </c>
      <c r="AN74" s="6">
        <f t="shared" si="27"/>
        <v>12.27</v>
      </c>
      <c r="AO74" s="6">
        <f t="shared" si="28"/>
        <v>12.65</v>
      </c>
      <c r="BG74" s="12">
        <v>0.01</v>
      </c>
      <c r="BH74" s="12">
        <v>0.02</v>
      </c>
      <c r="BI74" s="12">
        <v>0.03</v>
      </c>
      <c r="BJ74" s="12">
        <v>0.03</v>
      </c>
      <c r="CC74" s="3" t="str">
        <f t="shared" si="29"/>
        <v>Allied-Moulded-PLPVC86.jpg</v>
      </c>
      <c r="CD74" s="16" t="s">
        <v>111</v>
      </c>
      <c r="CE74" s="3"/>
      <c r="CF74" s="3"/>
      <c r="CG74" s="16" t="s">
        <v>5077</v>
      </c>
      <c r="CI74" s="16" t="s">
        <v>97</v>
      </c>
      <c r="CJ74" s="3" t="s">
        <v>5321</v>
      </c>
      <c r="CK74" s="3" t="s">
        <v>385</v>
      </c>
      <c r="CL74" s="3" t="s">
        <v>351</v>
      </c>
    </row>
    <row r="75" spans="1:90" ht="15" customHeight="1">
      <c r="A75" s="222" t="s">
        <v>5495</v>
      </c>
      <c r="B75" s="3" t="s">
        <v>5496</v>
      </c>
      <c r="C75" s="16" t="s">
        <v>97</v>
      </c>
      <c r="D75" s="234" t="s">
        <v>5497</v>
      </c>
      <c r="E75" s="16" t="s">
        <v>97</v>
      </c>
      <c r="F75" s="131" t="s">
        <v>5492</v>
      </c>
      <c r="I75" s="227" t="s">
        <v>342</v>
      </c>
      <c r="J75" s="16" t="s">
        <v>101</v>
      </c>
      <c r="K75" s="16"/>
      <c r="L75" s="16" t="s">
        <v>5075</v>
      </c>
      <c r="P75" s="3" t="s">
        <v>5498</v>
      </c>
      <c r="Q75" s="3" t="s">
        <v>5498</v>
      </c>
      <c r="R75" s="3" t="s">
        <v>5498</v>
      </c>
      <c r="S75" s="222" t="s">
        <v>5495</v>
      </c>
      <c r="T75" s="228" t="s">
        <v>5481</v>
      </c>
      <c r="U75" s="240">
        <v>1</v>
      </c>
      <c r="V75" s="239"/>
      <c r="W75" s="239"/>
      <c r="X75" s="230" t="s">
        <v>108</v>
      </c>
      <c r="Y75" s="231">
        <f t="shared" si="20"/>
        <v>1</v>
      </c>
      <c r="Z75" s="3">
        <v>0</v>
      </c>
      <c r="AA75" s="3" t="s">
        <v>5499</v>
      </c>
      <c r="AD75" s="6">
        <f t="shared" si="21"/>
        <v>18.440000000000001</v>
      </c>
      <c r="AE75" s="252">
        <v>21.0184149</v>
      </c>
      <c r="AF75" s="233">
        <f t="shared" si="22"/>
        <v>22.128</v>
      </c>
      <c r="AG75" s="6">
        <f t="shared" si="23"/>
        <v>13.66</v>
      </c>
      <c r="AH75" s="30" t="s">
        <v>110</v>
      </c>
      <c r="AI75" s="3">
        <v>0.65</v>
      </c>
      <c r="AJ75" s="18">
        <v>0.35</v>
      </c>
      <c r="AK75" s="6">
        <f t="shared" si="24"/>
        <v>18.260000000000002</v>
      </c>
      <c r="AL75" s="6">
        <f t="shared" si="25"/>
        <v>18.07</v>
      </c>
      <c r="AM75" s="6">
        <f t="shared" si="26"/>
        <v>17.89</v>
      </c>
      <c r="AN75" s="6">
        <f t="shared" si="27"/>
        <v>17.89</v>
      </c>
      <c r="AO75" s="6">
        <f t="shared" si="28"/>
        <v>18.440000000000001</v>
      </c>
      <c r="BG75" s="12">
        <v>0.01</v>
      </c>
      <c r="BH75" s="12">
        <v>0.02</v>
      </c>
      <c r="BI75" s="12">
        <v>0.03</v>
      </c>
      <c r="BJ75" s="12">
        <v>0.03</v>
      </c>
      <c r="CC75" s="3" t="str">
        <f t="shared" si="29"/>
        <v>Allied-Moulded-PLPVC88.jpg</v>
      </c>
      <c r="CD75" s="16" t="s">
        <v>111</v>
      </c>
      <c r="CE75" s="3"/>
      <c r="CF75" s="3"/>
      <c r="CG75" s="16" t="s">
        <v>5077</v>
      </c>
      <c r="CI75" s="16" t="s">
        <v>97</v>
      </c>
      <c r="CJ75" s="3" t="s">
        <v>5321</v>
      </c>
      <c r="CK75" s="3" t="s">
        <v>385</v>
      </c>
      <c r="CL75" s="3" t="s">
        <v>385</v>
      </c>
    </row>
    <row r="76" spans="1:90" ht="15" customHeight="1">
      <c r="A76" s="222" t="s">
        <v>5500</v>
      </c>
      <c r="B76" s="3" t="s">
        <v>5501</v>
      </c>
      <c r="C76" s="16" t="s">
        <v>97</v>
      </c>
      <c r="D76" s="229" t="s">
        <v>5502</v>
      </c>
      <c r="E76" s="16" t="s">
        <v>97</v>
      </c>
      <c r="F76" s="131" t="s">
        <v>5503</v>
      </c>
      <c r="I76" s="227" t="s">
        <v>342</v>
      </c>
      <c r="J76" s="16" t="s">
        <v>101</v>
      </c>
      <c r="K76" s="16"/>
      <c r="L76" s="16" t="s">
        <v>5075</v>
      </c>
      <c r="P76" s="3" t="s">
        <v>5504</v>
      </c>
      <c r="Q76" s="3" t="s">
        <v>5504</v>
      </c>
      <c r="R76" s="3" t="s">
        <v>5504</v>
      </c>
      <c r="S76" s="222" t="s">
        <v>5500</v>
      </c>
      <c r="T76" s="228" t="s">
        <v>5319</v>
      </c>
      <c r="U76" s="246">
        <v>1</v>
      </c>
      <c r="V76" s="238"/>
      <c r="W76" s="238"/>
      <c r="X76" s="230" t="s">
        <v>108</v>
      </c>
      <c r="Y76" s="231">
        <f t="shared" si="20"/>
        <v>1</v>
      </c>
      <c r="Z76" s="3">
        <v>0</v>
      </c>
      <c r="AA76" s="3" t="s">
        <v>5505</v>
      </c>
      <c r="AD76" s="6">
        <f t="shared" si="21"/>
        <v>19.309999999999999</v>
      </c>
      <c r="AE76" s="252">
        <v>21.994269149999997</v>
      </c>
      <c r="AF76" s="233">
        <f t="shared" si="22"/>
        <v>23.171999999999997</v>
      </c>
      <c r="AG76" s="6">
        <f t="shared" si="23"/>
        <v>14.3</v>
      </c>
      <c r="AH76" s="30" t="s">
        <v>110</v>
      </c>
      <c r="AI76" s="3">
        <v>0.65</v>
      </c>
      <c r="AJ76" s="18">
        <v>0.35</v>
      </c>
      <c r="AK76" s="6">
        <f t="shared" si="24"/>
        <v>19.12</v>
      </c>
      <c r="AL76" s="6">
        <f t="shared" si="25"/>
        <v>18.920000000000002</v>
      </c>
      <c r="AM76" s="6">
        <f t="shared" si="26"/>
        <v>18.73</v>
      </c>
      <c r="AN76" s="6">
        <f t="shared" si="27"/>
        <v>18.73</v>
      </c>
      <c r="AO76" s="6">
        <f t="shared" si="28"/>
        <v>19.309999999999999</v>
      </c>
      <c r="BG76" s="12">
        <v>0.01</v>
      </c>
      <c r="BH76" s="12">
        <v>0.02</v>
      </c>
      <c r="BI76" s="12">
        <v>0.03</v>
      </c>
      <c r="BJ76" s="12">
        <v>0.03</v>
      </c>
      <c r="CC76" s="3" t="str">
        <f t="shared" si="29"/>
        <v>Allied-Moulded-PLPVC108.jpg</v>
      </c>
      <c r="CD76" s="16" t="s">
        <v>111</v>
      </c>
      <c r="CE76" s="3"/>
      <c r="CF76" s="3"/>
      <c r="CG76" s="16" t="s">
        <v>5077</v>
      </c>
      <c r="CI76" s="16" t="s">
        <v>97</v>
      </c>
      <c r="CJ76" s="3" t="s">
        <v>5321</v>
      </c>
      <c r="CK76" s="3" t="s">
        <v>167</v>
      </c>
      <c r="CL76" s="3" t="s">
        <v>385</v>
      </c>
    </row>
    <row r="77" spans="1:90" ht="15" customHeight="1">
      <c r="A77" s="261" t="s">
        <v>6523</v>
      </c>
      <c r="B77" s="222" t="s">
        <v>6504</v>
      </c>
      <c r="C77" s="16" t="s">
        <v>97</v>
      </c>
      <c r="D77" s="222" t="s">
        <v>6509</v>
      </c>
      <c r="E77" s="16" t="s">
        <v>97</v>
      </c>
      <c r="I77" s="227" t="s">
        <v>342</v>
      </c>
      <c r="J77" s="16" t="s">
        <v>101</v>
      </c>
      <c r="K77" s="16"/>
      <c r="L77" s="16" t="s">
        <v>5075</v>
      </c>
      <c r="P77" s="222" t="s">
        <v>6518</v>
      </c>
      <c r="Q77" s="222" t="s">
        <v>6518</v>
      </c>
      <c r="R77" s="222" t="s">
        <v>6518</v>
      </c>
      <c r="S77" s="261" t="s">
        <v>6523</v>
      </c>
      <c r="T77" s="222" t="s">
        <v>6515</v>
      </c>
      <c r="U77" s="222">
        <v>1</v>
      </c>
      <c r="X77" s="31"/>
      <c r="Y77" s="231">
        <f t="shared" ref="Y77:Y81" si="30">IF(AD77=0, 0, IF(OR(H77="", H77&lt;&gt;0), 1, 0))</f>
        <v>1</v>
      </c>
      <c r="Z77" s="3">
        <v>0</v>
      </c>
      <c r="AA77" s="3" t="s">
        <v>6528</v>
      </c>
      <c r="AD77" s="6">
        <f t="shared" si="21"/>
        <v>18.41</v>
      </c>
      <c r="AE77" s="262">
        <v>20.989500000000003</v>
      </c>
      <c r="AF77" s="233">
        <f t="shared" ref="AF77:AF81" si="31">AD77*1.2</f>
        <v>22.091999999999999</v>
      </c>
      <c r="AG77" s="6">
        <f t="shared" ref="AG77:AG81" si="32">ROUND((AE77*AI77),2)</f>
        <v>13.64</v>
      </c>
      <c r="AH77" s="31"/>
      <c r="AI77" s="11">
        <v>0.65</v>
      </c>
      <c r="AJ77" s="18">
        <v>0.35</v>
      </c>
      <c r="AK77" s="6">
        <f t="shared" ref="AK77:AK81" si="33">ROUND((AD77-(AD77*BG77)),2)</f>
        <v>18.23</v>
      </c>
      <c r="AL77" s="6">
        <f t="shared" ref="AL77:AL81" si="34">ROUND((AD77-(AD77*BH77)),2)</f>
        <v>18.04</v>
      </c>
      <c r="AM77" s="6">
        <f t="shared" ref="AM77:AM81" si="35">ROUND((AD77-(AD77*BI77)),2)</f>
        <v>17.86</v>
      </c>
      <c r="AN77" s="6">
        <f t="shared" ref="AN77:AN81" si="36">ROUND((AD77-(AD77*BJ77)),2)</f>
        <v>17.86</v>
      </c>
      <c r="AO77" s="6">
        <f t="shared" ref="AO77:AO81" si="37">ROUND((AD77-(AD77*BK77)),2)</f>
        <v>18.41</v>
      </c>
      <c r="BG77" s="12">
        <v>0.01</v>
      </c>
      <c r="BH77" s="12">
        <v>0.02</v>
      </c>
      <c r="BI77" s="12">
        <v>0.03</v>
      </c>
      <c r="BJ77" s="12">
        <v>0.03</v>
      </c>
      <c r="CC77" s="3" t="str">
        <f t="shared" ref="CC77:CC81" si="38">IF(B77&lt;&gt;"",CONCATENATE(SUBSTITUTE(B77," ","-"),".jpg"),"")</f>
        <v>Allied-Moulded-PF88.jpg</v>
      </c>
      <c r="CD77" s="16" t="s">
        <v>111</v>
      </c>
      <c r="CG77" s="16" t="s">
        <v>5077</v>
      </c>
      <c r="CI77" s="16" t="s">
        <v>97</v>
      </c>
      <c r="CJ77" s="16" t="s">
        <v>118</v>
      </c>
      <c r="CK77" s="3" t="s">
        <v>385</v>
      </c>
      <c r="CL77" s="3" t="s">
        <v>385</v>
      </c>
    </row>
    <row r="78" spans="1:90" ht="15" customHeight="1">
      <c r="A78" s="222" t="s">
        <v>6524</v>
      </c>
      <c r="B78" s="222" t="s">
        <v>6505</v>
      </c>
      <c r="C78" s="16" t="s">
        <v>97</v>
      </c>
      <c r="D78" s="222" t="s">
        <v>6510</v>
      </c>
      <c r="E78" s="16" t="s">
        <v>97</v>
      </c>
      <c r="I78" s="227" t="s">
        <v>342</v>
      </c>
      <c r="J78" s="16" t="s">
        <v>101</v>
      </c>
      <c r="K78" s="16"/>
      <c r="L78" s="16" t="s">
        <v>5075</v>
      </c>
      <c r="P78" s="222" t="s">
        <v>6519</v>
      </c>
      <c r="Q78" s="222" t="s">
        <v>6519</v>
      </c>
      <c r="R78" s="222" t="s">
        <v>6519</v>
      </c>
      <c r="S78" s="222" t="s">
        <v>6524</v>
      </c>
      <c r="T78" s="222" t="s">
        <v>6515</v>
      </c>
      <c r="U78" s="222">
        <v>1</v>
      </c>
      <c r="X78" s="31"/>
      <c r="Y78" s="231">
        <f t="shared" si="30"/>
        <v>1</v>
      </c>
      <c r="Z78" s="3">
        <v>0</v>
      </c>
      <c r="AA78" s="3" t="s">
        <v>6529</v>
      </c>
      <c r="AD78" s="6">
        <f t="shared" si="21"/>
        <v>6.49</v>
      </c>
      <c r="AE78" s="262">
        <v>7.4024999999999999</v>
      </c>
      <c r="AF78" s="233">
        <f t="shared" si="31"/>
        <v>7.7880000000000003</v>
      </c>
      <c r="AG78" s="6">
        <f t="shared" si="32"/>
        <v>4.8099999999999996</v>
      </c>
      <c r="AH78" s="31"/>
      <c r="AI78" s="11">
        <v>0.65</v>
      </c>
      <c r="AJ78" s="18">
        <v>0.35</v>
      </c>
      <c r="AK78" s="6">
        <f t="shared" si="33"/>
        <v>6.43</v>
      </c>
      <c r="AL78" s="6">
        <f t="shared" si="34"/>
        <v>6.36</v>
      </c>
      <c r="AM78" s="6">
        <f t="shared" si="35"/>
        <v>6.3</v>
      </c>
      <c r="AN78" s="6">
        <f t="shared" si="36"/>
        <v>6.3</v>
      </c>
      <c r="AO78" s="6">
        <f t="shared" si="37"/>
        <v>6.49</v>
      </c>
      <c r="BG78" s="12">
        <v>0.01</v>
      </c>
      <c r="BH78" s="12">
        <v>0.02</v>
      </c>
      <c r="BI78" s="12">
        <v>0.03</v>
      </c>
      <c r="BJ78" s="12">
        <v>0.03</v>
      </c>
      <c r="CC78" s="3" t="str">
        <f t="shared" si="38"/>
        <v>Allied-Moulded-PG88.jpg</v>
      </c>
      <c r="CD78" s="16" t="s">
        <v>111</v>
      </c>
      <c r="CG78" s="16" t="s">
        <v>5077</v>
      </c>
      <c r="CI78" s="16" t="s">
        <v>97</v>
      </c>
      <c r="CJ78" s="16" t="s">
        <v>4493</v>
      </c>
      <c r="CK78" s="3" t="s">
        <v>385</v>
      </c>
      <c r="CL78" s="3" t="s">
        <v>351</v>
      </c>
    </row>
    <row r="79" spans="1:90" ht="15" customHeight="1">
      <c r="A79" s="222" t="s">
        <v>6525</v>
      </c>
      <c r="B79" s="222" t="s">
        <v>6506</v>
      </c>
      <c r="C79" s="16" t="s">
        <v>97</v>
      </c>
      <c r="D79" s="222" t="s">
        <v>6511</v>
      </c>
      <c r="E79" s="16" t="s">
        <v>97</v>
      </c>
      <c r="I79" s="227" t="s">
        <v>342</v>
      </c>
      <c r="J79" s="16" t="s">
        <v>101</v>
      </c>
      <c r="K79" s="16"/>
      <c r="L79" s="16" t="s">
        <v>5075</v>
      </c>
      <c r="P79" s="222" t="s">
        <v>6520</v>
      </c>
      <c r="Q79" s="222" t="s">
        <v>6520</v>
      </c>
      <c r="R79" s="222" t="s">
        <v>6520</v>
      </c>
      <c r="S79" s="222" t="s">
        <v>6525</v>
      </c>
      <c r="T79" s="222" t="s">
        <v>6515</v>
      </c>
      <c r="U79" s="222">
        <v>3</v>
      </c>
      <c r="X79" s="31"/>
      <c r="Y79" s="231">
        <f t="shared" si="30"/>
        <v>1</v>
      </c>
      <c r="Z79" s="3">
        <v>0</v>
      </c>
      <c r="AA79" s="3" t="s">
        <v>6530</v>
      </c>
      <c r="AD79" s="6">
        <f t="shared" si="21"/>
        <v>18.309999999999999</v>
      </c>
      <c r="AE79" s="262">
        <v>20.868113699999999</v>
      </c>
      <c r="AF79" s="233">
        <f t="shared" si="31"/>
        <v>21.971999999999998</v>
      </c>
      <c r="AG79" s="6">
        <f t="shared" si="32"/>
        <v>13.56</v>
      </c>
      <c r="AH79" s="31"/>
      <c r="AI79" s="11">
        <v>0.65</v>
      </c>
      <c r="AJ79" s="18">
        <v>0.35</v>
      </c>
      <c r="AK79" s="6">
        <f t="shared" si="33"/>
        <v>18.13</v>
      </c>
      <c r="AL79" s="6">
        <f t="shared" si="34"/>
        <v>17.940000000000001</v>
      </c>
      <c r="AM79" s="6">
        <f t="shared" si="35"/>
        <v>17.760000000000002</v>
      </c>
      <c r="AN79" s="6">
        <f t="shared" si="36"/>
        <v>17.760000000000002</v>
      </c>
      <c r="AO79" s="6">
        <f t="shared" si="37"/>
        <v>18.309999999999999</v>
      </c>
      <c r="BG79" s="12">
        <v>0.01</v>
      </c>
      <c r="BH79" s="12">
        <v>0.02</v>
      </c>
      <c r="BI79" s="12">
        <v>0.03</v>
      </c>
      <c r="BJ79" s="12">
        <v>0.03</v>
      </c>
      <c r="CC79" s="3" t="str">
        <f t="shared" si="38"/>
        <v>Allied-Moulded-PLL1212.jpg</v>
      </c>
      <c r="CD79" s="16" t="s">
        <v>111</v>
      </c>
      <c r="CG79" s="16" t="s">
        <v>5077</v>
      </c>
      <c r="CI79" s="16" t="s">
        <v>97</v>
      </c>
      <c r="CJ79" s="16" t="s">
        <v>4493</v>
      </c>
      <c r="CK79" s="16" t="s">
        <v>125</v>
      </c>
      <c r="CL79" s="16" t="s">
        <v>125</v>
      </c>
    </row>
    <row r="80" spans="1:90" ht="15" customHeight="1">
      <c r="A80" s="222" t="s">
        <v>6526</v>
      </c>
      <c r="B80" s="222" t="s">
        <v>6507</v>
      </c>
      <c r="C80" s="16" t="s">
        <v>97</v>
      </c>
      <c r="D80" s="222" t="s">
        <v>6512</v>
      </c>
      <c r="E80" s="16" t="s">
        <v>97</v>
      </c>
      <c r="I80" s="227" t="s">
        <v>342</v>
      </c>
      <c r="J80" s="16" t="s">
        <v>101</v>
      </c>
      <c r="K80" s="16"/>
      <c r="L80" s="16" t="s">
        <v>5075</v>
      </c>
      <c r="P80" s="222" t="s">
        <v>6521</v>
      </c>
      <c r="Q80" s="222" t="s">
        <v>6521</v>
      </c>
      <c r="R80" s="222" t="s">
        <v>6521</v>
      </c>
      <c r="S80" s="222" t="s">
        <v>6526</v>
      </c>
      <c r="T80" s="222" t="s">
        <v>6516</v>
      </c>
      <c r="U80" s="222">
        <v>1</v>
      </c>
      <c r="X80" s="31"/>
      <c r="Y80" s="231">
        <f t="shared" si="30"/>
        <v>1</v>
      </c>
      <c r="Z80" s="3">
        <v>0</v>
      </c>
      <c r="AA80" s="3" t="s">
        <v>6531</v>
      </c>
      <c r="AD80" s="6">
        <f t="shared" si="21"/>
        <v>26.62</v>
      </c>
      <c r="AE80" s="262">
        <v>30.345589049999997</v>
      </c>
      <c r="AF80" s="233">
        <f t="shared" si="31"/>
        <v>31.943999999999999</v>
      </c>
      <c r="AG80" s="6">
        <f t="shared" si="32"/>
        <v>19.72</v>
      </c>
      <c r="AH80" s="31"/>
      <c r="AI80" s="11">
        <v>0.65</v>
      </c>
      <c r="AJ80" s="18">
        <v>0.35</v>
      </c>
      <c r="AK80" s="6">
        <f t="shared" si="33"/>
        <v>26.35</v>
      </c>
      <c r="AL80" s="6">
        <f t="shared" si="34"/>
        <v>26.09</v>
      </c>
      <c r="AM80" s="6">
        <f t="shared" si="35"/>
        <v>25.82</v>
      </c>
      <c r="AN80" s="6">
        <f t="shared" si="36"/>
        <v>25.82</v>
      </c>
      <c r="AO80" s="6">
        <f t="shared" si="37"/>
        <v>26.62</v>
      </c>
      <c r="BG80" s="12">
        <v>0.01</v>
      </c>
      <c r="BH80" s="12">
        <v>0.02</v>
      </c>
      <c r="BI80" s="12">
        <v>0.03</v>
      </c>
      <c r="BJ80" s="12">
        <v>0.03</v>
      </c>
      <c r="CC80" s="3" t="str">
        <f t="shared" si="38"/>
        <v>Allied-Moulded-PLLPVC1212.jpg</v>
      </c>
      <c r="CD80" s="16" t="s">
        <v>111</v>
      </c>
      <c r="CG80" s="16" t="s">
        <v>5077</v>
      </c>
      <c r="CI80" s="16" t="s">
        <v>97</v>
      </c>
      <c r="CJ80" s="3" t="s">
        <v>5321</v>
      </c>
      <c r="CK80" s="16" t="s">
        <v>125</v>
      </c>
      <c r="CL80" s="16" t="s">
        <v>125</v>
      </c>
    </row>
    <row r="81" spans="1:90" ht="15" customHeight="1">
      <c r="A81" s="222" t="s">
        <v>6527</v>
      </c>
      <c r="B81" s="222" t="s">
        <v>6508</v>
      </c>
      <c r="C81" s="16" t="s">
        <v>97</v>
      </c>
      <c r="D81" s="222" t="s">
        <v>6513</v>
      </c>
      <c r="E81" s="16" t="s">
        <v>97</v>
      </c>
      <c r="I81" s="227" t="s">
        <v>342</v>
      </c>
      <c r="J81" s="16" t="s">
        <v>101</v>
      </c>
      <c r="K81" s="16"/>
      <c r="L81" s="16" t="s">
        <v>5075</v>
      </c>
      <c r="P81" s="222" t="s">
        <v>6522</v>
      </c>
      <c r="Q81" s="222" t="s">
        <v>6522</v>
      </c>
      <c r="R81" s="222" t="s">
        <v>6522</v>
      </c>
      <c r="S81" s="222" t="s">
        <v>6527</v>
      </c>
      <c r="T81" s="222" t="s">
        <v>6517</v>
      </c>
      <c r="U81" s="222">
        <v>3</v>
      </c>
      <c r="X81" s="31"/>
      <c r="Y81" s="231">
        <f t="shared" si="30"/>
        <v>1</v>
      </c>
      <c r="Z81" s="3">
        <v>0</v>
      </c>
      <c r="AA81" s="3" t="s">
        <v>6532</v>
      </c>
      <c r="AD81" s="6">
        <f t="shared" si="21"/>
        <v>62.49</v>
      </c>
      <c r="AE81" s="262">
        <v>71.214919649999999</v>
      </c>
      <c r="AF81" s="233">
        <f t="shared" si="31"/>
        <v>74.988</v>
      </c>
      <c r="AG81" s="6">
        <f t="shared" si="32"/>
        <v>46.29</v>
      </c>
      <c r="AH81" s="31"/>
      <c r="AI81" s="11">
        <v>0.65</v>
      </c>
      <c r="AJ81" s="18">
        <v>0.35</v>
      </c>
      <c r="AK81" s="6">
        <f t="shared" si="33"/>
        <v>61.87</v>
      </c>
      <c r="AL81" s="6">
        <f t="shared" si="34"/>
        <v>61.24</v>
      </c>
      <c r="AM81" s="6">
        <f t="shared" si="35"/>
        <v>60.62</v>
      </c>
      <c r="AN81" s="6">
        <f t="shared" si="36"/>
        <v>60.62</v>
      </c>
      <c r="AO81" s="6">
        <f t="shared" si="37"/>
        <v>62.49</v>
      </c>
      <c r="BG81" s="12">
        <v>0.01</v>
      </c>
      <c r="BH81" s="12">
        <v>0.02</v>
      </c>
      <c r="BI81" s="12">
        <v>0.03</v>
      </c>
      <c r="BJ81" s="12">
        <v>0.03</v>
      </c>
      <c r="CC81" s="3" t="str">
        <f t="shared" si="38"/>
        <v>Allied-Moulded-PLPVC206.jpg</v>
      </c>
      <c r="CD81" s="16" t="s">
        <v>111</v>
      </c>
      <c r="CG81" s="16" t="s">
        <v>5077</v>
      </c>
      <c r="CI81" s="16" t="s">
        <v>97</v>
      </c>
      <c r="CJ81" s="3" t="s">
        <v>5321</v>
      </c>
      <c r="CK81" s="3" t="s">
        <v>2145</v>
      </c>
      <c r="CL81" s="3" t="s">
        <v>242</v>
      </c>
    </row>
  </sheetData>
  <autoFilter ref="A3:DE3" xr:uid="{4FC995BD-F3AE-49FC-904D-AA4DAD73C5E0}">
    <sortState xmlns:xlrd2="http://schemas.microsoft.com/office/spreadsheetml/2017/richdata2" ref="A4:DE80">
      <sortCondition sortBy="cellColor" ref="AE3" dxfId="0"/>
    </sortState>
  </autoFilter>
  <conditionalFormatting sqref="Y1">
    <cfRule type="colorScale" priority="1">
      <colorScale>
        <cfvo type="num" val="0"/>
        <cfvo type="num" val="1"/>
        <color rgb="FFFF0000"/>
        <color rgb="FFFFFF00"/>
      </colorScale>
    </cfRule>
  </conditionalFormatting>
  <conditionalFormatting sqref="Y5:AD76 AG4:AJ76 AG82:AJ1048576 Y82:AD1048576 Y76:Z81 Y81:AC81 AD77:AD81 AH81:AJ81 AG77:AG81 AJ76:AJ81">
    <cfRule type="colorScale" priority="9">
      <colorScale>
        <cfvo type="num" val="0"/>
        <cfvo type="num" val="1"/>
        <color rgb="FFFF0000"/>
        <color rgb="FFFFFF00"/>
      </colorScale>
    </cfRule>
  </conditionalFormatting>
  <conditionalFormatting sqref="Z4:AD4">
    <cfRule type="colorScale" priority="10">
      <colorScale>
        <cfvo type="num" val="0"/>
        <cfvo type="num" val="1"/>
        <color rgb="FFFF0000"/>
        <color rgb="FFFFFF00"/>
      </colorScale>
    </cfRule>
  </conditionalFormatting>
  <conditionalFormatting sqref="AF4:AF81">
    <cfRule type="colorScale" priority="4">
      <colorScale>
        <cfvo type="num" val="0"/>
        <cfvo type="num" val="1"/>
        <color rgb="FFFF0000"/>
        <color rgb="FFFFFF00"/>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581EB-F6A8-4E57-ACCD-779FA667D965}">
  <sheetPr codeName="Sheet4"/>
  <dimension ref="A1:CQ27"/>
  <sheetViews>
    <sheetView zoomScale="85" zoomScaleNormal="85" workbookViewId="0">
      <pane xSplit="1" ySplit="3" topLeftCell="S4" activePane="bottomRight" state="frozen"/>
      <selection pane="topRight" activeCell="A22" sqref="A22"/>
      <selection pane="bottomLeft" activeCell="A22" sqref="A22"/>
      <selection pane="bottomRight" sqref="A1:CF3"/>
    </sheetView>
  </sheetViews>
  <sheetFormatPr defaultColWidth="9.140625" defaultRowHeight="15"/>
  <cols>
    <col min="1" max="1" width="42.5703125" style="19" customWidth="1"/>
    <col min="2" max="2" width="29.42578125" style="3" customWidth="1"/>
    <col min="3" max="3" width="22.5703125" style="3" customWidth="1"/>
    <col min="4" max="4" width="23.140625" style="3" customWidth="1"/>
    <col min="5" max="5" width="15" style="3" customWidth="1"/>
    <col min="6" max="6" width="16.42578125" style="3" customWidth="1"/>
    <col min="7" max="8" width="89.5703125" style="3" customWidth="1"/>
    <col min="9" max="9" width="9.140625" style="3"/>
    <col min="10" max="11" width="37.140625" style="3" customWidth="1"/>
    <col min="12" max="12" width="33" style="3" customWidth="1"/>
    <col min="13" max="13" width="28.85546875" style="3" customWidth="1"/>
    <col min="14" max="14" width="29.42578125" style="3" customWidth="1"/>
    <col min="15" max="15" width="23.42578125" style="3" customWidth="1"/>
    <col min="16" max="16" width="89.42578125" style="3" customWidth="1"/>
    <col min="17" max="17" width="58.42578125" style="3" customWidth="1"/>
    <col min="18" max="18" width="49.42578125" style="5" customWidth="1"/>
    <col min="19" max="20" width="32.42578125" style="5" customWidth="1"/>
    <col min="21" max="23" width="9.140625" style="6"/>
    <col min="24" max="24" width="14.5703125" style="7" bestFit="1" customWidth="1"/>
    <col min="25" max="25" width="10" style="8" customWidth="1"/>
    <col min="26" max="27" width="11.5703125" style="3" customWidth="1"/>
    <col min="28" max="28" width="15.5703125" style="3" bestFit="1" customWidth="1"/>
    <col min="29" max="29" width="11.5703125" style="3" customWidth="1"/>
    <col min="30" max="30" width="10.5703125" style="6" customWidth="1"/>
    <col min="31" max="31" width="13.85546875" style="9" customWidth="1"/>
    <col min="32" max="32" width="9.85546875" style="10" customWidth="1"/>
    <col min="33" max="33" width="9.140625" style="6"/>
    <col min="34" max="34" width="13.42578125" style="3" customWidth="1"/>
    <col min="35" max="35" width="9.140625" style="11"/>
    <col min="36" max="36" width="9.140625" style="3"/>
    <col min="37" max="41" width="9.140625" style="6"/>
    <col min="42" max="43" width="0" style="12" hidden="1" customWidth="1"/>
    <col min="44" max="58" width="0" style="3" hidden="1" customWidth="1"/>
    <col min="59" max="59" width="17.42578125" style="3" customWidth="1"/>
    <col min="60" max="60" width="12.42578125" style="3" customWidth="1"/>
    <col min="61" max="61" width="9.140625" style="3"/>
    <col min="62" max="62" width="15.42578125" style="3" bestFit="1" customWidth="1"/>
    <col min="63" max="63" width="15.42578125" style="3" hidden="1" customWidth="1"/>
    <col min="64" max="68" width="0" style="3" hidden="1" customWidth="1"/>
    <col min="69" max="72" width="0" hidden="1" customWidth="1"/>
    <col min="73" max="73" width="16.42578125" hidden="1" customWidth="1"/>
    <col min="74" max="77" width="0" hidden="1" customWidth="1"/>
    <col min="78" max="78" width="16.42578125" hidden="1" customWidth="1"/>
    <col min="79" max="79" width="0" hidden="1" customWidth="1"/>
    <col min="80" max="80" width="16.42578125" hidden="1" customWidth="1"/>
    <col min="81" max="84" width="31.85546875" style="13" customWidth="1"/>
    <col min="85" max="88" width="29" style="3" customWidth="1"/>
    <col min="89" max="89" width="29" style="3" bestFit="1" customWidth="1"/>
    <col min="90" max="90" width="44.5703125" style="3" bestFit="1" customWidth="1"/>
    <col min="91" max="91" width="43.42578125" style="3" bestFit="1" customWidth="1"/>
    <col min="92" max="92" width="37.140625" style="3" bestFit="1" customWidth="1"/>
    <col min="93" max="93" width="33.140625" style="3" bestFit="1" customWidth="1"/>
    <col min="94" max="94" width="35.85546875" style="3" bestFit="1" customWidth="1"/>
    <col min="95" max="95" width="30.5703125" style="3" bestFit="1" customWidth="1"/>
    <col min="96" max="16384" width="9.140625" style="3"/>
  </cols>
  <sheetData>
    <row r="1" spans="1:95" ht="15.75">
      <c r="A1" s="139" t="s">
        <v>0</v>
      </c>
      <c r="B1" s="158"/>
      <c r="C1" s="159"/>
      <c r="D1" s="160"/>
      <c r="E1" s="159"/>
      <c r="F1" s="161"/>
      <c r="G1" s="161"/>
      <c r="H1" s="162"/>
      <c r="I1" s="162"/>
      <c r="J1" s="161"/>
      <c r="K1" s="162"/>
      <c r="L1" s="163" t="s">
        <v>1</v>
      </c>
      <c r="M1" s="164">
        <v>3</v>
      </c>
      <c r="N1" s="159" t="s">
        <v>2</v>
      </c>
      <c r="O1" s="159"/>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171"/>
      <c r="CE1" s="171"/>
      <c r="CF1" s="171"/>
    </row>
    <row r="2" spans="1:95" ht="15.75">
      <c r="A2" s="172" t="s">
        <v>6023</v>
      </c>
      <c r="B2" s="173" t="s">
        <v>4424</v>
      </c>
      <c r="C2" s="174" t="s">
        <v>5</v>
      </c>
      <c r="D2" s="175" t="s">
        <v>4425</v>
      </c>
      <c r="E2" s="174" t="s">
        <v>6</v>
      </c>
      <c r="F2" s="141" t="s">
        <v>6024</v>
      </c>
      <c r="G2" s="14" t="s">
        <v>7</v>
      </c>
      <c r="H2" s="176" t="s">
        <v>8</v>
      </c>
      <c r="I2" s="177" t="s">
        <v>6025</v>
      </c>
      <c r="J2" s="141" t="s">
        <v>6026</v>
      </c>
      <c r="K2" s="176" t="s">
        <v>10</v>
      </c>
      <c r="L2" s="141" t="s">
        <v>11</v>
      </c>
      <c r="M2" s="141" t="s">
        <v>12</v>
      </c>
      <c r="N2" s="141" t="s">
        <v>13</v>
      </c>
      <c r="O2" s="141" t="s">
        <v>14</v>
      </c>
      <c r="P2" s="141" t="s">
        <v>15</v>
      </c>
      <c r="Q2" s="141" t="s">
        <v>16</v>
      </c>
      <c r="R2" s="178" t="s">
        <v>17</v>
      </c>
      <c r="S2" s="178" t="s">
        <v>18</v>
      </c>
      <c r="T2" s="178" t="s">
        <v>19</v>
      </c>
      <c r="U2" s="142" t="s">
        <v>6027</v>
      </c>
      <c r="V2" s="142" t="s">
        <v>20</v>
      </c>
      <c r="W2" s="177" t="s">
        <v>21</v>
      </c>
      <c r="X2" s="179" t="s">
        <v>22</v>
      </c>
      <c r="Y2" s="180" t="s">
        <v>23</v>
      </c>
      <c r="Z2" s="181" t="s">
        <v>24</v>
      </c>
      <c r="AA2" s="181" t="s">
        <v>25</v>
      </c>
      <c r="AB2" s="182" t="s">
        <v>26</v>
      </c>
      <c r="AC2" s="143" t="s">
        <v>27</v>
      </c>
      <c r="AD2" s="183" t="s">
        <v>28</v>
      </c>
      <c r="AE2" s="184" t="s">
        <v>29</v>
      </c>
      <c r="AF2" s="185" t="s">
        <v>30</v>
      </c>
      <c r="AG2" s="142" t="s">
        <v>6028</v>
      </c>
      <c r="AH2" s="14" t="s">
        <v>31</v>
      </c>
      <c r="AI2" s="14" t="s">
        <v>32</v>
      </c>
      <c r="AJ2" s="186" t="s">
        <v>33</v>
      </c>
      <c r="AK2" s="145" t="s">
        <v>34</v>
      </c>
      <c r="AL2" s="145" t="s">
        <v>35</v>
      </c>
      <c r="AM2" s="145" t="s">
        <v>36</v>
      </c>
      <c r="AN2" s="145" t="s">
        <v>77</v>
      </c>
      <c r="AO2" s="145" t="s">
        <v>78</v>
      </c>
      <c r="AP2" s="14"/>
      <c r="AQ2" s="14"/>
      <c r="AR2" s="14"/>
      <c r="AS2" s="14"/>
      <c r="AT2" s="14"/>
      <c r="AU2" s="14"/>
      <c r="AV2" s="14"/>
      <c r="AW2" s="14"/>
      <c r="AX2" s="14"/>
      <c r="AY2" s="14"/>
      <c r="AZ2" s="14"/>
      <c r="BA2" s="14"/>
      <c r="BB2" s="14"/>
      <c r="BC2" s="14"/>
      <c r="BD2" s="14"/>
      <c r="BE2" s="14"/>
      <c r="BF2" s="14"/>
      <c r="BG2" s="186" t="s">
        <v>37</v>
      </c>
      <c r="BH2" s="186" t="s">
        <v>38</v>
      </c>
      <c r="BI2" s="186" t="s">
        <v>39</v>
      </c>
      <c r="BJ2" s="186" t="s">
        <v>40</v>
      </c>
      <c r="BK2" s="186" t="s">
        <v>41</v>
      </c>
      <c r="BL2" s="14" t="s">
        <v>42</v>
      </c>
      <c r="BM2" s="14" t="s">
        <v>43</v>
      </c>
      <c r="BN2" s="14" t="s">
        <v>44</v>
      </c>
      <c r="BO2" s="14" t="s">
        <v>45</v>
      </c>
      <c r="BP2" s="14" t="s">
        <v>46</v>
      </c>
      <c r="BQ2" s="14" t="s">
        <v>47</v>
      </c>
      <c r="BR2" s="14" t="s">
        <v>48</v>
      </c>
      <c r="BS2" s="14" t="s">
        <v>49</v>
      </c>
      <c r="BT2" s="14" t="s">
        <v>50</v>
      </c>
      <c r="BU2" s="14" t="s">
        <v>51</v>
      </c>
      <c r="BV2" s="14" t="s">
        <v>52</v>
      </c>
      <c r="BW2" s="14" t="s">
        <v>53</v>
      </c>
      <c r="BX2" s="14" t="s">
        <v>54</v>
      </c>
      <c r="BY2" s="14" t="s">
        <v>55</v>
      </c>
      <c r="BZ2" s="14" t="s">
        <v>56</v>
      </c>
      <c r="CA2" s="14" t="s">
        <v>57</v>
      </c>
      <c r="CB2" s="14" t="s">
        <v>58</v>
      </c>
      <c r="CC2" s="187" t="s">
        <v>59</v>
      </c>
      <c r="CD2" s="140" t="s">
        <v>6029</v>
      </c>
      <c r="CE2" s="140" t="s">
        <v>6030</v>
      </c>
      <c r="CF2" s="144" t="s">
        <v>6031</v>
      </c>
      <c r="CG2" s="14" t="s">
        <v>60</v>
      </c>
      <c r="CH2" s="14" t="s">
        <v>61</v>
      </c>
      <c r="CI2" s="14" t="s">
        <v>62</v>
      </c>
      <c r="CJ2" s="14" t="s">
        <v>4426</v>
      </c>
      <c r="CK2" s="14" t="s">
        <v>64</v>
      </c>
      <c r="CL2" s="14" t="s">
        <v>65</v>
      </c>
      <c r="CM2" s="14" t="s">
        <v>66</v>
      </c>
      <c r="CN2" s="14" t="s">
        <v>67</v>
      </c>
      <c r="CO2" s="14" t="s">
        <v>68</v>
      </c>
      <c r="CP2" s="14" t="s">
        <v>69</v>
      </c>
      <c r="CQ2" s="14" t="s">
        <v>70</v>
      </c>
    </row>
    <row r="3" spans="1:95" s="28" customFormat="1" ht="18.75">
      <c r="A3" s="188" t="s">
        <v>6032</v>
      </c>
      <c r="B3" s="189" t="s">
        <v>6033</v>
      </c>
      <c r="C3" s="189" t="s">
        <v>6034</v>
      </c>
      <c r="D3" s="189" t="s">
        <v>6033</v>
      </c>
      <c r="E3" s="189" t="s">
        <v>6035</v>
      </c>
      <c r="F3" s="190" t="s">
        <v>6034</v>
      </c>
      <c r="G3" s="191"/>
      <c r="H3" s="192"/>
      <c r="I3" s="193" t="s">
        <v>6036</v>
      </c>
      <c r="J3" s="194" t="s">
        <v>9</v>
      </c>
      <c r="K3" s="192"/>
      <c r="L3" s="189"/>
      <c r="M3" s="189"/>
      <c r="N3" s="189"/>
      <c r="O3" s="189"/>
      <c r="P3" s="189" t="s">
        <v>6033</v>
      </c>
      <c r="Q3" s="189" t="s">
        <v>6033</v>
      </c>
      <c r="R3" s="195" t="s">
        <v>6033</v>
      </c>
      <c r="S3" s="195" t="s">
        <v>6033</v>
      </c>
      <c r="T3" s="195"/>
      <c r="U3" s="196" t="s">
        <v>6037</v>
      </c>
      <c r="V3" s="196"/>
      <c r="W3" s="197"/>
      <c r="X3" s="189"/>
      <c r="Y3" s="198" t="s">
        <v>76</v>
      </c>
      <c r="Z3" s="189"/>
      <c r="AA3" s="189" t="s">
        <v>79</v>
      </c>
      <c r="AB3" s="199"/>
      <c r="AC3"/>
      <c r="AD3" s="196" t="s">
        <v>6038</v>
      </c>
      <c r="AE3" s="200"/>
      <c r="AF3" s="201" t="s">
        <v>6038</v>
      </c>
      <c r="AG3" s="196" t="s">
        <v>6038</v>
      </c>
      <c r="AH3" s="191"/>
      <c r="AI3" s="191"/>
      <c r="AJ3" s="202"/>
      <c r="AK3" s="203" t="s">
        <v>6039</v>
      </c>
      <c r="AL3" s="203" t="s">
        <v>6040</v>
      </c>
      <c r="AM3" s="203" t="s">
        <v>6041</v>
      </c>
      <c r="AN3" s="203" t="s">
        <v>6042</v>
      </c>
      <c r="AO3" s="203" t="s">
        <v>6043</v>
      </c>
      <c r="AP3" s="203" t="s">
        <v>6044</v>
      </c>
      <c r="AQ3" s="203" t="s">
        <v>6045</v>
      </c>
      <c r="AR3" s="203" t="s">
        <v>6046</v>
      </c>
      <c r="AS3" s="203" t="s">
        <v>6047</v>
      </c>
      <c r="AT3" s="203" t="s">
        <v>6048</v>
      </c>
      <c r="AU3" s="203" t="s">
        <v>6049</v>
      </c>
      <c r="AV3" s="203" t="s">
        <v>6050</v>
      </c>
      <c r="AW3" s="203" t="s">
        <v>6051</v>
      </c>
      <c r="AX3" s="203" t="s">
        <v>6052</v>
      </c>
      <c r="AY3" s="203" t="s">
        <v>6053</v>
      </c>
      <c r="AZ3" s="203" t="s">
        <v>6054</v>
      </c>
      <c r="BA3" s="203" t="s">
        <v>6055</v>
      </c>
      <c r="BB3" s="203" t="s">
        <v>6056</v>
      </c>
      <c r="BC3" s="203" t="s">
        <v>6057</v>
      </c>
      <c r="BD3" s="203" t="s">
        <v>6058</v>
      </c>
      <c r="BE3" s="203" t="s">
        <v>6059</v>
      </c>
      <c r="BF3" s="203" t="s">
        <v>6060</v>
      </c>
      <c r="BG3" s="202" t="s">
        <v>34</v>
      </c>
      <c r="BH3" s="202" t="s">
        <v>35</v>
      </c>
      <c r="BI3" s="202" t="s">
        <v>36</v>
      </c>
      <c r="BJ3" s="204" t="s">
        <v>77</v>
      </c>
      <c r="BK3" s="202" t="s">
        <v>78</v>
      </c>
      <c r="BL3" s="191"/>
      <c r="BM3" s="191"/>
      <c r="BN3" s="191"/>
      <c r="BO3" s="191"/>
      <c r="BP3" s="191"/>
      <c r="BQ3" s="191"/>
      <c r="BR3" s="191"/>
      <c r="BS3" s="191"/>
      <c r="BT3" s="191"/>
      <c r="BU3" s="191"/>
      <c r="BV3" s="191"/>
      <c r="BW3" s="191"/>
      <c r="BX3" s="191"/>
      <c r="BY3" s="191"/>
      <c r="BZ3" s="191"/>
      <c r="CA3" s="191"/>
      <c r="CB3" s="191"/>
      <c r="CC3" s="205" t="s">
        <v>79</v>
      </c>
      <c r="CD3" s="171"/>
      <c r="CE3" s="171"/>
      <c r="CF3" s="171"/>
      <c r="CG3" s="28" t="s">
        <v>80</v>
      </c>
      <c r="CH3" s="28" t="s">
        <v>81</v>
      </c>
      <c r="CI3" s="28" t="s">
        <v>5</v>
      </c>
      <c r="CJ3" s="28" t="s">
        <v>82</v>
      </c>
      <c r="CK3" s="28" t="s">
        <v>5506</v>
      </c>
      <c r="CL3" s="28" t="s">
        <v>5507</v>
      </c>
      <c r="CM3" s="28" t="s">
        <v>5508</v>
      </c>
      <c r="CN3" s="28" t="s">
        <v>5509</v>
      </c>
      <c r="CO3" s="28" t="s">
        <v>5510</v>
      </c>
      <c r="CP3" s="28" t="s">
        <v>5511</v>
      </c>
      <c r="CQ3" s="28" t="s">
        <v>5512</v>
      </c>
    </row>
    <row r="4" spans="1:95" ht="12.75" customHeight="1">
      <c r="A4" s="19" t="s">
        <v>5513</v>
      </c>
      <c r="B4" s="3" t="s">
        <v>5514</v>
      </c>
      <c r="C4" s="3" t="s">
        <v>97</v>
      </c>
      <c r="D4" s="3" t="s">
        <v>5515</v>
      </c>
      <c r="E4" s="16" t="s">
        <v>97</v>
      </c>
      <c r="F4" s="131" t="s">
        <v>5516</v>
      </c>
      <c r="G4" s="108"/>
      <c r="H4" s="25"/>
      <c r="I4" s="100" t="s">
        <v>342</v>
      </c>
      <c r="J4" s="16" t="s">
        <v>101</v>
      </c>
      <c r="K4" s="16"/>
      <c r="L4" s="16" t="s">
        <v>5517</v>
      </c>
      <c r="N4" s="16"/>
      <c r="P4" s="26" t="s">
        <v>5518</v>
      </c>
      <c r="Q4" s="27" t="s">
        <v>5519</v>
      </c>
      <c r="R4" s="26" t="s">
        <v>5520</v>
      </c>
      <c r="S4" s="19" t="s">
        <v>5521</v>
      </c>
      <c r="T4" s="133" t="s">
        <v>5522</v>
      </c>
      <c r="U4" s="6">
        <v>0.33</v>
      </c>
      <c r="X4" s="31" t="s">
        <v>108</v>
      </c>
      <c r="Y4" s="93">
        <f>IF(AD4=0, 0, IF(OR(H4="", H4&lt;&gt;0), 1, 0))</f>
        <v>1</v>
      </c>
      <c r="Z4" s="3">
        <v>0</v>
      </c>
      <c r="AA4" s="3" t="s">
        <v>5523</v>
      </c>
      <c r="AD4" s="6">
        <f t="shared" ref="AD4:AD27" si="0">ROUND((AG4*(1+AJ4)),2)</f>
        <v>6.64</v>
      </c>
      <c r="AE4" s="70">
        <v>7.0061382800000001</v>
      </c>
      <c r="AF4" s="17">
        <f>AD4*1.2</f>
        <v>7.9679999999999991</v>
      </c>
      <c r="AG4" s="6">
        <f t="shared" ref="AG4:AG27" si="1">ROUND((AE4*AI4),2)</f>
        <v>4.55</v>
      </c>
      <c r="AH4" s="32" t="s">
        <v>110</v>
      </c>
      <c r="AI4" s="3">
        <v>0.65</v>
      </c>
      <c r="AJ4" s="18">
        <v>0.46</v>
      </c>
      <c r="AK4" s="6">
        <f t="shared" ref="AK4:AK27" si="2">ROUND((AD4-(AD4*BG4)),2)</f>
        <v>6.51</v>
      </c>
      <c r="AL4" s="6">
        <f t="shared" ref="AL4:AL27" si="3">ROUND((AD4-(AD4*BH4)),2)</f>
        <v>6.44</v>
      </c>
      <c r="AM4" s="6">
        <f t="shared" ref="AM4:AM27" si="4">ROUND((AD4-(AD4*BI4)),2)</f>
        <v>6.37</v>
      </c>
      <c r="AN4" s="6">
        <f t="shared" ref="AN4:AN27" si="5">ROUND((AD4-(AD4*BJ4)),2)</f>
        <v>6.31</v>
      </c>
      <c r="AO4" s="6">
        <f t="shared" ref="AO4:AO27" si="6">ROUND((AD4-(AD4*BK4)),2)</f>
        <v>6.64</v>
      </c>
      <c r="BG4" s="12">
        <v>0.02</v>
      </c>
      <c r="BH4" s="12">
        <v>0.03</v>
      </c>
      <c r="BI4" s="12">
        <v>0.04</v>
      </c>
      <c r="BJ4" s="12">
        <v>0.05</v>
      </c>
      <c r="BK4" s="12"/>
      <c r="CC4" s="3" t="str">
        <f t="shared" ref="CC4:CC27" si="7">IF(B4&lt;&gt;"",CONCATENATE(SUBSTITUTE(B4," ","-"),".jpg"),"")</f>
        <v>Allied-Moulded-AMHSPL-S.jpg</v>
      </c>
      <c r="CD4" s="16" t="s">
        <v>111</v>
      </c>
      <c r="CE4" s="3"/>
      <c r="CF4" s="3"/>
      <c r="CG4" s="3" t="s">
        <v>5524</v>
      </c>
      <c r="CI4" s="3" t="s">
        <v>97</v>
      </c>
      <c r="CK4" s="3" t="s">
        <v>482</v>
      </c>
      <c r="CL4" s="3" t="s">
        <v>5525</v>
      </c>
      <c r="CM4" s="3" t="s">
        <v>5526</v>
      </c>
      <c r="CN4" s="3" t="s">
        <v>5527</v>
      </c>
      <c r="CP4" s="3" t="s">
        <v>5527</v>
      </c>
      <c r="CQ4" s="3" t="s">
        <v>5528</v>
      </c>
    </row>
    <row r="5" spans="1:95" ht="12.75" customHeight="1">
      <c r="A5" s="19" t="s">
        <v>5529</v>
      </c>
      <c r="B5" s="3" t="s">
        <v>5530</v>
      </c>
      <c r="C5" s="3" t="s">
        <v>97</v>
      </c>
      <c r="D5" s="3" t="s">
        <v>5531</v>
      </c>
      <c r="E5" s="16" t="s">
        <v>97</v>
      </c>
      <c r="F5" s="131" t="s">
        <v>5532</v>
      </c>
      <c r="G5" s="108"/>
      <c r="H5" s="25"/>
      <c r="I5" s="100" t="s">
        <v>342</v>
      </c>
      <c r="J5" s="16" t="s">
        <v>101</v>
      </c>
      <c r="K5" s="16"/>
      <c r="L5" s="16" t="s">
        <v>5517</v>
      </c>
      <c r="N5" s="16"/>
      <c r="P5" s="26" t="s">
        <v>5533</v>
      </c>
      <c r="Q5" s="27" t="s">
        <v>5534</v>
      </c>
      <c r="R5" s="26" t="s">
        <v>5535</v>
      </c>
      <c r="S5" s="19" t="s">
        <v>5536</v>
      </c>
      <c r="T5" s="133" t="s">
        <v>5522</v>
      </c>
      <c r="U5" s="6">
        <v>0.33</v>
      </c>
      <c r="X5" s="31" t="s">
        <v>108</v>
      </c>
      <c r="Y5" s="93">
        <f t="shared" ref="Y5:Y27" si="8">IF(AD5=0, 0, IF(OR(H5="", H5&lt;&gt;0), 1, 0))</f>
        <v>1</v>
      </c>
      <c r="Z5" s="3">
        <v>0</v>
      </c>
      <c r="AA5" s="3" t="s">
        <v>5537</v>
      </c>
      <c r="AD5" s="6">
        <f t="shared" si="0"/>
        <v>6.64</v>
      </c>
      <c r="AE5" s="72">
        <v>7.0061382800000001</v>
      </c>
      <c r="AF5" s="17">
        <f t="shared" ref="AF5:AF27" si="9">AD5*1.2</f>
        <v>7.9679999999999991</v>
      </c>
      <c r="AG5" s="6">
        <f t="shared" si="1"/>
        <v>4.55</v>
      </c>
      <c r="AH5" s="32" t="s">
        <v>110</v>
      </c>
      <c r="AI5" s="3">
        <v>0.65</v>
      </c>
      <c r="AJ5" s="18">
        <v>0.46</v>
      </c>
      <c r="AK5" s="6">
        <f t="shared" si="2"/>
        <v>6.51</v>
      </c>
      <c r="AL5" s="6">
        <f t="shared" si="3"/>
        <v>6.44</v>
      </c>
      <c r="AM5" s="6">
        <f t="shared" si="4"/>
        <v>6.37</v>
      </c>
      <c r="AN5" s="6">
        <f t="shared" si="5"/>
        <v>6.31</v>
      </c>
      <c r="AO5" s="6">
        <f t="shared" si="6"/>
        <v>6.64</v>
      </c>
      <c r="BG5" s="12">
        <v>0.02</v>
      </c>
      <c r="BH5" s="12">
        <v>0.03</v>
      </c>
      <c r="BI5" s="12">
        <v>0.04</v>
      </c>
      <c r="BJ5" s="12">
        <v>0.05</v>
      </c>
      <c r="BK5" s="12"/>
      <c r="CC5" s="3" t="str">
        <f t="shared" si="7"/>
        <v>Allied-Moulded-AMHSPL.jpg</v>
      </c>
      <c r="CD5" s="16" t="s">
        <v>111</v>
      </c>
      <c r="CE5" s="3"/>
      <c r="CF5" s="3"/>
      <c r="CG5" s="3" t="s">
        <v>5524</v>
      </c>
      <c r="CI5" s="3" t="s">
        <v>97</v>
      </c>
      <c r="CK5" s="3" t="s">
        <v>482</v>
      </c>
      <c r="CL5" s="3" t="s">
        <v>5525</v>
      </c>
      <c r="CM5" s="3" t="s">
        <v>5538</v>
      </c>
      <c r="CN5" s="3" t="s">
        <v>5539</v>
      </c>
      <c r="CP5" s="3" t="s">
        <v>5539</v>
      </c>
    </row>
    <row r="6" spans="1:95" ht="12.75" customHeight="1">
      <c r="A6" s="19" t="s">
        <v>5540</v>
      </c>
      <c r="B6" s="3" t="s">
        <v>5541</v>
      </c>
      <c r="C6" s="3" t="s">
        <v>97</v>
      </c>
      <c r="D6" s="3" t="s">
        <v>5542</v>
      </c>
      <c r="E6" s="16" t="s">
        <v>97</v>
      </c>
      <c r="F6" s="131" t="s">
        <v>5543</v>
      </c>
      <c r="G6" s="108"/>
      <c r="H6" s="25"/>
      <c r="I6" s="100" t="s">
        <v>342</v>
      </c>
      <c r="J6" s="16" t="s">
        <v>101</v>
      </c>
      <c r="K6" s="16"/>
      <c r="L6" s="16" t="s">
        <v>5517</v>
      </c>
      <c r="N6" s="16"/>
      <c r="P6" s="26" t="s">
        <v>5544</v>
      </c>
      <c r="Q6" s="27" t="s">
        <v>5545</v>
      </c>
      <c r="R6" s="26" t="s">
        <v>5546</v>
      </c>
      <c r="S6" s="19" t="s">
        <v>5547</v>
      </c>
      <c r="T6" s="133" t="s">
        <v>5522</v>
      </c>
      <c r="U6" s="6">
        <v>0.33</v>
      </c>
      <c r="X6" s="31" t="s">
        <v>108</v>
      </c>
      <c r="Y6" s="93">
        <f t="shared" si="8"/>
        <v>1</v>
      </c>
      <c r="Z6" s="3">
        <v>0</v>
      </c>
      <c r="AA6" s="3" t="s">
        <v>5548</v>
      </c>
      <c r="AD6" s="6">
        <f t="shared" si="0"/>
        <v>7.12</v>
      </c>
      <c r="AE6" s="72">
        <v>7.5065781999999999</v>
      </c>
      <c r="AF6" s="17">
        <f t="shared" si="9"/>
        <v>8.5440000000000005</v>
      </c>
      <c r="AG6" s="6">
        <f t="shared" si="1"/>
        <v>4.88</v>
      </c>
      <c r="AH6" s="32" t="s">
        <v>110</v>
      </c>
      <c r="AI6" s="3">
        <v>0.65</v>
      </c>
      <c r="AJ6" s="18">
        <v>0.46</v>
      </c>
      <c r="AK6" s="6">
        <f t="shared" si="2"/>
        <v>6.98</v>
      </c>
      <c r="AL6" s="6">
        <f t="shared" si="3"/>
        <v>6.91</v>
      </c>
      <c r="AM6" s="6">
        <f t="shared" si="4"/>
        <v>6.84</v>
      </c>
      <c r="AN6" s="6">
        <f t="shared" si="5"/>
        <v>6.76</v>
      </c>
      <c r="AO6" s="6">
        <f t="shared" si="6"/>
        <v>7.12</v>
      </c>
      <c r="BG6" s="12">
        <v>0.02</v>
      </c>
      <c r="BH6" s="12">
        <v>0.03</v>
      </c>
      <c r="BI6" s="12">
        <v>0.04</v>
      </c>
      <c r="BJ6" s="12">
        <v>0.05</v>
      </c>
      <c r="BK6" s="12"/>
      <c r="CC6" s="3" t="str">
        <f t="shared" si="7"/>
        <v>Allied-Moulded-AMHS050.jpg</v>
      </c>
      <c r="CD6" s="16" t="s">
        <v>111</v>
      </c>
      <c r="CE6" s="3"/>
      <c r="CF6" s="3"/>
      <c r="CG6" s="3" t="s">
        <v>5524</v>
      </c>
      <c r="CI6" s="3" t="s">
        <v>97</v>
      </c>
      <c r="CK6" s="3" t="s">
        <v>482</v>
      </c>
      <c r="CL6" s="3" t="s">
        <v>5525</v>
      </c>
      <c r="CM6" s="3" t="s">
        <v>5539</v>
      </c>
      <c r="CN6" s="3" t="s">
        <v>5549</v>
      </c>
      <c r="CO6" s="3" t="s">
        <v>5550</v>
      </c>
    </row>
    <row r="7" spans="1:95" ht="12.75" customHeight="1">
      <c r="A7" s="19" t="s">
        <v>5551</v>
      </c>
      <c r="B7" s="3" t="s">
        <v>5552</v>
      </c>
      <c r="C7" s="3" t="s">
        <v>97</v>
      </c>
      <c r="D7" s="3" t="s">
        <v>5553</v>
      </c>
      <c r="E7" s="16" t="s">
        <v>97</v>
      </c>
      <c r="F7" s="131" t="s">
        <v>5554</v>
      </c>
      <c r="G7" s="108"/>
      <c r="H7" s="25"/>
      <c r="I7" s="100" t="s">
        <v>342</v>
      </c>
      <c r="J7" s="16" t="s">
        <v>101</v>
      </c>
      <c r="K7" s="16"/>
      <c r="L7" s="16" t="s">
        <v>5517</v>
      </c>
      <c r="N7" s="16"/>
      <c r="P7" s="26" t="s">
        <v>5555</v>
      </c>
      <c r="Q7" s="27" t="s">
        <v>5556</v>
      </c>
      <c r="R7" s="26" t="s">
        <v>5557</v>
      </c>
      <c r="S7" s="19" t="s">
        <v>5558</v>
      </c>
      <c r="T7" s="133" t="s">
        <v>5522</v>
      </c>
      <c r="U7" s="6">
        <v>0.33</v>
      </c>
      <c r="X7" s="31" t="s">
        <v>108</v>
      </c>
      <c r="Y7" s="93">
        <f t="shared" si="8"/>
        <v>1</v>
      </c>
      <c r="Z7" s="3">
        <v>0</v>
      </c>
      <c r="AA7" s="3" t="s">
        <v>5559</v>
      </c>
      <c r="AD7" s="6">
        <f t="shared" si="0"/>
        <v>8.07</v>
      </c>
      <c r="AE7" s="72">
        <v>8.5074549499999996</v>
      </c>
      <c r="AF7" s="17">
        <f t="shared" si="9"/>
        <v>9.6839999999999993</v>
      </c>
      <c r="AG7" s="6">
        <f t="shared" si="1"/>
        <v>5.53</v>
      </c>
      <c r="AH7" s="32" t="s">
        <v>110</v>
      </c>
      <c r="AI7" s="3">
        <v>0.65</v>
      </c>
      <c r="AJ7" s="18">
        <v>0.46</v>
      </c>
      <c r="AK7" s="6">
        <f t="shared" si="2"/>
        <v>7.91</v>
      </c>
      <c r="AL7" s="6">
        <f t="shared" si="3"/>
        <v>7.83</v>
      </c>
      <c r="AM7" s="6">
        <f t="shared" si="4"/>
        <v>7.75</v>
      </c>
      <c r="AN7" s="6">
        <f t="shared" si="5"/>
        <v>7.67</v>
      </c>
      <c r="AO7" s="6">
        <f t="shared" si="6"/>
        <v>8.07</v>
      </c>
      <c r="BG7" s="12">
        <v>0.02</v>
      </c>
      <c r="BH7" s="12">
        <v>0.03</v>
      </c>
      <c r="BI7" s="12">
        <v>0.04</v>
      </c>
      <c r="BJ7" s="12">
        <v>0.05</v>
      </c>
      <c r="BK7" s="12"/>
      <c r="CC7" s="3" t="str">
        <f t="shared" si="7"/>
        <v>Allied-Moulded-AMHS075.jpg</v>
      </c>
      <c r="CD7" s="16" t="s">
        <v>111</v>
      </c>
      <c r="CE7" s="3"/>
      <c r="CF7" s="3"/>
      <c r="CG7" s="3" t="s">
        <v>5524</v>
      </c>
      <c r="CI7" s="3" t="s">
        <v>97</v>
      </c>
      <c r="CK7" s="3" t="s">
        <v>482</v>
      </c>
      <c r="CL7" s="3" t="s">
        <v>5525</v>
      </c>
      <c r="CM7" s="3" t="s">
        <v>5560</v>
      </c>
      <c r="CN7" s="3" t="s">
        <v>5561</v>
      </c>
      <c r="CO7" s="3" t="s">
        <v>5562</v>
      </c>
    </row>
    <row r="8" spans="1:95" ht="12.75" customHeight="1">
      <c r="A8" s="19" t="s">
        <v>5563</v>
      </c>
      <c r="B8" s="3" t="s">
        <v>5564</v>
      </c>
      <c r="C8" s="3" t="s">
        <v>97</v>
      </c>
      <c r="D8" s="3" t="s">
        <v>5565</v>
      </c>
      <c r="E8" s="16" t="s">
        <v>97</v>
      </c>
      <c r="F8" s="131" t="s">
        <v>5566</v>
      </c>
      <c r="G8" s="108"/>
      <c r="H8" s="25"/>
      <c r="I8" s="100" t="s">
        <v>342</v>
      </c>
      <c r="J8" s="16" t="s">
        <v>101</v>
      </c>
      <c r="K8" s="16"/>
      <c r="L8" s="16" t="s">
        <v>5517</v>
      </c>
      <c r="N8" s="16"/>
      <c r="P8" s="26" t="s">
        <v>5567</v>
      </c>
      <c r="Q8" s="27" t="s">
        <v>5568</v>
      </c>
      <c r="R8" s="26" t="s">
        <v>5569</v>
      </c>
      <c r="S8" s="19" t="s">
        <v>5570</v>
      </c>
      <c r="T8" s="133" t="s">
        <v>5522</v>
      </c>
      <c r="U8" s="6">
        <v>0.33</v>
      </c>
      <c r="X8" s="31" t="s">
        <v>108</v>
      </c>
      <c r="Y8" s="93">
        <f t="shared" si="8"/>
        <v>1</v>
      </c>
      <c r="Z8" s="3">
        <v>0</v>
      </c>
      <c r="AA8" s="3" t="s">
        <v>5571</v>
      </c>
      <c r="AD8" s="6">
        <f t="shared" si="0"/>
        <v>10.51</v>
      </c>
      <c r="AE8" s="70">
        <v>11.081138609999998</v>
      </c>
      <c r="AF8" s="17">
        <f t="shared" si="9"/>
        <v>12.612</v>
      </c>
      <c r="AG8" s="6">
        <f t="shared" si="1"/>
        <v>7.2</v>
      </c>
      <c r="AH8" s="32" t="s">
        <v>110</v>
      </c>
      <c r="AI8" s="3">
        <v>0.65</v>
      </c>
      <c r="AJ8" s="18">
        <v>0.46</v>
      </c>
      <c r="AK8" s="6">
        <f t="shared" si="2"/>
        <v>10.3</v>
      </c>
      <c r="AL8" s="6">
        <f t="shared" si="3"/>
        <v>10.19</v>
      </c>
      <c r="AM8" s="6">
        <f t="shared" si="4"/>
        <v>10.09</v>
      </c>
      <c r="AN8" s="6">
        <f t="shared" si="5"/>
        <v>9.98</v>
      </c>
      <c r="AO8" s="6">
        <f t="shared" si="6"/>
        <v>10.51</v>
      </c>
      <c r="BG8" s="12">
        <v>0.02</v>
      </c>
      <c r="BH8" s="12">
        <v>0.03</v>
      </c>
      <c r="BI8" s="12">
        <v>0.04</v>
      </c>
      <c r="BJ8" s="12">
        <v>0.05</v>
      </c>
      <c r="BK8" s="12"/>
      <c r="CC8" s="3" t="str">
        <f t="shared" si="7"/>
        <v>Allied-Moulded-AMHS100.jpg</v>
      </c>
      <c r="CD8" s="16" t="s">
        <v>111</v>
      </c>
      <c r="CE8" s="3"/>
      <c r="CF8" s="3"/>
      <c r="CG8" s="3" t="s">
        <v>5524</v>
      </c>
      <c r="CI8" s="3" t="s">
        <v>97</v>
      </c>
      <c r="CK8" s="3" t="s">
        <v>482</v>
      </c>
      <c r="CL8" s="3" t="s">
        <v>5525</v>
      </c>
      <c r="CM8" s="3" t="s">
        <v>5572</v>
      </c>
      <c r="CN8" s="3" t="s">
        <v>5573</v>
      </c>
      <c r="CO8" s="3" t="s">
        <v>5574</v>
      </c>
    </row>
    <row r="9" spans="1:95" ht="12.75" customHeight="1">
      <c r="A9" s="19" t="s">
        <v>5575</v>
      </c>
      <c r="B9" s="3" t="s">
        <v>5576</v>
      </c>
      <c r="C9" s="3" t="s">
        <v>97</v>
      </c>
      <c r="D9" s="3" t="s">
        <v>5577</v>
      </c>
      <c r="E9" s="16" t="s">
        <v>97</v>
      </c>
      <c r="F9" s="131" t="s">
        <v>5578</v>
      </c>
      <c r="G9" s="108"/>
      <c r="H9" s="25"/>
      <c r="I9" s="100" t="s">
        <v>342</v>
      </c>
      <c r="J9" s="16" t="s">
        <v>101</v>
      </c>
      <c r="K9" s="16"/>
      <c r="L9" s="16" t="s">
        <v>5517</v>
      </c>
      <c r="N9" s="16"/>
      <c r="P9" s="26" t="s">
        <v>5579</v>
      </c>
      <c r="Q9" s="27" t="s">
        <v>5580</v>
      </c>
      <c r="R9" s="26" t="s">
        <v>5581</v>
      </c>
      <c r="S9" s="19" t="s">
        <v>5582</v>
      </c>
      <c r="T9" s="133" t="s">
        <v>5522</v>
      </c>
      <c r="U9" s="6">
        <v>0.33</v>
      </c>
      <c r="X9" s="31" t="s">
        <v>108</v>
      </c>
      <c r="Y9" s="93">
        <f t="shared" si="8"/>
        <v>1</v>
      </c>
      <c r="Z9" s="3">
        <v>0</v>
      </c>
      <c r="AA9" s="3" t="s">
        <v>5583</v>
      </c>
      <c r="AD9" s="6">
        <f t="shared" si="0"/>
        <v>12.89</v>
      </c>
      <c r="AE9" s="70">
        <v>13.583328940000001</v>
      </c>
      <c r="AF9" s="17">
        <f t="shared" si="9"/>
        <v>15.468</v>
      </c>
      <c r="AG9" s="6">
        <f t="shared" si="1"/>
        <v>8.83</v>
      </c>
      <c r="AH9" s="32" t="s">
        <v>110</v>
      </c>
      <c r="AI9" s="3">
        <v>0.65</v>
      </c>
      <c r="AJ9" s="18">
        <v>0.46</v>
      </c>
      <c r="AK9" s="6">
        <f t="shared" si="2"/>
        <v>12.63</v>
      </c>
      <c r="AL9" s="6">
        <f t="shared" si="3"/>
        <v>12.5</v>
      </c>
      <c r="AM9" s="6">
        <f t="shared" si="4"/>
        <v>12.37</v>
      </c>
      <c r="AN9" s="6">
        <f t="shared" si="5"/>
        <v>12.25</v>
      </c>
      <c r="AO9" s="6">
        <f t="shared" si="6"/>
        <v>12.89</v>
      </c>
      <c r="BG9" s="12">
        <v>0.02</v>
      </c>
      <c r="BH9" s="12">
        <v>0.03</v>
      </c>
      <c r="BI9" s="12">
        <v>0.04</v>
      </c>
      <c r="BJ9" s="12">
        <v>0.05</v>
      </c>
      <c r="BK9" s="12"/>
      <c r="BQ9" s="21"/>
      <c r="BR9" s="21"/>
      <c r="BS9" s="21"/>
      <c r="BT9" s="21"/>
      <c r="BU9" s="21"/>
      <c r="BV9" s="21"/>
      <c r="BW9" s="21"/>
      <c r="BX9" s="21"/>
      <c r="BY9" s="21"/>
      <c r="BZ9" s="21"/>
      <c r="CA9" s="21"/>
      <c r="CB9" s="21"/>
      <c r="CC9" s="3" t="str">
        <f t="shared" si="7"/>
        <v>Allied-Moulded-AMHS125.jpg</v>
      </c>
      <c r="CD9" s="16" t="s">
        <v>111</v>
      </c>
      <c r="CE9" s="3"/>
      <c r="CF9" s="3"/>
      <c r="CG9" s="3" t="s">
        <v>5524</v>
      </c>
      <c r="CI9" s="3" t="s">
        <v>97</v>
      </c>
      <c r="CK9" s="3" t="s">
        <v>482</v>
      </c>
      <c r="CL9" s="3" t="s">
        <v>5525</v>
      </c>
      <c r="CM9" s="3" t="s">
        <v>5584</v>
      </c>
      <c r="CN9" s="3" t="s">
        <v>5585</v>
      </c>
      <c r="CO9" s="3" t="s">
        <v>5586</v>
      </c>
    </row>
    <row r="10" spans="1:95" ht="12.75" customHeight="1">
      <c r="A10" s="19" t="s">
        <v>5587</v>
      </c>
      <c r="B10" s="3" t="s">
        <v>5588</v>
      </c>
      <c r="C10" s="3" t="s">
        <v>97</v>
      </c>
      <c r="D10" s="3" t="s">
        <v>5589</v>
      </c>
      <c r="E10" s="16" t="s">
        <v>97</v>
      </c>
      <c r="F10" s="131" t="s">
        <v>5590</v>
      </c>
      <c r="G10" s="108"/>
      <c r="H10" s="25"/>
      <c r="I10" s="100" t="s">
        <v>342</v>
      </c>
      <c r="J10" s="16" t="s">
        <v>101</v>
      </c>
      <c r="K10" s="16"/>
      <c r="L10" s="16" t="s">
        <v>5517</v>
      </c>
      <c r="N10" s="16"/>
      <c r="P10" s="26" t="s">
        <v>5591</v>
      </c>
      <c r="Q10" s="27" t="s">
        <v>5592</v>
      </c>
      <c r="R10" s="26" t="s">
        <v>5593</v>
      </c>
      <c r="S10" s="19" t="s">
        <v>5594</v>
      </c>
      <c r="T10" s="133" t="s">
        <v>5522</v>
      </c>
      <c r="U10" s="6">
        <v>0.33</v>
      </c>
      <c r="X10" s="31" t="s">
        <v>108</v>
      </c>
      <c r="Y10" s="93">
        <f t="shared" si="8"/>
        <v>1</v>
      </c>
      <c r="Z10" s="3">
        <v>0</v>
      </c>
      <c r="AA10" s="3" t="s">
        <v>5595</v>
      </c>
      <c r="AD10" s="6">
        <f t="shared" si="0"/>
        <v>14.92</v>
      </c>
      <c r="AE10" s="70">
        <v>15.728066009999999</v>
      </c>
      <c r="AF10" s="17">
        <f t="shared" si="9"/>
        <v>17.904</v>
      </c>
      <c r="AG10" s="6">
        <f t="shared" si="1"/>
        <v>10.220000000000001</v>
      </c>
      <c r="AH10" s="32" t="s">
        <v>110</v>
      </c>
      <c r="AI10" s="3">
        <v>0.65</v>
      </c>
      <c r="AJ10" s="18">
        <v>0.46</v>
      </c>
      <c r="AK10" s="6">
        <f t="shared" si="2"/>
        <v>14.62</v>
      </c>
      <c r="AL10" s="6">
        <f t="shared" si="3"/>
        <v>14.47</v>
      </c>
      <c r="AM10" s="6">
        <f t="shared" si="4"/>
        <v>14.32</v>
      </c>
      <c r="AN10" s="6">
        <f t="shared" si="5"/>
        <v>14.17</v>
      </c>
      <c r="AO10" s="6">
        <f t="shared" si="6"/>
        <v>14.92</v>
      </c>
      <c r="BG10" s="12">
        <v>0.02</v>
      </c>
      <c r="BH10" s="12">
        <v>0.03</v>
      </c>
      <c r="BI10" s="12">
        <v>0.04</v>
      </c>
      <c r="BJ10" s="12">
        <v>0.05</v>
      </c>
      <c r="BK10" s="12"/>
      <c r="CC10" s="3" t="str">
        <f t="shared" si="7"/>
        <v>Allied-Moulded-AMHS150.jpg</v>
      </c>
      <c r="CD10" s="16" t="s">
        <v>111</v>
      </c>
      <c r="CE10" s="3"/>
      <c r="CF10" s="3"/>
      <c r="CG10" s="3" t="s">
        <v>5524</v>
      </c>
      <c r="CI10" s="3" t="s">
        <v>97</v>
      </c>
      <c r="CK10" s="3" t="s">
        <v>482</v>
      </c>
      <c r="CL10" s="3" t="s">
        <v>5525</v>
      </c>
      <c r="CM10" s="3" t="s">
        <v>4132</v>
      </c>
      <c r="CN10" s="3" t="s">
        <v>5596</v>
      </c>
      <c r="CO10" s="3" t="s">
        <v>5597</v>
      </c>
    </row>
    <row r="11" spans="1:95" ht="12.75" customHeight="1">
      <c r="A11" s="19" t="s">
        <v>5598</v>
      </c>
      <c r="B11" s="3" t="s">
        <v>5599</v>
      </c>
      <c r="C11" s="3" t="s">
        <v>97</v>
      </c>
      <c r="D11" s="3" t="s">
        <v>5600</v>
      </c>
      <c r="E11" s="16" t="s">
        <v>97</v>
      </c>
      <c r="F11" s="131" t="s">
        <v>5543</v>
      </c>
      <c r="G11" s="108"/>
      <c r="H11" s="25"/>
      <c r="I11" s="100" t="s">
        <v>342</v>
      </c>
      <c r="J11" s="16" t="s">
        <v>101</v>
      </c>
      <c r="K11" s="16"/>
      <c r="L11" s="16" t="s">
        <v>5517</v>
      </c>
      <c r="N11" s="16"/>
      <c r="P11" s="26" t="s">
        <v>5601</v>
      </c>
      <c r="Q11" s="27" t="s">
        <v>5602</v>
      </c>
      <c r="R11" s="26" t="s">
        <v>5603</v>
      </c>
      <c r="S11" s="19" t="s">
        <v>5604</v>
      </c>
      <c r="T11" s="133" t="s">
        <v>5522</v>
      </c>
      <c r="U11" s="6">
        <v>0.33</v>
      </c>
      <c r="X11" s="31" t="s">
        <v>108</v>
      </c>
      <c r="Y11" s="93">
        <f t="shared" si="8"/>
        <v>1</v>
      </c>
      <c r="Z11" s="3">
        <v>0</v>
      </c>
      <c r="AA11" s="3" t="s">
        <v>5605</v>
      </c>
      <c r="AD11" s="6">
        <f t="shared" si="0"/>
        <v>17.579999999999998</v>
      </c>
      <c r="AE11" s="70">
        <v>18.516224510000001</v>
      </c>
      <c r="AF11" s="17">
        <f t="shared" si="9"/>
        <v>21.095999999999997</v>
      </c>
      <c r="AG11" s="6">
        <f t="shared" si="1"/>
        <v>12.04</v>
      </c>
      <c r="AH11" s="32" t="s">
        <v>110</v>
      </c>
      <c r="AI11" s="3">
        <v>0.65</v>
      </c>
      <c r="AJ11" s="18">
        <v>0.46</v>
      </c>
      <c r="AK11" s="6">
        <f t="shared" si="2"/>
        <v>17.23</v>
      </c>
      <c r="AL11" s="6">
        <f t="shared" si="3"/>
        <v>17.05</v>
      </c>
      <c r="AM11" s="6">
        <f t="shared" si="4"/>
        <v>16.88</v>
      </c>
      <c r="AN11" s="6">
        <f t="shared" si="5"/>
        <v>16.7</v>
      </c>
      <c r="AO11" s="6">
        <f t="shared" si="6"/>
        <v>17.579999999999998</v>
      </c>
      <c r="BG11" s="12">
        <v>0.02</v>
      </c>
      <c r="BH11" s="12">
        <v>0.03</v>
      </c>
      <c r="BI11" s="12">
        <v>0.04</v>
      </c>
      <c r="BJ11" s="12">
        <v>0.05</v>
      </c>
      <c r="BK11" s="12"/>
      <c r="CC11" s="3" t="str">
        <f t="shared" si="7"/>
        <v>Allied-Moulded-AMHS200.jpg</v>
      </c>
      <c r="CD11" s="16" t="s">
        <v>111</v>
      </c>
      <c r="CE11" s="3"/>
      <c r="CF11" s="3"/>
      <c r="CG11" s="3" t="s">
        <v>5524</v>
      </c>
      <c r="CI11" s="3" t="s">
        <v>97</v>
      </c>
      <c r="CK11" s="3" t="s">
        <v>482</v>
      </c>
      <c r="CL11" s="3" t="s">
        <v>5525</v>
      </c>
      <c r="CM11" s="3" t="s">
        <v>5606</v>
      </c>
      <c r="CN11" s="3" t="s">
        <v>5607</v>
      </c>
      <c r="CO11" s="3" t="s">
        <v>5608</v>
      </c>
    </row>
    <row r="12" spans="1:95" ht="12.75" customHeight="1">
      <c r="A12" s="19" t="s">
        <v>5609</v>
      </c>
      <c r="B12" s="3" t="s">
        <v>5610</v>
      </c>
      <c r="C12" s="3" t="s">
        <v>97</v>
      </c>
      <c r="D12" s="3" t="s">
        <v>5611</v>
      </c>
      <c r="E12" s="16" t="s">
        <v>97</v>
      </c>
      <c r="F12" s="131" t="s">
        <v>5612</v>
      </c>
      <c r="G12" s="108"/>
      <c r="H12" s="25"/>
      <c r="I12" s="100" t="s">
        <v>342</v>
      </c>
      <c r="J12" s="16" t="s">
        <v>101</v>
      </c>
      <c r="K12" s="16"/>
      <c r="L12" s="16" t="s">
        <v>5517</v>
      </c>
      <c r="N12" s="16"/>
      <c r="P12" s="26" t="s">
        <v>5613</v>
      </c>
      <c r="Q12" s="27" t="s">
        <v>5614</v>
      </c>
      <c r="R12" s="26" t="s">
        <v>5615</v>
      </c>
      <c r="S12" s="19" t="s">
        <v>5616</v>
      </c>
      <c r="T12" s="133" t="s">
        <v>5522</v>
      </c>
      <c r="U12" s="6">
        <v>0.33</v>
      </c>
      <c r="X12" s="31" t="s">
        <v>108</v>
      </c>
      <c r="Y12" s="93">
        <f t="shared" si="8"/>
        <v>1</v>
      </c>
      <c r="Z12" s="3">
        <v>0</v>
      </c>
      <c r="AA12" s="3" t="s">
        <v>5617</v>
      </c>
      <c r="AD12" s="6">
        <f t="shared" si="0"/>
        <v>23.74</v>
      </c>
      <c r="AE12" s="70">
        <v>25.021922870000001</v>
      </c>
      <c r="AF12" s="17">
        <f t="shared" si="9"/>
        <v>28.487999999999996</v>
      </c>
      <c r="AG12" s="6">
        <f t="shared" si="1"/>
        <v>16.260000000000002</v>
      </c>
      <c r="AH12" s="32" t="s">
        <v>110</v>
      </c>
      <c r="AI12" s="3">
        <v>0.65</v>
      </c>
      <c r="AJ12" s="18">
        <v>0.46</v>
      </c>
      <c r="AK12" s="6">
        <f t="shared" si="2"/>
        <v>23.27</v>
      </c>
      <c r="AL12" s="6">
        <f t="shared" si="3"/>
        <v>23.03</v>
      </c>
      <c r="AM12" s="6">
        <f t="shared" si="4"/>
        <v>22.79</v>
      </c>
      <c r="AN12" s="6">
        <f t="shared" si="5"/>
        <v>22.55</v>
      </c>
      <c r="AO12" s="6">
        <f t="shared" si="6"/>
        <v>23.74</v>
      </c>
      <c r="BG12" s="12">
        <v>0.02</v>
      </c>
      <c r="BH12" s="12">
        <v>0.03</v>
      </c>
      <c r="BI12" s="12">
        <v>0.04</v>
      </c>
      <c r="BJ12" s="12">
        <v>0.05</v>
      </c>
      <c r="BK12" s="12"/>
      <c r="CC12" s="3" t="str">
        <f t="shared" si="7"/>
        <v>Allied-Moulded-AMHS250.jpg</v>
      </c>
      <c r="CD12" s="16" t="s">
        <v>111</v>
      </c>
      <c r="CE12" s="3"/>
      <c r="CF12" s="3"/>
      <c r="CG12" s="3" t="s">
        <v>5524</v>
      </c>
      <c r="CI12" s="3" t="s">
        <v>97</v>
      </c>
      <c r="CK12" s="3" t="s">
        <v>482</v>
      </c>
      <c r="CL12" s="3" t="s">
        <v>5525</v>
      </c>
      <c r="CM12" s="3" t="s">
        <v>5618</v>
      </c>
      <c r="CN12" s="3" t="s">
        <v>5619</v>
      </c>
      <c r="CO12" s="3" t="s">
        <v>5620</v>
      </c>
    </row>
    <row r="13" spans="1:95" ht="12.75" customHeight="1">
      <c r="A13" s="19" t="s">
        <v>5621</v>
      </c>
      <c r="B13" s="3" t="s">
        <v>5622</v>
      </c>
      <c r="C13" s="3" t="s">
        <v>97</v>
      </c>
      <c r="D13" s="3" t="s">
        <v>5623</v>
      </c>
      <c r="E13" s="16" t="s">
        <v>97</v>
      </c>
      <c r="F13" s="131" t="s">
        <v>5624</v>
      </c>
      <c r="G13" s="108"/>
      <c r="H13" s="25"/>
      <c r="I13" s="100" t="s">
        <v>342</v>
      </c>
      <c r="J13" s="16" t="s">
        <v>101</v>
      </c>
      <c r="K13" s="16"/>
      <c r="L13" s="16" t="s">
        <v>5517</v>
      </c>
      <c r="N13" s="16"/>
      <c r="P13" s="26" t="s">
        <v>5625</v>
      </c>
      <c r="Q13" s="27" t="s">
        <v>5626</v>
      </c>
      <c r="R13" s="26" t="s">
        <v>5627</v>
      </c>
      <c r="S13" s="19" t="s">
        <v>5628</v>
      </c>
      <c r="T13" s="133" t="s">
        <v>5522</v>
      </c>
      <c r="U13" s="6">
        <v>0.33</v>
      </c>
      <c r="X13" s="31" t="s">
        <v>108</v>
      </c>
      <c r="Y13" s="93">
        <f t="shared" si="8"/>
        <v>1</v>
      </c>
      <c r="Z13" s="3">
        <v>0</v>
      </c>
      <c r="AA13" s="3" t="s">
        <v>5629</v>
      </c>
      <c r="AD13" s="6">
        <f t="shared" si="0"/>
        <v>28.5</v>
      </c>
      <c r="AE13" s="70">
        <v>30.02630765</v>
      </c>
      <c r="AF13" s="17">
        <f t="shared" si="9"/>
        <v>34.199999999999996</v>
      </c>
      <c r="AG13" s="6">
        <f t="shared" si="1"/>
        <v>19.52</v>
      </c>
      <c r="AH13" s="32" t="s">
        <v>110</v>
      </c>
      <c r="AI13" s="3">
        <v>0.65</v>
      </c>
      <c r="AJ13" s="18">
        <v>0.46</v>
      </c>
      <c r="AK13" s="6">
        <f t="shared" si="2"/>
        <v>27.93</v>
      </c>
      <c r="AL13" s="6">
        <f t="shared" si="3"/>
        <v>27.65</v>
      </c>
      <c r="AM13" s="6">
        <f t="shared" si="4"/>
        <v>27.36</v>
      </c>
      <c r="AN13" s="6">
        <f t="shared" si="5"/>
        <v>27.08</v>
      </c>
      <c r="AO13" s="6">
        <f t="shared" si="6"/>
        <v>28.5</v>
      </c>
      <c r="BG13" s="12">
        <v>0.02</v>
      </c>
      <c r="BH13" s="12">
        <v>0.03</v>
      </c>
      <c r="BI13" s="12">
        <v>0.04</v>
      </c>
      <c r="BJ13" s="12">
        <v>0.05</v>
      </c>
      <c r="BK13" s="12"/>
      <c r="CC13" s="3" t="str">
        <f t="shared" si="7"/>
        <v>Allied-Moulded-AMHS300.jpg</v>
      </c>
      <c r="CD13" s="16" t="s">
        <v>111</v>
      </c>
      <c r="CE13" s="3"/>
      <c r="CF13" s="3"/>
      <c r="CG13" s="3" t="s">
        <v>5524</v>
      </c>
      <c r="CI13" s="3" t="s">
        <v>97</v>
      </c>
      <c r="CK13" s="3" t="s">
        <v>482</v>
      </c>
      <c r="CL13" s="3" t="s">
        <v>5525</v>
      </c>
      <c r="CM13" s="3" t="s">
        <v>5630</v>
      </c>
      <c r="CN13" s="3" t="s">
        <v>5631</v>
      </c>
      <c r="CO13" s="3" t="s">
        <v>5632</v>
      </c>
    </row>
    <row r="14" spans="1:95" ht="12.75" customHeight="1">
      <c r="A14" s="19" t="s">
        <v>5633</v>
      </c>
      <c r="B14" s="3" t="s">
        <v>5634</v>
      </c>
      <c r="C14" s="3" t="s">
        <v>97</v>
      </c>
      <c r="D14" s="3" t="s">
        <v>5635</v>
      </c>
      <c r="E14" s="16" t="s">
        <v>97</v>
      </c>
      <c r="F14" s="131" t="s">
        <v>5636</v>
      </c>
      <c r="G14" s="108"/>
      <c r="H14" s="25"/>
      <c r="I14" s="100" t="s">
        <v>342</v>
      </c>
      <c r="J14" s="16" t="s">
        <v>101</v>
      </c>
      <c r="K14" s="16"/>
      <c r="L14" s="16" t="s">
        <v>5517</v>
      </c>
      <c r="N14" s="16"/>
      <c r="P14" s="26" t="s">
        <v>5637</v>
      </c>
      <c r="Q14" s="27" t="s">
        <v>5638</v>
      </c>
      <c r="R14" s="26" t="s">
        <v>5639</v>
      </c>
      <c r="S14" s="19" t="s">
        <v>5640</v>
      </c>
      <c r="T14" s="133" t="s">
        <v>5522</v>
      </c>
      <c r="U14" s="6">
        <v>0.33</v>
      </c>
      <c r="X14" s="31" t="s">
        <v>108</v>
      </c>
      <c r="Y14" s="93">
        <f t="shared" si="8"/>
        <v>1</v>
      </c>
      <c r="Z14" s="3">
        <v>0</v>
      </c>
      <c r="AA14" s="3" t="s">
        <v>5641</v>
      </c>
      <c r="AD14" s="6">
        <f t="shared" si="0"/>
        <v>32.57</v>
      </c>
      <c r="AE14" s="70">
        <v>34.315779730000003</v>
      </c>
      <c r="AF14" s="17">
        <f t="shared" si="9"/>
        <v>39.083999999999996</v>
      </c>
      <c r="AG14" s="6">
        <f t="shared" si="1"/>
        <v>22.31</v>
      </c>
      <c r="AH14" s="32" t="s">
        <v>110</v>
      </c>
      <c r="AI14" s="3">
        <v>0.65</v>
      </c>
      <c r="AJ14" s="18">
        <v>0.46</v>
      </c>
      <c r="AK14" s="6">
        <f t="shared" si="2"/>
        <v>31.92</v>
      </c>
      <c r="AL14" s="6">
        <f t="shared" si="3"/>
        <v>31.59</v>
      </c>
      <c r="AM14" s="6">
        <f t="shared" si="4"/>
        <v>31.27</v>
      </c>
      <c r="AN14" s="6">
        <f t="shared" si="5"/>
        <v>30.94</v>
      </c>
      <c r="AO14" s="6">
        <f t="shared" si="6"/>
        <v>32.57</v>
      </c>
      <c r="BG14" s="12">
        <v>0.02</v>
      </c>
      <c r="BH14" s="12">
        <v>0.03</v>
      </c>
      <c r="BI14" s="12">
        <v>0.04</v>
      </c>
      <c r="BJ14" s="12">
        <v>0.05</v>
      </c>
      <c r="BK14" s="12"/>
      <c r="CC14" s="3" t="str">
        <f t="shared" si="7"/>
        <v>Allied-Moulded-AMHS350.jpg</v>
      </c>
      <c r="CD14" s="16" t="s">
        <v>111</v>
      </c>
      <c r="CE14" s="3"/>
      <c r="CF14" s="3"/>
      <c r="CG14" s="3" t="s">
        <v>5524</v>
      </c>
      <c r="CI14" s="3" t="s">
        <v>97</v>
      </c>
      <c r="CK14" s="3" t="s">
        <v>482</v>
      </c>
      <c r="CL14" s="3" t="s">
        <v>5525</v>
      </c>
      <c r="CM14" s="3" t="s">
        <v>657</v>
      </c>
      <c r="CN14" s="3" t="s">
        <v>5642</v>
      </c>
      <c r="CO14" s="3" t="s">
        <v>5643</v>
      </c>
    </row>
    <row r="15" spans="1:95" ht="12.75" customHeight="1">
      <c r="A15" s="19" t="s">
        <v>5644</v>
      </c>
      <c r="B15" s="3" t="s">
        <v>5645</v>
      </c>
      <c r="C15" s="3" t="s">
        <v>97</v>
      </c>
      <c r="D15" s="3" t="s">
        <v>5646</v>
      </c>
      <c r="E15" s="16" t="s">
        <v>97</v>
      </c>
      <c r="F15" s="131" t="s">
        <v>5647</v>
      </c>
      <c r="G15" s="108"/>
      <c r="H15" s="25"/>
      <c r="I15" s="100" t="s">
        <v>342</v>
      </c>
      <c r="J15" s="16" t="s">
        <v>101</v>
      </c>
      <c r="K15" s="16"/>
      <c r="L15" s="16" t="s">
        <v>5517</v>
      </c>
      <c r="N15" s="16"/>
      <c r="P15" s="26" t="s">
        <v>5648</v>
      </c>
      <c r="Q15" s="27" t="s">
        <v>5649</v>
      </c>
      <c r="R15" s="26" t="s">
        <v>5650</v>
      </c>
      <c r="S15" s="19" t="s">
        <v>5651</v>
      </c>
      <c r="T15" s="133" t="s">
        <v>5522</v>
      </c>
      <c r="U15" s="6">
        <v>0.33</v>
      </c>
      <c r="X15" s="31" t="s">
        <v>108</v>
      </c>
      <c r="Y15" s="93">
        <f t="shared" si="8"/>
        <v>1</v>
      </c>
      <c r="Z15" s="3">
        <v>0</v>
      </c>
      <c r="AA15" s="3" t="s">
        <v>5652</v>
      </c>
      <c r="AD15" s="6">
        <f t="shared" si="0"/>
        <v>37.99</v>
      </c>
      <c r="AE15" s="70">
        <v>40.035076179999997</v>
      </c>
      <c r="AF15" s="17">
        <f t="shared" si="9"/>
        <v>45.588000000000001</v>
      </c>
      <c r="AG15" s="6">
        <f t="shared" si="1"/>
        <v>26.02</v>
      </c>
      <c r="AH15" s="32" t="s">
        <v>110</v>
      </c>
      <c r="AI15" s="3">
        <v>0.65</v>
      </c>
      <c r="AJ15" s="18">
        <v>0.46</v>
      </c>
      <c r="AK15" s="6">
        <f t="shared" si="2"/>
        <v>37.229999999999997</v>
      </c>
      <c r="AL15" s="6">
        <f t="shared" si="3"/>
        <v>36.85</v>
      </c>
      <c r="AM15" s="6">
        <f t="shared" si="4"/>
        <v>36.47</v>
      </c>
      <c r="AN15" s="6">
        <f t="shared" si="5"/>
        <v>36.090000000000003</v>
      </c>
      <c r="AO15" s="6">
        <f t="shared" si="6"/>
        <v>37.99</v>
      </c>
      <c r="BG15" s="12">
        <v>0.02</v>
      </c>
      <c r="BH15" s="12">
        <v>0.03</v>
      </c>
      <c r="BI15" s="12">
        <v>0.04</v>
      </c>
      <c r="BJ15" s="12">
        <v>0.05</v>
      </c>
      <c r="BK15" s="12"/>
      <c r="BQ15" s="21"/>
      <c r="BR15" s="21"/>
      <c r="BS15" s="21"/>
      <c r="BT15" s="21"/>
      <c r="BU15" s="21"/>
      <c r="BV15" s="21"/>
      <c r="BW15" s="21"/>
      <c r="BX15" s="21"/>
      <c r="BY15" s="21"/>
      <c r="BZ15" s="21"/>
      <c r="CA15" s="21"/>
      <c r="CB15" s="21"/>
      <c r="CC15" s="3" t="str">
        <f t="shared" si="7"/>
        <v>Allied-Moulded-AMHS400.jpg</v>
      </c>
      <c r="CD15" s="16" t="s">
        <v>111</v>
      </c>
      <c r="CE15" s="3"/>
      <c r="CF15" s="3"/>
      <c r="CG15" s="3" t="s">
        <v>5524</v>
      </c>
      <c r="CI15" s="3" t="s">
        <v>97</v>
      </c>
      <c r="CK15" s="3" t="s">
        <v>482</v>
      </c>
      <c r="CL15" s="3" t="s">
        <v>5525</v>
      </c>
      <c r="CM15" s="3" t="s">
        <v>5653</v>
      </c>
      <c r="CN15" s="3" t="s">
        <v>5654</v>
      </c>
      <c r="CO15" s="3" t="s">
        <v>5655</v>
      </c>
    </row>
    <row r="16" spans="1:95" ht="12.75" customHeight="1">
      <c r="A16" s="19" t="s">
        <v>5656</v>
      </c>
      <c r="B16" s="3" t="s">
        <v>5657</v>
      </c>
      <c r="C16" s="3" t="s">
        <v>97</v>
      </c>
      <c r="D16" s="3" t="s">
        <v>5658</v>
      </c>
      <c r="E16" s="16" t="s">
        <v>97</v>
      </c>
      <c r="F16" s="131" t="s">
        <v>5530</v>
      </c>
      <c r="G16" s="108"/>
      <c r="H16" s="25"/>
      <c r="I16" s="100" t="s">
        <v>342</v>
      </c>
      <c r="J16" s="16" t="s">
        <v>101</v>
      </c>
      <c r="K16" s="16"/>
      <c r="L16" s="16" t="s">
        <v>5517</v>
      </c>
      <c r="N16" s="16"/>
      <c r="P16" s="26" t="s">
        <v>5659</v>
      </c>
      <c r="Q16" s="27" t="s">
        <v>5660</v>
      </c>
      <c r="R16" s="26" t="s">
        <v>5661</v>
      </c>
      <c r="S16" s="19" t="s">
        <v>5662</v>
      </c>
      <c r="T16" s="133" t="s">
        <v>5522</v>
      </c>
      <c r="U16" s="6">
        <v>0.33</v>
      </c>
      <c r="X16" s="31" t="s">
        <v>108</v>
      </c>
      <c r="Y16" s="93">
        <f t="shared" si="8"/>
        <v>1</v>
      </c>
      <c r="Z16" s="3">
        <v>0</v>
      </c>
      <c r="AA16" s="3" t="s">
        <v>5663</v>
      </c>
      <c r="AD16" s="6">
        <f t="shared" si="0"/>
        <v>6.64</v>
      </c>
      <c r="AE16" s="70">
        <v>7.0061382800000001</v>
      </c>
      <c r="AF16" s="17">
        <f t="shared" si="9"/>
        <v>7.9679999999999991</v>
      </c>
      <c r="AG16" s="6">
        <f t="shared" si="1"/>
        <v>4.55</v>
      </c>
      <c r="AH16" s="32" t="s">
        <v>110</v>
      </c>
      <c r="AI16" s="3">
        <v>0.65</v>
      </c>
      <c r="AJ16" s="18">
        <v>0.46</v>
      </c>
      <c r="AK16" s="6">
        <f t="shared" si="2"/>
        <v>6.51</v>
      </c>
      <c r="AL16" s="6">
        <f t="shared" si="3"/>
        <v>6.44</v>
      </c>
      <c r="AM16" s="6">
        <f t="shared" si="4"/>
        <v>6.37</v>
      </c>
      <c r="AN16" s="6">
        <f t="shared" si="5"/>
        <v>6.31</v>
      </c>
      <c r="AO16" s="6">
        <f t="shared" si="6"/>
        <v>6.64</v>
      </c>
      <c r="BG16" s="12">
        <v>0.02</v>
      </c>
      <c r="BH16" s="12">
        <v>0.03</v>
      </c>
      <c r="BI16" s="12">
        <v>0.04</v>
      </c>
      <c r="BJ16" s="12">
        <v>0.05</v>
      </c>
      <c r="BK16" s="12"/>
      <c r="CC16" s="3" t="str">
        <f t="shared" si="7"/>
        <v>Allied-Moulded-AMHSPL-SGY.jpg</v>
      </c>
      <c r="CD16" s="16" t="s">
        <v>111</v>
      </c>
      <c r="CE16" s="3"/>
      <c r="CF16" s="3"/>
      <c r="CG16" s="3" t="s">
        <v>5524</v>
      </c>
      <c r="CI16" s="3" t="s">
        <v>97</v>
      </c>
      <c r="CK16" s="3" t="s">
        <v>482</v>
      </c>
      <c r="CL16" s="3" t="s">
        <v>5664</v>
      </c>
      <c r="CM16" s="3" t="s">
        <v>5526</v>
      </c>
      <c r="CN16" s="3" t="s">
        <v>5527</v>
      </c>
      <c r="CP16" s="3" t="s">
        <v>5527</v>
      </c>
      <c r="CQ16" s="3" t="s">
        <v>5528</v>
      </c>
    </row>
    <row r="17" spans="1:94" ht="12.75" customHeight="1">
      <c r="A17" s="19" t="s">
        <v>5665</v>
      </c>
      <c r="B17" s="3" t="s">
        <v>5532</v>
      </c>
      <c r="C17" s="3" t="s">
        <v>97</v>
      </c>
      <c r="D17" s="3" t="s">
        <v>5666</v>
      </c>
      <c r="E17" s="16" t="s">
        <v>97</v>
      </c>
      <c r="F17" s="131" t="s">
        <v>5530</v>
      </c>
      <c r="G17" s="108"/>
      <c r="H17" s="25"/>
      <c r="I17" s="100" t="s">
        <v>342</v>
      </c>
      <c r="J17" s="16" t="s">
        <v>101</v>
      </c>
      <c r="K17" s="16"/>
      <c r="L17" s="16" t="s">
        <v>5517</v>
      </c>
      <c r="N17" s="16"/>
      <c r="P17" s="26" t="s">
        <v>5667</v>
      </c>
      <c r="Q17" s="27" t="s">
        <v>5668</v>
      </c>
      <c r="R17" s="26" t="s">
        <v>5669</v>
      </c>
      <c r="S17" s="19" t="s">
        <v>5670</v>
      </c>
      <c r="T17" s="133" t="s">
        <v>5522</v>
      </c>
      <c r="U17" s="6">
        <v>0.33</v>
      </c>
      <c r="X17" s="31" t="s">
        <v>108</v>
      </c>
      <c r="Y17" s="93">
        <f t="shared" si="8"/>
        <v>1</v>
      </c>
      <c r="Z17" s="3">
        <v>0</v>
      </c>
      <c r="AA17" s="3" t="s">
        <v>5671</v>
      </c>
      <c r="AD17" s="6">
        <f t="shared" si="0"/>
        <v>6.64</v>
      </c>
      <c r="AE17" s="72">
        <v>7.0061382800000001</v>
      </c>
      <c r="AF17" s="17">
        <f t="shared" si="9"/>
        <v>7.9679999999999991</v>
      </c>
      <c r="AG17" s="6">
        <f t="shared" si="1"/>
        <v>4.55</v>
      </c>
      <c r="AH17" s="32" t="s">
        <v>110</v>
      </c>
      <c r="AI17" s="3">
        <v>0.65</v>
      </c>
      <c r="AJ17" s="18">
        <v>0.46</v>
      </c>
      <c r="AK17" s="6">
        <f t="shared" si="2"/>
        <v>6.51</v>
      </c>
      <c r="AL17" s="6">
        <f t="shared" si="3"/>
        <v>6.44</v>
      </c>
      <c r="AM17" s="6">
        <f t="shared" si="4"/>
        <v>6.37</v>
      </c>
      <c r="AN17" s="6">
        <f t="shared" si="5"/>
        <v>6.31</v>
      </c>
      <c r="AO17" s="6">
        <f t="shared" si="6"/>
        <v>6.64</v>
      </c>
      <c r="BG17" s="12">
        <v>0.02</v>
      </c>
      <c r="BH17" s="12">
        <v>0.03</v>
      </c>
      <c r="BI17" s="12">
        <v>0.04</v>
      </c>
      <c r="BJ17" s="12">
        <v>0.05</v>
      </c>
      <c r="BK17" s="12"/>
      <c r="CC17" s="3" t="str">
        <f t="shared" si="7"/>
        <v>Allied-Moulded-AMHSPL-GY.jpg</v>
      </c>
      <c r="CD17" s="16" t="s">
        <v>111</v>
      </c>
      <c r="CE17" s="3"/>
      <c r="CF17" s="3"/>
      <c r="CG17" s="3" t="s">
        <v>5524</v>
      </c>
      <c r="CI17" s="3" t="s">
        <v>97</v>
      </c>
      <c r="CK17" s="3" t="s">
        <v>482</v>
      </c>
      <c r="CL17" s="3" t="s">
        <v>5664</v>
      </c>
      <c r="CM17" s="3" t="s">
        <v>5538</v>
      </c>
      <c r="CN17" s="3" t="s">
        <v>5539</v>
      </c>
      <c r="CP17" s="3" t="s">
        <v>5539</v>
      </c>
    </row>
    <row r="18" spans="1:94" ht="12.75" customHeight="1">
      <c r="A18" s="19" t="s">
        <v>5672</v>
      </c>
      <c r="B18" s="3" t="s">
        <v>5673</v>
      </c>
      <c r="C18" s="3" t="s">
        <v>97</v>
      </c>
      <c r="D18" s="3" t="s">
        <v>5674</v>
      </c>
      <c r="E18" s="16" t="s">
        <v>97</v>
      </c>
      <c r="F18" s="131" t="s">
        <v>5541</v>
      </c>
      <c r="G18" s="108"/>
      <c r="H18" s="25"/>
      <c r="I18" s="100" t="s">
        <v>342</v>
      </c>
      <c r="J18" s="16" t="s">
        <v>101</v>
      </c>
      <c r="K18" s="16"/>
      <c r="L18" s="16" t="s">
        <v>5517</v>
      </c>
      <c r="N18" s="16"/>
      <c r="P18" s="26" t="s">
        <v>5675</v>
      </c>
      <c r="Q18" s="27" t="s">
        <v>5676</v>
      </c>
      <c r="R18" s="26" t="s">
        <v>5677</v>
      </c>
      <c r="S18" s="19" t="s">
        <v>5678</v>
      </c>
      <c r="T18" s="133" t="s">
        <v>5522</v>
      </c>
      <c r="U18" s="6">
        <v>0.33</v>
      </c>
      <c r="X18" s="31" t="s">
        <v>108</v>
      </c>
      <c r="Y18" s="93">
        <f t="shared" si="8"/>
        <v>1</v>
      </c>
      <c r="Z18" s="3">
        <v>0</v>
      </c>
      <c r="AA18" s="3" t="s">
        <v>5679</v>
      </c>
      <c r="AD18" s="6">
        <f t="shared" si="0"/>
        <v>7.12</v>
      </c>
      <c r="AE18" s="72">
        <v>7.5065781999999999</v>
      </c>
      <c r="AF18" s="17">
        <f t="shared" si="9"/>
        <v>8.5440000000000005</v>
      </c>
      <c r="AG18" s="6">
        <f t="shared" si="1"/>
        <v>4.88</v>
      </c>
      <c r="AH18" s="32" t="s">
        <v>110</v>
      </c>
      <c r="AI18" s="3">
        <v>0.65</v>
      </c>
      <c r="AJ18" s="18">
        <v>0.46</v>
      </c>
      <c r="AK18" s="6">
        <f t="shared" si="2"/>
        <v>6.98</v>
      </c>
      <c r="AL18" s="6">
        <f t="shared" si="3"/>
        <v>6.91</v>
      </c>
      <c r="AM18" s="6">
        <f t="shared" si="4"/>
        <v>6.84</v>
      </c>
      <c r="AN18" s="6">
        <f t="shared" si="5"/>
        <v>6.76</v>
      </c>
      <c r="AO18" s="6">
        <f t="shared" si="6"/>
        <v>7.12</v>
      </c>
      <c r="BG18" s="12">
        <v>0.02</v>
      </c>
      <c r="BH18" s="12">
        <v>0.03</v>
      </c>
      <c r="BI18" s="12">
        <v>0.04</v>
      </c>
      <c r="BJ18" s="12">
        <v>0.05</v>
      </c>
      <c r="BK18" s="12"/>
      <c r="CC18" s="3" t="str">
        <f t="shared" si="7"/>
        <v>Allied-Moulded-AMHS050-GY.jpg</v>
      </c>
      <c r="CD18" s="16" t="s">
        <v>111</v>
      </c>
      <c r="CE18" s="3"/>
      <c r="CF18" s="3"/>
      <c r="CG18" s="3" t="s">
        <v>5524</v>
      </c>
      <c r="CI18" s="3" t="s">
        <v>97</v>
      </c>
      <c r="CK18" s="3" t="s">
        <v>482</v>
      </c>
      <c r="CL18" s="3" t="s">
        <v>5664</v>
      </c>
      <c r="CM18" s="3" t="s">
        <v>5539</v>
      </c>
      <c r="CN18" s="3" t="s">
        <v>5549</v>
      </c>
      <c r="CO18" s="3" t="s">
        <v>5550</v>
      </c>
    </row>
    <row r="19" spans="1:94" ht="12.75" customHeight="1">
      <c r="A19" s="19" t="s">
        <v>5680</v>
      </c>
      <c r="B19" s="3" t="s">
        <v>5554</v>
      </c>
      <c r="C19" s="3" t="s">
        <v>97</v>
      </c>
      <c r="D19" s="3" t="s">
        <v>5681</v>
      </c>
      <c r="E19" s="16" t="s">
        <v>97</v>
      </c>
      <c r="F19" s="131" t="s">
        <v>5552</v>
      </c>
      <c r="G19" s="108"/>
      <c r="H19" s="25"/>
      <c r="I19" s="100" t="s">
        <v>342</v>
      </c>
      <c r="J19" s="16" t="s">
        <v>101</v>
      </c>
      <c r="K19" s="16"/>
      <c r="L19" s="16" t="s">
        <v>5517</v>
      </c>
      <c r="N19" s="16"/>
      <c r="P19" s="26" t="s">
        <v>5682</v>
      </c>
      <c r="Q19" s="27" t="s">
        <v>5683</v>
      </c>
      <c r="R19" s="26" t="s">
        <v>5684</v>
      </c>
      <c r="S19" s="19" t="s">
        <v>5685</v>
      </c>
      <c r="T19" s="133" t="s">
        <v>5522</v>
      </c>
      <c r="U19" s="6">
        <v>0.33</v>
      </c>
      <c r="X19" s="31" t="s">
        <v>108</v>
      </c>
      <c r="Y19" s="93">
        <f t="shared" si="8"/>
        <v>1</v>
      </c>
      <c r="Z19" s="3">
        <v>0</v>
      </c>
      <c r="AA19" s="3" t="s">
        <v>5686</v>
      </c>
      <c r="AD19" s="6">
        <f t="shared" si="0"/>
        <v>8.07</v>
      </c>
      <c r="AE19" s="72">
        <v>8.5074549499999996</v>
      </c>
      <c r="AF19" s="17">
        <f t="shared" si="9"/>
        <v>9.6839999999999993</v>
      </c>
      <c r="AG19" s="6">
        <f t="shared" si="1"/>
        <v>5.53</v>
      </c>
      <c r="AH19" s="32" t="s">
        <v>110</v>
      </c>
      <c r="AI19" s="3">
        <v>0.65</v>
      </c>
      <c r="AJ19" s="18">
        <v>0.46</v>
      </c>
      <c r="AK19" s="6">
        <f t="shared" si="2"/>
        <v>7.91</v>
      </c>
      <c r="AL19" s="6">
        <f t="shared" si="3"/>
        <v>7.83</v>
      </c>
      <c r="AM19" s="6">
        <f t="shared" si="4"/>
        <v>7.75</v>
      </c>
      <c r="AN19" s="6">
        <f t="shared" si="5"/>
        <v>7.67</v>
      </c>
      <c r="AO19" s="6">
        <f t="shared" si="6"/>
        <v>8.07</v>
      </c>
      <c r="BG19" s="12">
        <v>0.02</v>
      </c>
      <c r="BH19" s="12">
        <v>0.03</v>
      </c>
      <c r="BI19" s="12">
        <v>0.04</v>
      </c>
      <c r="BJ19" s="12">
        <v>0.05</v>
      </c>
      <c r="BK19" s="12"/>
      <c r="CC19" s="3" t="str">
        <f t="shared" si="7"/>
        <v>Allied-Moulded-AMHS075-GY.jpg</v>
      </c>
      <c r="CD19" s="16" t="s">
        <v>111</v>
      </c>
      <c r="CE19" s="3"/>
      <c r="CF19" s="3"/>
      <c r="CG19" s="3" t="s">
        <v>5524</v>
      </c>
      <c r="CI19" s="3" t="s">
        <v>97</v>
      </c>
      <c r="CK19" s="3" t="s">
        <v>482</v>
      </c>
      <c r="CL19" s="3" t="s">
        <v>5664</v>
      </c>
      <c r="CM19" s="3" t="s">
        <v>5560</v>
      </c>
      <c r="CN19" s="3" t="s">
        <v>5561</v>
      </c>
      <c r="CO19" s="3" t="s">
        <v>5562</v>
      </c>
    </row>
    <row r="20" spans="1:94" ht="12.75" customHeight="1">
      <c r="A20" s="19" t="s">
        <v>5687</v>
      </c>
      <c r="B20" s="3" t="s">
        <v>5566</v>
      </c>
      <c r="C20" s="3" t="s">
        <v>97</v>
      </c>
      <c r="D20" s="3" t="s">
        <v>5688</v>
      </c>
      <c r="E20" s="16" t="s">
        <v>97</v>
      </c>
      <c r="F20" s="131" t="s">
        <v>5564</v>
      </c>
      <c r="G20" s="108"/>
      <c r="H20" s="25"/>
      <c r="I20" s="100" t="s">
        <v>342</v>
      </c>
      <c r="J20" s="16" t="s">
        <v>101</v>
      </c>
      <c r="K20" s="16"/>
      <c r="L20" s="16" t="s">
        <v>5517</v>
      </c>
      <c r="N20" s="16"/>
      <c r="P20" s="26" t="s">
        <v>5689</v>
      </c>
      <c r="Q20" s="27" t="s">
        <v>5690</v>
      </c>
      <c r="R20" s="26" t="s">
        <v>5691</v>
      </c>
      <c r="S20" s="19" t="s">
        <v>5692</v>
      </c>
      <c r="T20" s="133" t="s">
        <v>5522</v>
      </c>
      <c r="U20" s="6">
        <v>0.1</v>
      </c>
      <c r="X20" s="59" t="s">
        <v>108</v>
      </c>
      <c r="Y20" s="93">
        <f t="shared" si="8"/>
        <v>1</v>
      </c>
      <c r="Z20" s="3">
        <v>0</v>
      </c>
      <c r="AA20" s="3" t="s">
        <v>5693</v>
      </c>
      <c r="AD20" s="6">
        <f t="shared" si="0"/>
        <v>10.51</v>
      </c>
      <c r="AE20" s="70">
        <v>11.081138609999998</v>
      </c>
      <c r="AF20" s="17">
        <f t="shared" si="9"/>
        <v>12.612</v>
      </c>
      <c r="AG20" s="6">
        <f t="shared" si="1"/>
        <v>7.2</v>
      </c>
      <c r="AH20" s="32" t="s">
        <v>110</v>
      </c>
      <c r="AI20" s="3">
        <v>0.65</v>
      </c>
      <c r="AJ20" s="18">
        <v>0.46</v>
      </c>
      <c r="AK20" s="6">
        <f t="shared" si="2"/>
        <v>10.3</v>
      </c>
      <c r="AL20" s="6">
        <f t="shared" si="3"/>
        <v>10.19</v>
      </c>
      <c r="AM20" s="6">
        <f t="shared" si="4"/>
        <v>10.09</v>
      </c>
      <c r="AN20" s="6">
        <f t="shared" si="5"/>
        <v>9.98</v>
      </c>
      <c r="AO20" s="6">
        <f t="shared" si="6"/>
        <v>10.51</v>
      </c>
      <c r="BG20" s="12">
        <v>0.02</v>
      </c>
      <c r="BH20" s="12">
        <v>0.03</v>
      </c>
      <c r="BI20" s="12">
        <v>0.04</v>
      </c>
      <c r="BJ20" s="12">
        <v>0.05</v>
      </c>
      <c r="BK20" s="12"/>
      <c r="CC20" s="3" t="str">
        <f t="shared" si="7"/>
        <v>Allied-Moulded-AMHS100-GY.jpg</v>
      </c>
      <c r="CD20" s="16" t="s">
        <v>111</v>
      </c>
      <c r="CE20" s="3"/>
      <c r="CF20" s="3"/>
      <c r="CG20" s="3" t="s">
        <v>5524</v>
      </c>
      <c r="CI20" s="3" t="s">
        <v>97</v>
      </c>
      <c r="CK20" s="3" t="s">
        <v>482</v>
      </c>
      <c r="CL20" s="3" t="s">
        <v>5664</v>
      </c>
      <c r="CM20" s="3" t="s">
        <v>5572</v>
      </c>
      <c r="CN20" s="3" t="s">
        <v>5573</v>
      </c>
      <c r="CO20" s="3" t="s">
        <v>5574</v>
      </c>
    </row>
    <row r="21" spans="1:94" ht="12.75" customHeight="1">
      <c r="A21" s="19" t="s">
        <v>5694</v>
      </c>
      <c r="B21" s="3" t="s">
        <v>5578</v>
      </c>
      <c r="C21" s="3" t="s">
        <v>97</v>
      </c>
      <c r="D21" s="3" t="s">
        <v>5695</v>
      </c>
      <c r="E21" s="16" t="s">
        <v>97</v>
      </c>
      <c r="F21" s="131" t="s">
        <v>5576</v>
      </c>
      <c r="G21" s="108"/>
      <c r="H21" s="25"/>
      <c r="I21" s="100" t="s">
        <v>342</v>
      </c>
      <c r="J21" s="16" t="s">
        <v>101</v>
      </c>
      <c r="K21" s="16"/>
      <c r="L21" s="16" t="s">
        <v>5517</v>
      </c>
      <c r="N21" s="16"/>
      <c r="P21" s="26" t="s">
        <v>5696</v>
      </c>
      <c r="Q21" s="27" t="s">
        <v>5697</v>
      </c>
      <c r="R21" s="26" t="s">
        <v>5698</v>
      </c>
      <c r="S21" s="19" t="s">
        <v>5699</v>
      </c>
      <c r="T21" s="133" t="s">
        <v>5522</v>
      </c>
      <c r="U21" s="6">
        <v>0.33</v>
      </c>
      <c r="X21" s="31" t="s">
        <v>108</v>
      </c>
      <c r="Y21" s="93">
        <f t="shared" si="8"/>
        <v>1</v>
      </c>
      <c r="Z21" s="3">
        <v>0</v>
      </c>
      <c r="AA21" s="3" t="s">
        <v>5700</v>
      </c>
      <c r="AD21" s="6">
        <f t="shared" si="0"/>
        <v>12.89</v>
      </c>
      <c r="AE21" s="70">
        <v>13.583328940000001</v>
      </c>
      <c r="AF21" s="17">
        <f t="shared" si="9"/>
        <v>15.468</v>
      </c>
      <c r="AG21" s="6">
        <f t="shared" si="1"/>
        <v>8.83</v>
      </c>
      <c r="AH21" s="32" t="s">
        <v>110</v>
      </c>
      <c r="AI21" s="3">
        <v>0.65</v>
      </c>
      <c r="AJ21" s="18">
        <v>0.46</v>
      </c>
      <c r="AK21" s="6">
        <f t="shared" si="2"/>
        <v>12.63</v>
      </c>
      <c r="AL21" s="6">
        <f t="shared" si="3"/>
        <v>12.5</v>
      </c>
      <c r="AM21" s="6">
        <f t="shared" si="4"/>
        <v>12.37</v>
      </c>
      <c r="AN21" s="6">
        <f t="shared" si="5"/>
        <v>12.25</v>
      </c>
      <c r="AO21" s="6">
        <f t="shared" si="6"/>
        <v>12.89</v>
      </c>
      <c r="BG21" s="12">
        <v>0.02</v>
      </c>
      <c r="BH21" s="12">
        <v>0.03</v>
      </c>
      <c r="BI21" s="12">
        <v>0.04</v>
      </c>
      <c r="BJ21" s="12">
        <v>0.05</v>
      </c>
      <c r="BK21" s="12"/>
      <c r="BQ21" s="21"/>
      <c r="BR21" s="21"/>
      <c r="BS21" s="21"/>
      <c r="BT21" s="21"/>
      <c r="BU21" s="21"/>
      <c r="BV21" s="21"/>
      <c r="BW21" s="21"/>
      <c r="BX21" s="21"/>
      <c r="BY21" s="21"/>
      <c r="BZ21" s="21"/>
      <c r="CA21" s="21"/>
      <c r="CB21" s="21"/>
      <c r="CC21" s="3" t="str">
        <f t="shared" si="7"/>
        <v>Allied-Moulded-AMHS125-GY.jpg</v>
      </c>
      <c r="CD21" s="16" t="s">
        <v>111</v>
      </c>
      <c r="CE21" s="3"/>
      <c r="CF21" s="3"/>
      <c r="CG21" s="3" t="s">
        <v>5524</v>
      </c>
      <c r="CI21" s="3" t="s">
        <v>97</v>
      </c>
      <c r="CK21" s="3" t="s">
        <v>482</v>
      </c>
      <c r="CL21" s="3" t="s">
        <v>5664</v>
      </c>
      <c r="CM21" s="3" t="s">
        <v>5584</v>
      </c>
      <c r="CN21" s="3" t="s">
        <v>5585</v>
      </c>
      <c r="CO21" s="3" t="s">
        <v>5586</v>
      </c>
    </row>
    <row r="22" spans="1:94" ht="12.75" customHeight="1">
      <c r="A22" s="19" t="s">
        <v>5701</v>
      </c>
      <c r="B22" s="3" t="s">
        <v>5590</v>
      </c>
      <c r="C22" s="3" t="s">
        <v>97</v>
      </c>
      <c r="D22" s="3" t="s">
        <v>5702</v>
      </c>
      <c r="E22" s="16" t="s">
        <v>97</v>
      </c>
      <c r="F22" s="131" t="s">
        <v>5588</v>
      </c>
      <c r="G22" s="108"/>
      <c r="H22" s="25"/>
      <c r="I22" s="100" t="s">
        <v>342</v>
      </c>
      <c r="J22" s="16" t="s">
        <v>101</v>
      </c>
      <c r="K22" s="16"/>
      <c r="L22" s="16" t="s">
        <v>5517</v>
      </c>
      <c r="N22" s="16"/>
      <c r="P22" s="26" t="s">
        <v>5703</v>
      </c>
      <c r="Q22" s="27" t="s">
        <v>5704</v>
      </c>
      <c r="R22" s="26" t="s">
        <v>5705</v>
      </c>
      <c r="S22" s="19" t="s">
        <v>5706</v>
      </c>
      <c r="T22" s="133" t="s">
        <v>5522</v>
      </c>
      <c r="U22" s="6">
        <v>0.33</v>
      </c>
      <c r="X22" s="31" t="s">
        <v>108</v>
      </c>
      <c r="Y22" s="93">
        <f t="shared" si="8"/>
        <v>1</v>
      </c>
      <c r="Z22" s="3">
        <v>0</v>
      </c>
      <c r="AA22" s="3" t="s">
        <v>5707</v>
      </c>
      <c r="AD22" s="6">
        <f t="shared" si="0"/>
        <v>14.92</v>
      </c>
      <c r="AE22" s="70">
        <v>15.728066009999999</v>
      </c>
      <c r="AF22" s="17">
        <f t="shared" si="9"/>
        <v>17.904</v>
      </c>
      <c r="AG22" s="6">
        <f t="shared" si="1"/>
        <v>10.220000000000001</v>
      </c>
      <c r="AH22" s="32" t="s">
        <v>110</v>
      </c>
      <c r="AI22" s="3">
        <v>0.65</v>
      </c>
      <c r="AJ22" s="18">
        <v>0.46</v>
      </c>
      <c r="AK22" s="6">
        <f t="shared" si="2"/>
        <v>14.62</v>
      </c>
      <c r="AL22" s="6">
        <f t="shared" si="3"/>
        <v>14.47</v>
      </c>
      <c r="AM22" s="6">
        <f t="shared" si="4"/>
        <v>14.32</v>
      </c>
      <c r="AN22" s="6">
        <f t="shared" si="5"/>
        <v>14.17</v>
      </c>
      <c r="AO22" s="6">
        <f t="shared" si="6"/>
        <v>14.92</v>
      </c>
      <c r="BG22" s="12">
        <v>0.02</v>
      </c>
      <c r="BH22" s="12">
        <v>0.03</v>
      </c>
      <c r="BI22" s="12">
        <v>0.04</v>
      </c>
      <c r="BJ22" s="12">
        <v>0.05</v>
      </c>
      <c r="BK22" s="12"/>
      <c r="CC22" s="3" t="str">
        <f t="shared" si="7"/>
        <v>Allied-Moulded-AMHS150-GY.jpg</v>
      </c>
      <c r="CD22" s="16" t="s">
        <v>111</v>
      </c>
      <c r="CE22" s="3"/>
      <c r="CF22" s="3"/>
      <c r="CG22" s="3" t="s">
        <v>5524</v>
      </c>
      <c r="CI22" s="3" t="s">
        <v>97</v>
      </c>
      <c r="CK22" s="3" t="s">
        <v>482</v>
      </c>
      <c r="CL22" s="3" t="s">
        <v>5664</v>
      </c>
      <c r="CM22" s="3" t="s">
        <v>4132</v>
      </c>
      <c r="CN22" s="3" t="s">
        <v>5596</v>
      </c>
      <c r="CO22" s="3" t="s">
        <v>5597</v>
      </c>
    </row>
    <row r="23" spans="1:94" ht="12.75" customHeight="1">
      <c r="A23" s="19" t="s">
        <v>5708</v>
      </c>
      <c r="B23" s="3" t="s">
        <v>5543</v>
      </c>
      <c r="C23" s="3" t="s">
        <v>97</v>
      </c>
      <c r="D23" s="3" t="s">
        <v>5709</v>
      </c>
      <c r="E23" s="16" t="s">
        <v>97</v>
      </c>
      <c r="F23" s="131" t="s">
        <v>5599</v>
      </c>
      <c r="G23" s="108"/>
      <c r="H23" s="25"/>
      <c r="I23" s="100" t="s">
        <v>342</v>
      </c>
      <c r="J23" s="16" t="s">
        <v>101</v>
      </c>
      <c r="K23" s="16"/>
      <c r="L23" s="16" t="s">
        <v>5517</v>
      </c>
      <c r="N23" s="16"/>
      <c r="P23" s="26" t="s">
        <v>5710</v>
      </c>
      <c r="Q23" s="27" t="s">
        <v>5711</v>
      </c>
      <c r="R23" s="26" t="s">
        <v>5712</v>
      </c>
      <c r="S23" s="19" t="s">
        <v>5713</v>
      </c>
      <c r="T23" s="133" t="s">
        <v>5522</v>
      </c>
      <c r="U23" s="6">
        <v>0.33</v>
      </c>
      <c r="X23" s="31" t="s">
        <v>108</v>
      </c>
      <c r="Y23" s="93">
        <f t="shared" si="8"/>
        <v>1</v>
      </c>
      <c r="Z23" s="3">
        <v>0</v>
      </c>
      <c r="AA23" s="3" t="s">
        <v>5714</v>
      </c>
      <c r="AD23" s="6">
        <f t="shared" si="0"/>
        <v>17.579999999999998</v>
      </c>
      <c r="AE23" s="70">
        <v>18.516224510000001</v>
      </c>
      <c r="AF23" s="17">
        <f t="shared" si="9"/>
        <v>21.095999999999997</v>
      </c>
      <c r="AG23" s="6">
        <f t="shared" si="1"/>
        <v>12.04</v>
      </c>
      <c r="AH23" s="32" t="s">
        <v>110</v>
      </c>
      <c r="AI23" s="3">
        <v>0.65</v>
      </c>
      <c r="AJ23" s="18">
        <v>0.46</v>
      </c>
      <c r="AK23" s="6">
        <f t="shared" si="2"/>
        <v>17.23</v>
      </c>
      <c r="AL23" s="6">
        <f t="shared" si="3"/>
        <v>17.05</v>
      </c>
      <c r="AM23" s="6">
        <f t="shared" si="4"/>
        <v>16.88</v>
      </c>
      <c r="AN23" s="6">
        <f t="shared" si="5"/>
        <v>16.7</v>
      </c>
      <c r="AO23" s="6">
        <f t="shared" si="6"/>
        <v>17.579999999999998</v>
      </c>
      <c r="BG23" s="12">
        <v>0.02</v>
      </c>
      <c r="BH23" s="12">
        <v>0.03</v>
      </c>
      <c r="BI23" s="12">
        <v>0.04</v>
      </c>
      <c r="BJ23" s="12">
        <v>0.05</v>
      </c>
      <c r="BK23" s="12"/>
      <c r="CC23" s="3" t="str">
        <f t="shared" si="7"/>
        <v>Allied-Moulded-AMHS200-GY.jpg</v>
      </c>
      <c r="CD23" s="16" t="s">
        <v>111</v>
      </c>
      <c r="CE23" s="3"/>
      <c r="CF23" s="3"/>
      <c r="CG23" s="3" t="s">
        <v>5524</v>
      </c>
      <c r="CI23" s="3" t="s">
        <v>97</v>
      </c>
      <c r="CK23" s="3" t="s">
        <v>482</v>
      </c>
      <c r="CL23" s="3" t="s">
        <v>5664</v>
      </c>
      <c r="CM23" s="3" t="s">
        <v>5606</v>
      </c>
      <c r="CN23" s="3" t="s">
        <v>5607</v>
      </c>
      <c r="CO23" s="3" t="s">
        <v>5608</v>
      </c>
    </row>
    <row r="24" spans="1:94" ht="12.75" customHeight="1">
      <c r="A24" s="19" t="s">
        <v>5715</v>
      </c>
      <c r="B24" s="3" t="s">
        <v>5612</v>
      </c>
      <c r="C24" s="3" t="s">
        <v>97</v>
      </c>
      <c r="D24" s="3" t="s">
        <v>5716</v>
      </c>
      <c r="E24" s="16" t="s">
        <v>97</v>
      </c>
      <c r="F24" s="131" t="s">
        <v>5610</v>
      </c>
      <c r="G24" s="108"/>
      <c r="H24" s="25"/>
      <c r="I24" s="100" t="s">
        <v>342</v>
      </c>
      <c r="J24" s="16" t="s">
        <v>101</v>
      </c>
      <c r="K24" s="16"/>
      <c r="L24" s="16" t="s">
        <v>5517</v>
      </c>
      <c r="N24" s="16"/>
      <c r="P24" s="26" t="s">
        <v>5717</v>
      </c>
      <c r="Q24" s="27" t="s">
        <v>5718</v>
      </c>
      <c r="R24" s="26" t="s">
        <v>5719</v>
      </c>
      <c r="S24" s="19" t="s">
        <v>5720</v>
      </c>
      <c r="T24" s="133" t="s">
        <v>5522</v>
      </c>
      <c r="U24" s="6">
        <v>0.33</v>
      </c>
      <c r="X24" s="31" t="s">
        <v>108</v>
      </c>
      <c r="Y24" s="93">
        <f t="shared" si="8"/>
        <v>1</v>
      </c>
      <c r="Z24" s="3">
        <v>0</v>
      </c>
      <c r="AA24" s="3" t="s">
        <v>5721</v>
      </c>
      <c r="AD24" s="6">
        <f t="shared" si="0"/>
        <v>23.74</v>
      </c>
      <c r="AE24" s="70">
        <v>25.021922870000001</v>
      </c>
      <c r="AF24" s="17">
        <f t="shared" si="9"/>
        <v>28.487999999999996</v>
      </c>
      <c r="AG24" s="6">
        <f t="shared" si="1"/>
        <v>16.260000000000002</v>
      </c>
      <c r="AH24" s="32" t="s">
        <v>110</v>
      </c>
      <c r="AI24" s="3">
        <v>0.65</v>
      </c>
      <c r="AJ24" s="18">
        <v>0.46</v>
      </c>
      <c r="AK24" s="6">
        <f t="shared" si="2"/>
        <v>23.27</v>
      </c>
      <c r="AL24" s="6">
        <f t="shared" si="3"/>
        <v>23.03</v>
      </c>
      <c r="AM24" s="6">
        <f t="shared" si="4"/>
        <v>22.79</v>
      </c>
      <c r="AN24" s="6">
        <f t="shared" si="5"/>
        <v>22.55</v>
      </c>
      <c r="AO24" s="6">
        <f t="shared" si="6"/>
        <v>23.74</v>
      </c>
      <c r="BG24" s="12">
        <v>0.02</v>
      </c>
      <c r="BH24" s="12">
        <v>0.03</v>
      </c>
      <c r="BI24" s="12">
        <v>0.04</v>
      </c>
      <c r="BJ24" s="12">
        <v>0.05</v>
      </c>
      <c r="BK24" s="12"/>
      <c r="CC24" s="3" t="str">
        <f t="shared" si="7"/>
        <v>Allied-Moulded-AMHS250-GY.jpg</v>
      </c>
      <c r="CD24" s="16" t="s">
        <v>111</v>
      </c>
      <c r="CE24" s="3"/>
      <c r="CF24" s="3"/>
      <c r="CG24" s="3" t="s">
        <v>5524</v>
      </c>
      <c r="CI24" s="3" t="s">
        <v>97</v>
      </c>
      <c r="CK24" s="3" t="s">
        <v>482</v>
      </c>
      <c r="CL24" s="3" t="s">
        <v>5664</v>
      </c>
      <c r="CM24" s="3" t="s">
        <v>5618</v>
      </c>
      <c r="CN24" s="3" t="s">
        <v>5619</v>
      </c>
      <c r="CO24" s="3" t="s">
        <v>5620</v>
      </c>
    </row>
    <row r="25" spans="1:94" ht="12.75" customHeight="1">
      <c r="A25" s="19" t="s">
        <v>5722</v>
      </c>
      <c r="B25" s="3" t="s">
        <v>5624</v>
      </c>
      <c r="C25" s="3" t="s">
        <v>97</v>
      </c>
      <c r="D25" s="3" t="s">
        <v>5723</v>
      </c>
      <c r="E25" s="16" t="s">
        <v>97</v>
      </c>
      <c r="F25" s="131" t="s">
        <v>5622</v>
      </c>
      <c r="G25" s="108"/>
      <c r="H25" s="25"/>
      <c r="I25" s="100" t="s">
        <v>342</v>
      </c>
      <c r="J25" s="16" t="s">
        <v>101</v>
      </c>
      <c r="K25" s="16"/>
      <c r="L25" s="16" t="s">
        <v>5517</v>
      </c>
      <c r="N25" s="16"/>
      <c r="P25" s="26" t="s">
        <v>5724</v>
      </c>
      <c r="Q25" s="27" t="s">
        <v>5725</v>
      </c>
      <c r="R25" s="26" t="s">
        <v>5726</v>
      </c>
      <c r="S25" s="19" t="s">
        <v>5727</v>
      </c>
      <c r="T25" s="133" t="s">
        <v>5522</v>
      </c>
      <c r="U25" s="6">
        <v>0.33</v>
      </c>
      <c r="X25" s="31" t="s">
        <v>108</v>
      </c>
      <c r="Y25" s="93">
        <f t="shared" si="8"/>
        <v>1</v>
      </c>
      <c r="Z25" s="3">
        <v>0</v>
      </c>
      <c r="AA25" s="3" t="s">
        <v>5728</v>
      </c>
      <c r="AD25" s="6">
        <f t="shared" si="0"/>
        <v>28.5</v>
      </c>
      <c r="AE25" s="70">
        <v>30.02630765</v>
      </c>
      <c r="AF25" s="17">
        <f t="shared" si="9"/>
        <v>34.199999999999996</v>
      </c>
      <c r="AG25" s="6">
        <f t="shared" si="1"/>
        <v>19.52</v>
      </c>
      <c r="AH25" s="32" t="s">
        <v>110</v>
      </c>
      <c r="AI25" s="3">
        <v>0.65</v>
      </c>
      <c r="AJ25" s="18">
        <v>0.46</v>
      </c>
      <c r="AK25" s="6">
        <f t="shared" si="2"/>
        <v>27.93</v>
      </c>
      <c r="AL25" s="6">
        <f t="shared" si="3"/>
        <v>27.65</v>
      </c>
      <c r="AM25" s="6">
        <f t="shared" si="4"/>
        <v>27.36</v>
      </c>
      <c r="AN25" s="6">
        <f t="shared" si="5"/>
        <v>27.08</v>
      </c>
      <c r="AO25" s="6">
        <f t="shared" si="6"/>
        <v>28.5</v>
      </c>
      <c r="BG25" s="12">
        <v>0.02</v>
      </c>
      <c r="BH25" s="12">
        <v>0.03</v>
      </c>
      <c r="BI25" s="12">
        <v>0.04</v>
      </c>
      <c r="BJ25" s="12">
        <v>0.05</v>
      </c>
      <c r="BK25" s="12"/>
      <c r="CC25" s="3" t="str">
        <f t="shared" si="7"/>
        <v>Allied-Moulded-AMHS300-GY.jpg</v>
      </c>
      <c r="CD25" s="16" t="s">
        <v>111</v>
      </c>
      <c r="CE25" s="3"/>
      <c r="CF25" s="3"/>
      <c r="CG25" s="3" t="s">
        <v>5524</v>
      </c>
      <c r="CI25" s="3" t="s">
        <v>97</v>
      </c>
      <c r="CK25" s="3" t="s">
        <v>482</v>
      </c>
      <c r="CL25" s="3" t="s">
        <v>5664</v>
      </c>
      <c r="CM25" s="3" t="s">
        <v>5630</v>
      </c>
      <c r="CN25" s="3" t="s">
        <v>5631</v>
      </c>
      <c r="CO25" s="3" t="s">
        <v>5632</v>
      </c>
    </row>
    <row r="26" spans="1:94" ht="12.75" customHeight="1">
      <c r="A26" s="19" t="s">
        <v>5729</v>
      </c>
      <c r="B26" s="3" t="s">
        <v>5636</v>
      </c>
      <c r="C26" s="3" t="s">
        <v>97</v>
      </c>
      <c r="D26" s="3" t="s">
        <v>5730</v>
      </c>
      <c r="E26" s="16" t="s">
        <v>97</v>
      </c>
      <c r="F26" s="131" t="s">
        <v>5634</v>
      </c>
      <c r="G26" s="108"/>
      <c r="H26" s="25"/>
      <c r="I26" s="100" t="s">
        <v>342</v>
      </c>
      <c r="J26" s="16" t="s">
        <v>101</v>
      </c>
      <c r="K26" s="16"/>
      <c r="L26" s="16" t="s">
        <v>5517</v>
      </c>
      <c r="N26" s="16"/>
      <c r="P26" s="26" t="s">
        <v>5731</v>
      </c>
      <c r="Q26" s="27" t="s">
        <v>5732</v>
      </c>
      <c r="R26" s="26" t="s">
        <v>5733</v>
      </c>
      <c r="S26" s="19" t="s">
        <v>5734</v>
      </c>
      <c r="T26" s="133" t="s">
        <v>5522</v>
      </c>
      <c r="U26" s="6">
        <v>0.33</v>
      </c>
      <c r="X26" s="31" t="s">
        <v>108</v>
      </c>
      <c r="Y26" s="93">
        <f t="shared" si="8"/>
        <v>1</v>
      </c>
      <c r="Z26" s="3">
        <v>0</v>
      </c>
      <c r="AA26" s="3" t="s">
        <v>5735</v>
      </c>
      <c r="AD26" s="6">
        <f t="shared" si="0"/>
        <v>32.57</v>
      </c>
      <c r="AE26" s="70">
        <v>34.315779730000003</v>
      </c>
      <c r="AF26" s="17">
        <f t="shared" si="9"/>
        <v>39.083999999999996</v>
      </c>
      <c r="AG26" s="6">
        <f t="shared" si="1"/>
        <v>22.31</v>
      </c>
      <c r="AH26" s="32" t="s">
        <v>110</v>
      </c>
      <c r="AI26" s="3">
        <v>0.65</v>
      </c>
      <c r="AJ26" s="18">
        <v>0.46</v>
      </c>
      <c r="AK26" s="6">
        <f t="shared" si="2"/>
        <v>31.92</v>
      </c>
      <c r="AL26" s="6">
        <f t="shared" si="3"/>
        <v>31.59</v>
      </c>
      <c r="AM26" s="6">
        <f t="shared" si="4"/>
        <v>31.27</v>
      </c>
      <c r="AN26" s="6">
        <f t="shared" si="5"/>
        <v>30.94</v>
      </c>
      <c r="AO26" s="6">
        <f t="shared" si="6"/>
        <v>32.57</v>
      </c>
      <c r="BG26" s="12">
        <v>0.02</v>
      </c>
      <c r="BH26" s="12">
        <v>0.03</v>
      </c>
      <c r="BI26" s="12">
        <v>0.04</v>
      </c>
      <c r="BJ26" s="12">
        <v>0.05</v>
      </c>
      <c r="BK26" s="12"/>
      <c r="CC26" s="3" t="str">
        <f t="shared" si="7"/>
        <v>Allied-Moulded-AMHS350-GY.jpg</v>
      </c>
      <c r="CD26" s="16" t="s">
        <v>111</v>
      </c>
      <c r="CE26" s="3"/>
      <c r="CF26" s="3"/>
      <c r="CG26" s="3" t="s">
        <v>5524</v>
      </c>
      <c r="CI26" s="3" t="s">
        <v>97</v>
      </c>
      <c r="CK26" s="3" t="s">
        <v>482</v>
      </c>
      <c r="CL26" s="3" t="s">
        <v>5664</v>
      </c>
      <c r="CM26" s="3" t="s">
        <v>657</v>
      </c>
      <c r="CN26" s="3" t="s">
        <v>5642</v>
      </c>
      <c r="CO26" s="3" t="s">
        <v>5643</v>
      </c>
    </row>
    <row r="27" spans="1:94" ht="12.75" customHeight="1">
      <c r="A27" s="19" t="s">
        <v>4815</v>
      </c>
      <c r="B27" s="3" t="s">
        <v>5647</v>
      </c>
      <c r="C27" s="3" t="s">
        <v>97</v>
      </c>
      <c r="D27" s="3" t="s">
        <v>5736</v>
      </c>
      <c r="E27" s="16" t="s">
        <v>97</v>
      </c>
      <c r="F27" s="131" t="s">
        <v>5645</v>
      </c>
      <c r="G27" s="108"/>
      <c r="H27" s="25"/>
      <c r="I27" s="100" t="s">
        <v>342</v>
      </c>
      <c r="J27" s="16" t="s">
        <v>101</v>
      </c>
      <c r="K27" s="16"/>
      <c r="L27" s="16" t="s">
        <v>5517</v>
      </c>
      <c r="N27" s="16"/>
      <c r="P27" s="26" t="s">
        <v>5737</v>
      </c>
      <c r="Q27" s="27" t="s">
        <v>5738</v>
      </c>
      <c r="R27" s="26" t="s">
        <v>5739</v>
      </c>
      <c r="S27" s="19" t="s">
        <v>5740</v>
      </c>
      <c r="T27" s="133" t="s">
        <v>5522</v>
      </c>
      <c r="U27" s="6">
        <v>0.33</v>
      </c>
      <c r="X27" s="31" t="s">
        <v>108</v>
      </c>
      <c r="Y27" s="93">
        <f t="shared" si="8"/>
        <v>1</v>
      </c>
      <c r="Z27" s="3">
        <v>0</v>
      </c>
      <c r="AA27" s="3" t="s">
        <v>5741</v>
      </c>
      <c r="AD27" s="6">
        <f t="shared" si="0"/>
        <v>37.99</v>
      </c>
      <c r="AE27" s="70">
        <v>40.035076179999997</v>
      </c>
      <c r="AF27" s="17">
        <f t="shared" si="9"/>
        <v>45.588000000000001</v>
      </c>
      <c r="AG27" s="6">
        <f t="shared" si="1"/>
        <v>26.02</v>
      </c>
      <c r="AH27" s="32" t="s">
        <v>110</v>
      </c>
      <c r="AI27" s="3">
        <v>0.65</v>
      </c>
      <c r="AJ27" s="18">
        <v>0.46</v>
      </c>
      <c r="AK27" s="6">
        <f t="shared" si="2"/>
        <v>37.229999999999997</v>
      </c>
      <c r="AL27" s="6">
        <f t="shared" si="3"/>
        <v>36.85</v>
      </c>
      <c r="AM27" s="6">
        <f t="shared" si="4"/>
        <v>36.47</v>
      </c>
      <c r="AN27" s="6">
        <f t="shared" si="5"/>
        <v>36.090000000000003</v>
      </c>
      <c r="AO27" s="6">
        <f t="shared" si="6"/>
        <v>37.99</v>
      </c>
      <c r="BG27" s="12">
        <v>0.02</v>
      </c>
      <c r="BH27" s="12">
        <v>0.03</v>
      </c>
      <c r="BI27" s="12">
        <v>0.04</v>
      </c>
      <c r="BJ27" s="12">
        <v>0.05</v>
      </c>
      <c r="BK27" s="12"/>
      <c r="BQ27" s="21"/>
      <c r="BR27" s="21"/>
      <c r="BS27" s="21"/>
      <c r="BT27" s="21"/>
      <c r="BU27" s="21"/>
      <c r="BV27" s="21"/>
      <c r="BW27" s="21"/>
      <c r="BX27" s="21"/>
      <c r="BY27" s="21"/>
      <c r="BZ27" s="21"/>
      <c r="CA27" s="21"/>
      <c r="CB27" s="21"/>
      <c r="CC27" s="3" t="str">
        <f t="shared" si="7"/>
        <v>Allied-Moulded-AMHS400-GY.jpg</v>
      </c>
      <c r="CD27" s="16" t="s">
        <v>111</v>
      </c>
      <c r="CE27" s="3"/>
      <c r="CF27" s="3"/>
      <c r="CG27" s="3" t="s">
        <v>5524</v>
      </c>
      <c r="CI27" s="3" t="s">
        <v>97</v>
      </c>
      <c r="CK27" s="3" t="s">
        <v>482</v>
      </c>
      <c r="CL27" s="3" t="s">
        <v>5664</v>
      </c>
      <c r="CM27" s="3" t="s">
        <v>5653</v>
      </c>
      <c r="CN27" s="3" t="s">
        <v>5654</v>
      </c>
      <c r="CO27" s="3" t="s">
        <v>5655</v>
      </c>
    </row>
  </sheetData>
  <autoFilter ref="A3:CQ3" xr:uid="{FD1581EB-F6A8-4E57-ACCD-779FA667D965}"/>
  <phoneticPr fontId="14" type="noConversion"/>
  <conditionalFormatting sqref="Y1">
    <cfRule type="colorScale" priority="1">
      <colorScale>
        <cfvo type="num" val="0"/>
        <cfvo type="num" val="1"/>
        <color rgb="FFFF0000"/>
        <color rgb="FFFFFF00"/>
      </colorScale>
    </cfRule>
  </conditionalFormatting>
  <conditionalFormatting sqref="Y5:AD1048576 Z4:AD4 AF28:AJ1048576 AG4:AJ27">
    <cfRule type="colorScale" priority="8">
      <colorScale>
        <cfvo type="num" val="0"/>
        <cfvo type="num" val="1"/>
        <color rgb="FFFF0000"/>
        <color rgb="FFFFFF00"/>
      </colorScale>
    </cfRule>
  </conditionalFormatting>
  <conditionalFormatting sqref="AF4:AF27">
    <cfRule type="colorScale" priority="4">
      <colorScale>
        <cfvo type="num" val="0"/>
        <cfvo type="num" val="1"/>
        <color rgb="FFFF0000"/>
        <color rgb="FFFFFF00"/>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B943-2A33-4FE6-879A-C0F11BA7428E}">
  <sheetPr codeName="Sheet5"/>
  <dimension ref="A1:CS48"/>
  <sheetViews>
    <sheetView tabSelected="1" zoomScale="85" zoomScaleNormal="85" workbookViewId="0">
      <pane xSplit="1" ySplit="3" topLeftCell="M27" activePane="bottomRight" state="frozen"/>
      <selection pane="topRight" activeCell="A22" sqref="A22"/>
      <selection pane="bottomLeft" activeCell="A22" sqref="A22"/>
      <selection pane="bottomRight" activeCell="S43" sqref="S43:S48"/>
    </sheetView>
  </sheetViews>
  <sheetFormatPr defaultColWidth="9.140625" defaultRowHeight="15"/>
  <cols>
    <col min="1" max="1" width="58.85546875" style="19" customWidth="1"/>
    <col min="2" max="2" width="29.42578125" style="3" customWidth="1"/>
    <col min="3" max="3" width="22.5703125" style="3" customWidth="1"/>
    <col min="4" max="4" width="23.140625" style="3" customWidth="1"/>
    <col min="5" max="5" width="15" style="3" customWidth="1"/>
    <col min="6" max="6" width="16.42578125" style="3" customWidth="1"/>
    <col min="7" max="7" width="13.85546875" style="3" customWidth="1"/>
    <col min="8" max="8" width="31.140625" style="3" customWidth="1"/>
    <col min="9" max="9" width="9.140625" style="3"/>
    <col min="10" max="10" width="92.140625" style="3" customWidth="1"/>
    <col min="11" max="11" width="15.42578125" style="3" customWidth="1"/>
    <col min="12" max="12" width="87" style="3" customWidth="1"/>
    <col min="13" max="13" width="80.140625" style="3" bestFit="1" customWidth="1"/>
    <col min="14" max="14" width="29.42578125" style="3" customWidth="1"/>
    <col min="15" max="15" width="23.42578125" style="3" customWidth="1"/>
    <col min="16" max="16" width="89.42578125" style="3" customWidth="1"/>
    <col min="17" max="17" width="58.42578125" style="3" customWidth="1"/>
    <col min="18" max="18" width="49.42578125" style="5" customWidth="1"/>
    <col min="19" max="20" width="32.42578125" style="5" customWidth="1"/>
    <col min="21" max="22" width="9.140625" style="113"/>
    <col min="23" max="23" width="9.140625" style="6"/>
    <col min="24" max="24" width="14.5703125" style="7" bestFit="1" customWidth="1"/>
    <col min="25" max="25" width="10" style="8" customWidth="1"/>
    <col min="26" max="27" width="11.5703125" style="3" customWidth="1"/>
    <col min="28" max="28" width="15.5703125" style="3" bestFit="1" customWidth="1"/>
    <col min="29" max="29" width="11.5703125" style="3" customWidth="1"/>
    <col min="30" max="30" width="10.5703125" style="6" customWidth="1"/>
    <col min="31" max="31" width="13.85546875" style="9" customWidth="1"/>
    <col min="32" max="32" width="9.85546875" style="10" customWidth="1"/>
    <col min="33" max="33" width="9.140625" style="6"/>
    <col min="34" max="34" width="13.42578125" style="3" customWidth="1"/>
    <col min="35" max="35" width="9.140625" style="11"/>
    <col min="36" max="36" width="9.140625" style="3"/>
    <col min="37" max="41" width="9.140625" style="6"/>
    <col min="42" max="43" width="0" style="12" hidden="1" customWidth="1"/>
    <col min="44" max="58" width="0" style="3" hidden="1" customWidth="1"/>
    <col min="59" max="59" width="17.42578125" style="3" customWidth="1"/>
    <col min="60" max="60" width="12.42578125" style="3" customWidth="1"/>
    <col min="61" max="61" width="9.140625" style="3"/>
    <col min="62" max="62" width="15.42578125" style="3" bestFit="1" customWidth="1"/>
    <col min="63" max="63" width="15.42578125" style="3" customWidth="1"/>
    <col min="64" max="68" width="0" style="3" hidden="1" customWidth="1"/>
    <col min="69" max="72" width="0" hidden="1" customWidth="1"/>
    <col min="73" max="73" width="16.42578125" hidden="1" customWidth="1"/>
    <col min="74" max="77" width="0" hidden="1" customWidth="1"/>
    <col min="78" max="78" width="16.42578125" hidden="1" customWidth="1"/>
    <col min="79" max="79" width="0" hidden="1" customWidth="1"/>
    <col min="80" max="80" width="16.42578125" hidden="1" customWidth="1"/>
    <col min="81" max="84" width="31.85546875" style="13" customWidth="1"/>
    <col min="85" max="88" width="39.5703125" style="3" customWidth="1"/>
    <col min="89" max="89" width="39.5703125" style="3" bestFit="1" customWidth="1"/>
    <col min="90" max="90" width="44.5703125" style="3" bestFit="1" customWidth="1"/>
    <col min="91" max="91" width="31" style="3" bestFit="1" customWidth="1"/>
    <col min="92" max="92" width="32" style="3" bestFit="1" customWidth="1"/>
    <col min="93" max="94" width="37.5703125" style="3" bestFit="1" customWidth="1"/>
    <col min="95" max="95" width="37.140625" style="3" bestFit="1" customWidth="1"/>
    <col min="96" max="96" width="40.5703125" style="3" bestFit="1" customWidth="1"/>
    <col min="97" max="97" width="31" style="3" bestFit="1" customWidth="1"/>
    <col min="98" max="16384" width="9.140625" style="3"/>
  </cols>
  <sheetData>
    <row r="1" spans="1:97" ht="15.75">
      <c r="A1" s="139" t="s">
        <v>0</v>
      </c>
      <c r="B1" s="158"/>
      <c r="C1" s="159"/>
      <c r="D1" s="160"/>
      <c r="E1" s="159"/>
      <c r="F1" s="161"/>
      <c r="G1" s="161"/>
      <c r="H1" s="162"/>
      <c r="I1" s="162"/>
      <c r="J1" s="161"/>
      <c r="K1" s="162"/>
      <c r="L1" s="163" t="s">
        <v>1</v>
      </c>
      <c r="M1" s="164">
        <v>3</v>
      </c>
      <c r="N1" s="159" t="s">
        <v>2</v>
      </c>
      <c r="O1" s="159"/>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171"/>
      <c r="CE1" s="171"/>
      <c r="CF1" s="171"/>
    </row>
    <row r="2" spans="1:97" ht="15.75">
      <c r="A2" s="172" t="s">
        <v>6023</v>
      </c>
      <c r="B2" s="173" t="s">
        <v>4424</v>
      </c>
      <c r="C2" s="174" t="s">
        <v>5</v>
      </c>
      <c r="D2" s="175" t="s">
        <v>4425</v>
      </c>
      <c r="E2" s="174" t="s">
        <v>6</v>
      </c>
      <c r="F2" s="141" t="s">
        <v>6024</v>
      </c>
      <c r="G2" s="14" t="s">
        <v>7</v>
      </c>
      <c r="H2" s="176" t="s">
        <v>8</v>
      </c>
      <c r="I2" s="177" t="s">
        <v>6025</v>
      </c>
      <c r="J2" s="141" t="s">
        <v>6026</v>
      </c>
      <c r="K2" s="176" t="s">
        <v>10</v>
      </c>
      <c r="L2" s="141" t="s">
        <v>11</v>
      </c>
      <c r="M2" s="141" t="s">
        <v>12</v>
      </c>
      <c r="N2" s="141" t="s">
        <v>13</v>
      </c>
      <c r="O2" s="141" t="s">
        <v>14</v>
      </c>
      <c r="P2" s="141" t="s">
        <v>15</v>
      </c>
      <c r="Q2" s="141" t="s">
        <v>16</v>
      </c>
      <c r="R2" s="178" t="s">
        <v>17</v>
      </c>
      <c r="S2" s="178" t="s">
        <v>18</v>
      </c>
      <c r="T2" s="178" t="s">
        <v>19</v>
      </c>
      <c r="U2" s="142" t="s">
        <v>6027</v>
      </c>
      <c r="V2" s="142" t="s">
        <v>20</v>
      </c>
      <c r="W2" s="177" t="s">
        <v>21</v>
      </c>
      <c r="X2" s="179" t="s">
        <v>22</v>
      </c>
      <c r="Y2" s="180" t="s">
        <v>23</v>
      </c>
      <c r="Z2" s="181" t="s">
        <v>24</v>
      </c>
      <c r="AA2" s="181" t="s">
        <v>25</v>
      </c>
      <c r="AB2" s="182" t="s">
        <v>26</v>
      </c>
      <c r="AC2" s="143" t="s">
        <v>27</v>
      </c>
      <c r="AD2" s="183" t="s">
        <v>28</v>
      </c>
      <c r="AE2" s="184" t="s">
        <v>29</v>
      </c>
      <c r="AF2" s="185" t="s">
        <v>30</v>
      </c>
      <c r="AG2" s="142" t="s">
        <v>6028</v>
      </c>
      <c r="AH2" s="14" t="s">
        <v>31</v>
      </c>
      <c r="AI2" s="14" t="s">
        <v>32</v>
      </c>
      <c r="AJ2" s="186" t="s">
        <v>33</v>
      </c>
      <c r="AK2" s="145" t="s">
        <v>34</v>
      </c>
      <c r="AL2" s="145" t="s">
        <v>35</v>
      </c>
      <c r="AM2" s="145" t="s">
        <v>36</v>
      </c>
      <c r="AN2" s="145" t="s">
        <v>77</v>
      </c>
      <c r="AO2" s="145" t="s">
        <v>78</v>
      </c>
      <c r="AP2" s="14"/>
      <c r="AQ2" s="14"/>
      <c r="AR2" s="14"/>
      <c r="AS2" s="14"/>
      <c r="AT2" s="14"/>
      <c r="AU2" s="14"/>
      <c r="AV2" s="14"/>
      <c r="AW2" s="14"/>
      <c r="AX2" s="14"/>
      <c r="AY2" s="14"/>
      <c r="AZ2" s="14"/>
      <c r="BA2" s="14"/>
      <c r="BB2" s="14"/>
      <c r="BC2" s="14"/>
      <c r="BD2" s="14"/>
      <c r="BE2" s="14"/>
      <c r="BF2" s="14"/>
      <c r="BG2" s="186" t="s">
        <v>37</v>
      </c>
      <c r="BH2" s="186" t="s">
        <v>38</v>
      </c>
      <c r="BI2" s="186" t="s">
        <v>39</v>
      </c>
      <c r="BJ2" s="186" t="s">
        <v>40</v>
      </c>
      <c r="BK2" s="186" t="s">
        <v>41</v>
      </c>
      <c r="BL2" s="14" t="s">
        <v>42</v>
      </c>
      <c r="BM2" s="14" t="s">
        <v>43</v>
      </c>
      <c r="BN2" s="14" t="s">
        <v>44</v>
      </c>
      <c r="BO2" s="14" t="s">
        <v>45</v>
      </c>
      <c r="BP2" s="14" t="s">
        <v>46</v>
      </c>
      <c r="BQ2" s="14" t="s">
        <v>47</v>
      </c>
      <c r="BR2" s="14" t="s">
        <v>48</v>
      </c>
      <c r="BS2" s="14" t="s">
        <v>49</v>
      </c>
      <c r="BT2" s="14" t="s">
        <v>50</v>
      </c>
      <c r="BU2" s="14" t="s">
        <v>51</v>
      </c>
      <c r="BV2" s="14" t="s">
        <v>52</v>
      </c>
      <c r="BW2" s="14" t="s">
        <v>53</v>
      </c>
      <c r="BX2" s="14" t="s">
        <v>54</v>
      </c>
      <c r="BY2" s="14" t="s">
        <v>55</v>
      </c>
      <c r="BZ2" s="14" t="s">
        <v>56</v>
      </c>
      <c r="CA2" s="14" t="s">
        <v>57</v>
      </c>
      <c r="CB2" s="14" t="s">
        <v>58</v>
      </c>
      <c r="CC2" s="187" t="s">
        <v>59</v>
      </c>
      <c r="CD2" s="140" t="s">
        <v>6029</v>
      </c>
      <c r="CE2" s="140" t="s">
        <v>6030</v>
      </c>
      <c r="CF2" s="144" t="s">
        <v>6031</v>
      </c>
      <c r="CG2" s="14" t="s">
        <v>60</v>
      </c>
      <c r="CH2" s="14" t="s">
        <v>61</v>
      </c>
      <c r="CI2" s="14" t="s">
        <v>62</v>
      </c>
      <c r="CJ2" s="14" t="s">
        <v>4426</v>
      </c>
      <c r="CK2" s="14" t="s">
        <v>64</v>
      </c>
      <c r="CL2" s="14" t="s">
        <v>65</v>
      </c>
      <c r="CM2" s="14" t="s">
        <v>66</v>
      </c>
      <c r="CN2" s="14" t="s">
        <v>67</v>
      </c>
      <c r="CO2" s="14" t="s">
        <v>68</v>
      </c>
      <c r="CP2" s="14" t="s">
        <v>69</v>
      </c>
      <c r="CQ2" s="14" t="s">
        <v>70</v>
      </c>
      <c r="CR2" s="14" t="s">
        <v>71</v>
      </c>
      <c r="CS2" s="14" t="s">
        <v>5742</v>
      </c>
    </row>
    <row r="3" spans="1:97" s="28" customFormat="1" ht="18.75">
      <c r="A3" s="188" t="s">
        <v>6032</v>
      </c>
      <c r="B3" s="189" t="s">
        <v>6033</v>
      </c>
      <c r="C3" s="189" t="s">
        <v>6034</v>
      </c>
      <c r="D3" s="189" t="s">
        <v>6033</v>
      </c>
      <c r="E3" s="189" t="s">
        <v>6035</v>
      </c>
      <c r="F3" s="190" t="s">
        <v>6034</v>
      </c>
      <c r="G3" s="191"/>
      <c r="H3" s="192"/>
      <c r="I3" s="193" t="s">
        <v>6036</v>
      </c>
      <c r="J3" s="194" t="s">
        <v>9</v>
      </c>
      <c r="K3" s="192"/>
      <c r="L3" s="189"/>
      <c r="M3" s="189"/>
      <c r="N3" s="189"/>
      <c r="O3" s="189"/>
      <c r="P3" s="189" t="s">
        <v>6033</v>
      </c>
      <c r="Q3" s="189" t="s">
        <v>6033</v>
      </c>
      <c r="R3" s="195" t="s">
        <v>6033</v>
      </c>
      <c r="S3" s="195" t="s">
        <v>6033</v>
      </c>
      <c r="T3" s="195"/>
      <c r="U3" s="196" t="s">
        <v>6037</v>
      </c>
      <c r="V3" s="196"/>
      <c r="W3" s="197"/>
      <c r="X3" s="189"/>
      <c r="Y3" s="198" t="s">
        <v>76</v>
      </c>
      <c r="Z3" s="189"/>
      <c r="AA3" s="189" t="s">
        <v>79</v>
      </c>
      <c r="AB3" s="199"/>
      <c r="AC3"/>
      <c r="AD3" s="196" t="s">
        <v>6038</v>
      </c>
      <c r="AE3" s="200"/>
      <c r="AF3" s="201" t="s">
        <v>6038</v>
      </c>
      <c r="AG3" s="196" t="s">
        <v>6038</v>
      </c>
      <c r="AH3" s="191"/>
      <c r="AI3" s="191"/>
      <c r="AJ3" s="202"/>
      <c r="AK3" s="203" t="s">
        <v>6039</v>
      </c>
      <c r="AL3" s="203" t="s">
        <v>6040</v>
      </c>
      <c r="AM3" s="203" t="s">
        <v>6041</v>
      </c>
      <c r="AN3" s="203" t="s">
        <v>6042</v>
      </c>
      <c r="AO3" s="203" t="s">
        <v>6043</v>
      </c>
      <c r="AP3" s="203" t="s">
        <v>6044</v>
      </c>
      <c r="AQ3" s="203" t="s">
        <v>6045</v>
      </c>
      <c r="AR3" s="203" t="s">
        <v>6046</v>
      </c>
      <c r="AS3" s="203" t="s">
        <v>6047</v>
      </c>
      <c r="AT3" s="203" t="s">
        <v>6048</v>
      </c>
      <c r="AU3" s="203" t="s">
        <v>6049</v>
      </c>
      <c r="AV3" s="203" t="s">
        <v>6050</v>
      </c>
      <c r="AW3" s="203" t="s">
        <v>6051</v>
      </c>
      <c r="AX3" s="203" t="s">
        <v>6052</v>
      </c>
      <c r="AY3" s="203" t="s">
        <v>6053</v>
      </c>
      <c r="AZ3" s="203" t="s">
        <v>6054</v>
      </c>
      <c r="BA3" s="203" t="s">
        <v>6055</v>
      </c>
      <c r="BB3" s="203" t="s">
        <v>6056</v>
      </c>
      <c r="BC3" s="203" t="s">
        <v>6057</v>
      </c>
      <c r="BD3" s="203" t="s">
        <v>6058</v>
      </c>
      <c r="BE3" s="203" t="s">
        <v>6059</v>
      </c>
      <c r="BF3" s="203" t="s">
        <v>6060</v>
      </c>
      <c r="BG3" s="202" t="s">
        <v>34</v>
      </c>
      <c r="BH3" s="202" t="s">
        <v>35</v>
      </c>
      <c r="BI3" s="202" t="s">
        <v>36</v>
      </c>
      <c r="BJ3" s="204" t="s">
        <v>77</v>
      </c>
      <c r="BK3" s="202" t="s">
        <v>78</v>
      </c>
      <c r="BL3" s="191"/>
      <c r="BM3" s="191"/>
      <c r="BN3" s="191"/>
      <c r="BO3" s="191"/>
      <c r="BP3" s="191"/>
      <c r="BQ3" s="191"/>
      <c r="BR3" s="191"/>
      <c r="BS3" s="191"/>
      <c r="BT3" s="191"/>
      <c r="BU3" s="191"/>
      <c r="BV3" s="191"/>
      <c r="BW3" s="191"/>
      <c r="BX3" s="191"/>
      <c r="BY3" s="191"/>
      <c r="BZ3" s="191"/>
      <c r="CA3" s="191"/>
      <c r="CB3" s="191"/>
      <c r="CC3" s="205" t="s">
        <v>79</v>
      </c>
      <c r="CD3" s="171"/>
      <c r="CE3" s="171"/>
      <c r="CF3" s="171"/>
      <c r="CG3" s="28" t="s">
        <v>80</v>
      </c>
      <c r="CH3" s="28" t="s">
        <v>81</v>
      </c>
      <c r="CI3" s="28" t="s">
        <v>5</v>
      </c>
      <c r="CJ3" s="28" t="s">
        <v>82</v>
      </c>
      <c r="CK3" s="28" t="s">
        <v>5743</v>
      </c>
      <c r="CL3" s="28" t="s">
        <v>5744</v>
      </c>
      <c r="CM3" s="28" t="s">
        <v>5745</v>
      </c>
      <c r="CN3" s="28" t="s">
        <v>5746</v>
      </c>
      <c r="CO3" s="28" t="s">
        <v>5747</v>
      </c>
      <c r="CP3" s="28" t="s">
        <v>5748</v>
      </c>
      <c r="CQ3" s="28" t="s">
        <v>5749</v>
      </c>
      <c r="CR3" s="28" t="s">
        <v>5750</v>
      </c>
      <c r="CS3" s="28" t="s">
        <v>5751</v>
      </c>
    </row>
    <row r="4" spans="1:97" ht="12.75" customHeight="1">
      <c r="A4" s="19" t="s">
        <v>5752</v>
      </c>
      <c r="B4" s="3" t="s">
        <v>5753</v>
      </c>
      <c r="C4" s="3" t="s">
        <v>97</v>
      </c>
      <c r="D4" s="3" t="s">
        <v>5754</v>
      </c>
      <c r="E4" s="16" t="s">
        <v>97</v>
      </c>
      <c r="F4" s="131" t="s">
        <v>5755</v>
      </c>
      <c r="G4" s="25"/>
      <c r="H4" s="25"/>
      <c r="I4" s="100" t="s">
        <v>342</v>
      </c>
      <c r="J4" s="16" t="s">
        <v>5756</v>
      </c>
      <c r="K4" s="16"/>
      <c r="L4" s="16" t="s">
        <v>4394</v>
      </c>
      <c r="M4" s="16" t="s">
        <v>5757</v>
      </c>
      <c r="N4" s="16"/>
      <c r="P4" s="26" t="s">
        <v>5758</v>
      </c>
      <c r="Q4" s="26" t="s">
        <v>5759</v>
      </c>
      <c r="R4" s="26" t="s">
        <v>5760</v>
      </c>
      <c r="S4" s="19" t="s">
        <v>5761</v>
      </c>
      <c r="T4" s="133" t="s">
        <v>5762</v>
      </c>
      <c r="U4" s="113">
        <v>1</v>
      </c>
      <c r="X4" s="31" t="s">
        <v>108</v>
      </c>
      <c r="Y4" s="93">
        <f>IF(AD4=0, 0, IF(OR(H4="", H4&lt;&gt;0), 1, 0))</f>
        <v>1</v>
      </c>
      <c r="Z4" s="3">
        <v>0</v>
      </c>
      <c r="AA4" s="3" t="s">
        <v>5763</v>
      </c>
      <c r="AD4" s="6">
        <f t="shared" ref="AD4:AD16" si="0">ROUND((AG4*(1+AJ4)),2)</f>
        <v>23.2</v>
      </c>
      <c r="AE4" s="70">
        <v>24.443767389999998</v>
      </c>
      <c r="AF4" s="17">
        <f>AD4*1.2</f>
        <v>27.84</v>
      </c>
      <c r="AG4" s="6">
        <f t="shared" ref="AG4:AG16" si="1">ROUND((AE4*AI4),2)</f>
        <v>15.89</v>
      </c>
      <c r="AH4" s="32" t="s">
        <v>110</v>
      </c>
      <c r="AI4" s="3">
        <v>0.65</v>
      </c>
      <c r="AJ4" s="18">
        <v>0.46</v>
      </c>
      <c r="AK4" s="6">
        <f t="shared" ref="AK4:AK16" si="2">ROUND((AD4-(AD4*BG4)),2)</f>
        <v>22.74</v>
      </c>
      <c r="AL4" s="6">
        <f t="shared" ref="AL4:AL16" si="3">ROUND((AD4-(AD4*BH4)),2)</f>
        <v>22.5</v>
      </c>
      <c r="AM4" s="6">
        <f t="shared" ref="AM4:AM16" si="4">ROUND((AD4-(AD4*BI4)),2)</f>
        <v>22.27</v>
      </c>
      <c r="AN4" s="6">
        <f t="shared" ref="AN4:AN16" si="5">ROUND((AD4-(AD4*BJ4)),2)</f>
        <v>22.04</v>
      </c>
      <c r="AO4" s="6">
        <f t="shared" ref="AO4:AO16" si="6">ROUND((AD4-(AD4*BK4)),2)</f>
        <v>23.2</v>
      </c>
      <c r="BG4" s="12">
        <v>0.02</v>
      </c>
      <c r="BH4" s="12">
        <v>0.03</v>
      </c>
      <c r="BI4" s="12">
        <v>0.04</v>
      </c>
      <c r="BJ4" s="12">
        <v>0.05</v>
      </c>
      <c r="BK4" s="12"/>
      <c r="CC4" s="3" t="str">
        <f t="shared" ref="CC4:CC16" si="7">IF(B4&lt;&gt;"",CONCATENATE(SUBSTITUTE(B4," ","-"),".jpg"),"")</f>
        <v>Allied-Moulded-AMHMI66CX.jpg</v>
      </c>
      <c r="CD4" s="16" t="s">
        <v>111</v>
      </c>
      <c r="CE4" s="3"/>
      <c r="CF4" s="3"/>
      <c r="CG4" s="3" t="s">
        <v>5764</v>
      </c>
      <c r="CI4" s="3" t="s">
        <v>97</v>
      </c>
      <c r="CK4" s="3" t="s">
        <v>482</v>
      </c>
      <c r="CL4" s="3" t="s">
        <v>5525</v>
      </c>
      <c r="CM4" s="16" t="s">
        <v>351</v>
      </c>
      <c r="CN4" s="16" t="s">
        <v>351</v>
      </c>
      <c r="CO4" s="16" t="s">
        <v>121</v>
      </c>
      <c r="CP4" s="16"/>
      <c r="CQ4" s="16"/>
      <c r="CS4" s="16" t="s">
        <v>5765</v>
      </c>
    </row>
    <row r="5" spans="1:97" ht="12.75" customHeight="1">
      <c r="A5" s="19" t="s">
        <v>5766</v>
      </c>
      <c r="B5" s="3" t="s">
        <v>5767</v>
      </c>
      <c r="C5" s="3" t="s">
        <v>97</v>
      </c>
      <c r="D5" s="3" t="s">
        <v>5768</v>
      </c>
      <c r="E5" s="16" t="s">
        <v>97</v>
      </c>
      <c r="F5" s="131" t="s">
        <v>5769</v>
      </c>
      <c r="G5" s="25"/>
      <c r="H5" s="25"/>
      <c r="I5" s="100" t="s">
        <v>342</v>
      </c>
      <c r="J5" s="16" t="s">
        <v>101</v>
      </c>
      <c r="K5" s="16"/>
      <c r="L5" s="16" t="s">
        <v>4394</v>
      </c>
      <c r="M5" s="16" t="s">
        <v>4395</v>
      </c>
      <c r="N5" s="16"/>
      <c r="P5" s="26" t="s">
        <v>5770</v>
      </c>
      <c r="Q5" s="26" t="s">
        <v>5771</v>
      </c>
      <c r="R5" s="26" t="s">
        <v>5772</v>
      </c>
      <c r="S5" s="19" t="s">
        <v>5773</v>
      </c>
      <c r="T5" s="133" t="s">
        <v>5774</v>
      </c>
      <c r="U5" s="113">
        <v>4</v>
      </c>
      <c r="X5" s="31" t="s">
        <v>108</v>
      </c>
      <c r="Y5" s="93">
        <f t="shared" ref="Y5:Y16" si="8">IF(AD5=0, 0, IF(OR(H5="", H5&lt;&gt;0), 1, 0))</f>
        <v>1</v>
      </c>
      <c r="Z5" s="3">
        <v>0</v>
      </c>
      <c r="AA5" s="3" t="s">
        <v>5775</v>
      </c>
      <c r="AD5" s="6">
        <f t="shared" si="0"/>
        <v>94.9</v>
      </c>
      <c r="AE5" s="72">
        <v>99.999856170000001</v>
      </c>
      <c r="AF5" s="17">
        <f t="shared" ref="AF5:AF42" si="9">AD5*1.2</f>
        <v>113.88000000000001</v>
      </c>
      <c r="AG5" s="6">
        <f t="shared" si="1"/>
        <v>65</v>
      </c>
      <c r="AH5" s="32" t="s">
        <v>110</v>
      </c>
      <c r="AI5" s="3">
        <v>0.65</v>
      </c>
      <c r="AJ5" s="18">
        <v>0.46</v>
      </c>
      <c r="AK5" s="6">
        <f t="shared" si="2"/>
        <v>93</v>
      </c>
      <c r="AL5" s="6">
        <f t="shared" si="3"/>
        <v>92.05</v>
      </c>
      <c r="AM5" s="6">
        <f t="shared" si="4"/>
        <v>91.1</v>
      </c>
      <c r="AN5" s="6">
        <f t="shared" si="5"/>
        <v>90.16</v>
      </c>
      <c r="AO5" s="6">
        <f t="shared" si="6"/>
        <v>94.9</v>
      </c>
      <c r="BG5" s="12">
        <v>0.02</v>
      </c>
      <c r="BH5" s="12">
        <v>0.03</v>
      </c>
      <c r="BI5" s="12">
        <v>0.04</v>
      </c>
      <c r="BJ5" s="12">
        <v>0.05</v>
      </c>
      <c r="BK5" s="12"/>
      <c r="CC5" s="3" t="str">
        <f t="shared" si="7"/>
        <v>Allied-Moulded-AMHMI120H.jpg</v>
      </c>
      <c r="CD5" s="16" t="s">
        <v>111</v>
      </c>
      <c r="CE5" s="3"/>
      <c r="CF5" s="3"/>
      <c r="CG5" s="3" t="s">
        <v>5776</v>
      </c>
      <c r="CI5" s="3" t="s">
        <v>97</v>
      </c>
      <c r="CK5" s="3" t="s">
        <v>482</v>
      </c>
      <c r="CL5" s="3" t="s">
        <v>5525</v>
      </c>
      <c r="CM5" s="16" t="s">
        <v>125</v>
      </c>
      <c r="CN5" s="16" t="s">
        <v>167</v>
      </c>
      <c r="CO5" s="16" t="s">
        <v>5777</v>
      </c>
      <c r="CP5" s="16"/>
      <c r="CQ5" s="16"/>
      <c r="CS5" s="16" t="s">
        <v>5765</v>
      </c>
    </row>
    <row r="6" spans="1:97" ht="12.75" customHeight="1">
      <c r="A6" s="19" t="s">
        <v>5778</v>
      </c>
      <c r="B6" s="3" t="s">
        <v>5779</v>
      </c>
      <c r="C6" s="3" t="s">
        <v>97</v>
      </c>
      <c r="D6" s="3" t="s">
        <v>5780</v>
      </c>
      <c r="E6" s="16" t="s">
        <v>97</v>
      </c>
      <c r="F6" s="131" t="s">
        <v>5781</v>
      </c>
      <c r="G6" s="25"/>
      <c r="H6" s="25"/>
      <c r="I6" s="100" t="s">
        <v>342</v>
      </c>
      <c r="J6" s="16" t="s">
        <v>101</v>
      </c>
      <c r="K6" s="16"/>
      <c r="L6" s="16" t="s">
        <v>4394</v>
      </c>
      <c r="M6" s="16" t="s">
        <v>4395</v>
      </c>
      <c r="N6" s="16"/>
      <c r="P6" s="26" t="s">
        <v>5782</v>
      </c>
      <c r="Q6" s="26" t="s">
        <v>5783</v>
      </c>
      <c r="R6" s="26" t="s">
        <v>5784</v>
      </c>
      <c r="S6" s="19" t="s">
        <v>5785</v>
      </c>
      <c r="T6" s="133" t="s">
        <v>5774</v>
      </c>
      <c r="U6" s="113">
        <v>4</v>
      </c>
      <c r="X6" s="31" t="s">
        <v>108</v>
      </c>
      <c r="Y6" s="93">
        <f t="shared" si="8"/>
        <v>1</v>
      </c>
      <c r="Z6" s="3">
        <v>0</v>
      </c>
      <c r="AA6" s="3" t="s">
        <v>5786</v>
      </c>
      <c r="AD6" s="6">
        <f t="shared" si="0"/>
        <v>103.46</v>
      </c>
      <c r="AE6" s="72">
        <v>109.01457787999999</v>
      </c>
      <c r="AF6" s="17">
        <f t="shared" si="9"/>
        <v>124.15199999999999</v>
      </c>
      <c r="AG6" s="6">
        <f t="shared" si="1"/>
        <v>70.86</v>
      </c>
      <c r="AH6" s="32" t="s">
        <v>110</v>
      </c>
      <c r="AI6" s="3">
        <v>0.65</v>
      </c>
      <c r="AJ6" s="18">
        <v>0.46</v>
      </c>
      <c r="AK6" s="6">
        <f t="shared" si="2"/>
        <v>101.39</v>
      </c>
      <c r="AL6" s="6">
        <f t="shared" si="3"/>
        <v>100.36</v>
      </c>
      <c r="AM6" s="6">
        <f t="shared" si="4"/>
        <v>99.32</v>
      </c>
      <c r="AN6" s="6">
        <f t="shared" si="5"/>
        <v>98.29</v>
      </c>
      <c r="AO6" s="6">
        <f t="shared" si="6"/>
        <v>103.46</v>
      </c>
      <c r="BG6" s="12">
        <v>0.02</v>
      </c>
      <c r="BH6" s="12">
        <v>0.03</v>
      </c>
      <c r="BI6" s="12">
        <v>0.04</v>
      </c>
      <c r="BJ6" s="12">
        <v>0.05</v>
      </c>
      <c r="BK6" s="12"/>
      <c r="CC6" s="3" t="str">
        <f t="shared" si="7"/>
        <v>Allied-Moulded-AMHMI120CCH.jpg</v>
      </c>
      <c r="CD6" s="16" t="s">
        <v>111</v>
      </c>
      <c r="CE6" s="3"/>
      <c r="CF6" s="3"/>
      <c r="CG6" s="3" t="s">
        <v>5776</v>
      </c>
      <c r="CI6" s="3" t="s">
        <v>97</v>
      </c>
      <c r="CK6" s="3" t="s">
        <v>482</v>
      </c>
      <c r="CL6" s="3" t="s">
        <v>5525</v>
      </c>
      <c r="CM6" s="16" t="s">
        <v>125</v>
      </c>
      <c r="CN6" s="16" t="s">
        <v>167</v>
      </c>
      <c r="CO6" s="16" t="s">
        <v>121</v>
      </c>
      <c r="CP6" s="16"/>
      <c r="CQ6" s="16"/>
      <c r="CS6" s="16" t="s">
        <v>5765</v>
      </c>
    </row>
    <row r="7" spans="1:97" ht="12.75" customHeight="1">
      <c r="A7" s="19" t="s">
        <v>5787</v>
      </c>
      <c r="B7" s="3" t="s">
        <v>5788</v>
      </c>
      <c r="C7" s="3" t="s">
        <v>97</v>
      </c>
      <c r="D7" s="3" t="s">
        <v>5789</v>
      </c>
      <c r="E7" s="16" t="s">
        <v>97</v>
      </c>
      <c r="F7" s="131" t="s">
        <v>5790</v>
      </c>
      <c r="G7" s="25"/>
      <c r="H7" s="25"/>
      <c r="I7" s="100" t="s">
        <v>342</v>
      </c>
      <c r="J7" s="16" t="s">
        <v>101</v>
      </c>
      <c r="K7" s="16"/>
      <c r="L7" s="16" t="s">
        <v>4394</v>
      </c>
      <c r="M7" s="16" t="s">
        <v>4395</v>
      </c>
      <c r="N7" s="16"/>
      <c r="P7" s="26" t="s">
        <v>5791</v>
      </c>
      <c r="Q7" s="26" t="s">
        <v>5792</v>
      </c>
      <c r="R7" s="26" t="s">
        <v>5793</v>
      </c>
      <c r="S7" s="19" t="s">
        <v>5794</v>
      </c>
      <c r="T7" s="133" t="s">
        <v>5795</v>
      </c>
      <c r="U7" s="113">
        <v>5</v>
      </c>
      <c r="X7" s="31" t="s">
        <v>108</v>
      </c>
      <c r="Y7" s="93">
        <f t="shared" si="8"/>
        <v>1</v>
      </c>
      <c r="Z7" s="3">
        <v>0</v>
      </c>
      <c r="AA7" s="3" t="s">
        <v>5796</v>
      </c>
      <c r="AD7" s="6">
        <f t="shared" si="0"/>
        <v>104.42</v>
      </c>
      <c r="AE7" s="72">
        <v>110.0258463</v>
      </c>
      <c r="AF7" s="17">
        <f t="shared" si="9"/>
        <v>125.304</v>
      </c>
      <c r="AG7" s="6">
        <f t="shared" si="1"/>
        <v>71.52</v>
      </c>
      <c r="AH7" s="32" t="s">
        <v>110</v>
      </c>
      <c r="AI7" s="3">
        <v>0.65</v>
      </c>
      <c r="AJ7" s="18">
        <v>0.46</v>
      </c>
      <c r="AK7" s="6">
        <f t="shared" si="2"/>
        <v>102.33</v>
      </c>
      <c r="AL7" s="6">
        <f t="shared" si="3"/>
        <v>101.29</v>
      </c>
      <c r="AM7" s="6">
        <f t="shared" si="4"/>
        <v>100.24</v>
      </c>
      <c r="AN7" s="6">
        <f t="shared" si="5"/>
        <v>99.2</v>
      </c>
      <c r="AO7" s="6">
        <f t="shared" si="6"/>
        <v>104.42</v>
      </c>
      <c r="BG7" s="12">
        <v>0.02</v>
      </c>
      <c r="BH7" s="12">
        <v>0.03</v>
      </c>
      <c r="BI7" s="12">
        <v>0.04</v>
      </c>
      <c r="BJ7" s="12">
        <v>0.05</v>
      </c>
      <c r="BK7" s="12"/>
      <c r="CC7" s="3" t="str">
        <f t="shared" si="7"/>
        <v>Allied-Moulded-AMHMI142H.jpg</v>
      </c>
      <c r="CD7" s="16" t="s">
        <v>111</v>
      </c>
      <c r="CE7" s="3"/>
      <c r="CF7" s="3"/>
      <c r="CG7" s="3" t="s">
        <v>5776</v>
      </c>
      <c r="CI7" s="3" t="s">
        <v>97</v>
      </c>
      <c r="CK7" s="3" t="s">
        <v>482</v>
      </c>
      <c r="CL7" s="3" t="s">
        <v>5525</v>
      </c>
      <c r="CM7" s="16" t="s">
        <v>1037</v>
      </c>
      <c r="CN7" s="16" t="s">
        <v>125</v>
      </c>
      <c r="CO7" s="16" t="s">
        <v>5777</v>
      </c>
      <c r="CP7" s="16"/>
      <c r="CQ7" s="16"/>
      <c r="CS7" s="16" t="s">
        <v>5765</v>
      </c>
    </row>
    <row r="8" spans="1:97" ht="12.75" customHeight="1">
      <c r="A8" s="19" t="s">
        <v>5797</v>
      </c>
      <c r="B8" s="3" t="s">
        <v>5798</v>
      </c>
      <c r="C8" s="3" t="s">
        <v>97</v>
      </c>
      <c r="D8" s="3" t="s">
        <v>5799</v>
      </c>
      <c r="E8" s="16" t="s">
        <v>97</v>
      </c>
      <c r="F8" s="131" t="s">
        <v>5800</v>
      </c>
      <c r="G8" s="25"/>
      <c r="H8" s="25"/>
      <c r="I8" s="100" t="s">
        <v>342</v>
      </c>
      <c r="J8" s="16" t="s">
        <v>101</v>
      </c>
      <c r="K8" s="16"/>
      <c r="L8" s="16" t="s">
        <v>4394</v>
      </c>
      <c r="M8" s="16" t="s">
        <v>4395</v>
      </c>
      <c r="N8" s="16"/>
      <c r="P8" s="26" t="s">
        <v>5801</v>
      </c>
      <c r="Q8" s="26" t="s">
        <v>5802</v>
      </c>
      <c r="R8" s="26" t="s">
        <v>5803</v>
      </c>
      <c r="S8" s="19" t="s">
        <v>5804</v>
      </c>
      <c r="T8" s="133" t="s">
        <v>5795</v>
      </c>
      <c r="U8" s="113">
        <v>5</v>
      </c>
      <c r="X8" s="31" t="s">
        <v>108</v>
      </c>
      <c r="Y8" s="93">
        <f t="shared" si="8"/>
        <v>1</v>
      </c>
      <c r="Z8" s="3">
        <v>0</v>
      </c>
      <c r="AA8" s="3" t="s">
        <v>5805</v>
      </c>
      <c r="AD8" s="6">
        <f t="shared" si="0"/>
        <v>113.81</v>
      </c>
      <c r="AE8" s="72">
        <v>119.92181643999999</v>
      </c>
      <c r="AF8" s="17">
        <f t="shared" si="9"/>
        <v>136.572</v>
      </c>
      <c r="AG8" s="6">
        <f t="shared" si="1"/>
        <v>77.95</v>
      </c>
      <c r="AH8" s="32" t="s">
        <v>110</v>
      </c>
      <c r="AI8" s="3">
        <v>0.65</v>
      </c>
      <c r="AJ8" s="18">
        <v>0.46</v>
      </c>
      <c r="AK8" s="6">
        <f t="shared" si="2"/>
        <v>111.53</v>
      </c>
      <c r="AL8" s="6">
        <f t="shared" si="3"/>
        <v>110.4</v>
      </c>
      <c r="AM8" s="6">
        <f t="shared" si="4"/>
        <v>109.26</v>
      </c>
      <c r="AN8" s="6">
        <f t="shared" si="5"/>
        <v>108.12</v>
      </c>
      <c r="AO8" s="6">
        <f t="shared" si="6"/>
        <v>113.81</v>
      </c>
      <c r="BG8" s="12">
        <v>0.02</v>
      </c>
      <c r="BH8" s="12">
        <v>0.03</v>
      </c>
      <c r="BI8" s="12">
        <v>0.04</v>
      </c>
      <c r="BJ8" s="12">
        <v>0.05</v>
      </c>
      <c r="BK8" s="12"/>
      <c r="BQ8" s="15"/>
      <c r="BR8" s="15"/>
      <c r="BS8" s="15"/>
      <c r="BT8" s="15"/>
      <c r="BU8" s="15"/>
      <c r="BV8" s="15"/>
      <c r="BW8" s="15"/>
      <c r="BX8" s="15"/>
      <c r="BY8" s="15"/>
      <c r="BZ8" s="15"/>
      <c r="CA8" s="15"/>
      <c r="CB8" s="15"/>
      <c r="CC8" s="3" t="str">
        <f t="shared" si="7"/>
        <v>Allied-Moulded-AMHMI142CCH.jpg</v>
      </c>
      <c r="CD8" s="16" t="s">
        <v>111</v>
      </c>
      <c r="CE8" s="3"/>
      <c r="CF8" s="3"/>
      <c r="CG8" s="3" t="s">
        <v>5776</v>
      </c>
      <c r="CI8" s="3" t="s">
        <v>97</v>
      </c>
      <c r="CK8" s="3" t="s">
        <v>482</v>
      </c>
      <c r="CL8" s="3" t="s">
        <v>5525</v>
      </c>
      <c r="CM8" s="16" t="s">
        <v>1037</v>
      </c>
      <c r="CN8" s="16" t="s">
        <v>125</v>
      </c>
      <c r="CO8" s="16" t="s">
        <v>121</v>
      </c>
      <c r="CP8" s="16"/>
      <c r="CQ8" s="16"/>
      <c r="CS8" s="16" t="s">
        <v>5765</v>
      </c>
    </row>
    <row r="9" spans="1:97" ht="12.75" customHeight="1">
      <c r="A9" s="19" t="s">
        <v>5806</v>
      </c>
      <c r="B9" s="3" t="s">
        <v>5807</v>
      </c>
      <c r="C9" s="3" t="s">
        <v>97</v>
      </c>
      <c r="D9" s="3" t="s">
        <v>5808</v>
      </c>
      <c r="E9" s="16" t="s">
        <v>97</v>
      </c>
      <c r="F9" s="131" t="s">
        <v>5809</v>
      </c>
      <c r="G9" s="25"/>
      <c r="H9" s="25"/>
      <c r="I9" s="100" t="s">
        <v>342</v>
      </c>
      <c r="J9" s="16" t="s">
        <v>101</v>
      </c>
      <c r="K9" s="16"/>
      <c r="L9" s="16" t="s">
        <v>4394</v>
      </c>
      <c r="M9" s="16" t="s">
        <v>4395</v>
      </c>
      <c r="N9" s="16"/>
      <c r="P9" s="26" t="s">
        <v>5810</v>
      </c>
      <c r="Q9" s="26" t="s">
        <v>5811</v>
      </c>
      <c r="R9" s="26" t="s">
        <v>5812</v>
      </c>
      <c r="S9" s="19" t="s">
        <v>5813</v>
      </c>
      <c r="T9" s="133" t="s">
        <v>5814</v>
      </c>
      <c r="U9" s="113">
        <v>4</v>
      </c>
      <c r="X9" s="31" t="s">
        <v>108</v>
      </c>
      <c r="Y9" s="93">
        <f t="shared" si="8"/>
        <v>1</v>
      </c>
      <c r="Z9" s="3">
        <v>0</v>
      </c>
      <c r="AA9" s="3" t="s">
        <v>5815</v>
      </c>
      <c r="AD9" s="6">
        <f t="shared" si="0"/>
        <v>98.71</v>
      </c>
      <c r="AE9" s="72">
        <v>104.01603010999999</v>
      </c>
      <c r="AF9" s="17">
        <f t="shared" si="9"/>
        <v>118.45199999999998</v>
      </c>
      <c r="AG9" s="6">
        <f t="shared" si="1"/>
        <v>67.61</v>
      </c>
      <c r="AH9" s="32" t="s">
        <v>110</v>
      </c>
      <c r="AI9" s="3">
        <v>0.65</v>
      </c>
      <c r="AJ9" s="18">
        <v>0.46</v>
      </c>
      <c r="AK9" s="6">
        <f t="shared" si="2"/>
        <v>96.74</v>
      </c>
      <c r="AL9" s="6">
        <f t="shared" si="3"/>
        <v>95.75</v>
      </c>
      <c r="AM9" s="6">
        <f t="shared" si="4"/>
        <v>94.76</v>
      </c>
      <c r="AN9" s="6">
        <f t="shared" si="5"/>
        <v>93.77</v>
      </c>
      <c r="AO9" s="6">
        <f t="shared" si="6"/>
        <v>98.71</v>
      </c>
      <c r="BG9" s="12">
        <v>0.02</v>
      </c>
      <c r="BH9" s="12">
        <v>0.03</v>
      </c>
      <c r="BI9" s="12">
        <v>0.04</v>
      </c>
      <c r="BJ9" s="12">
        <v>0.05</v>
      </c>
      <c r="BK9" s="12"/>
      <c r="CC9" s="3" t="str">
        <f t="shared" si="7"/>
        <v>Allied-Moulded-AMHMI120HTP.jpg</v>
      </c>
      <c r="CD9" s="16" t="s">
        <v>111</v>
      </c>
      <c r="CE9" s="3"/>
      <c r="CF9" s="3"/>
      <c r="CG9" s="3" t="s">
        <v>5776</v>
      </c>
      <c r="CI9" s="3" t="s">
        <v>97</v>
      </c>
      <c r="CK9" s="3" t="s">
        <v>482</v>
      </c>
      <c r="CL9" s="3" t="s">
        <v>5525</v>
      </c>
      <c r="CM9" s="16" t="s">
        <v>125</v>
      </c>
      <c r="CN9" s="16" t="s">
        <v>167</v>
      </c>
      <c r="CO9" s="16" t="s">
        <v>5777</v>
      </c>
      <c r="CP9" s="16"/>
      <c r="CQ9" s="16"/>
      <c r="CR9" s="16" t="s">
        <v>5816</v>
      </c>
      <c r="CS9" s="16" t="s">
        <v>5765</v>
      </c>
    </row>
    <row r="10" spans="1:97" ht="12.75" customHeight="1">
      <c r="A10" s="19" t="s">
        <v>5817</v>
      </c>
      <c r="B10" s="3" t="s">
        <v>5818</v>
      </c>
      <c r="C10" s="3" t="s">
        <v>97</v>
      </c>
      <c r="D10" s="3" t="s">
        <v>5819</v>
      </c>
      <c r="E10" s="16" t="s">
        <v>97</v>
      </c>
      <c r="F10" s="131" t="s">
        <v>5820</v>
      </c>
      <c r="G10" s="25"/>
      <c r="H10" s="25"/>
      <c r="I10" s="100" t="s">
        <v>342</v>
      </c>
      <c r="J10" s="16" t="s">
        <v>101</v>
      </c>
      <c r="K10" s="16"/>
      <c r="L10" s="16" t="s">
        <v>4394</v>
      </c>
      <c r="M10" s="16" t="s">
        <v>4395</v>
      </c>
      <c r="N10" s="16"/>
      <c r="P10" s="26" t="s">
        <v>5821</v>
      </c>
      <c r="Q10" s="26" t="s">
        <v>5822</v>
      </c>
      <c r="R10" s="26" t="s">
        <v>5823</v>
      </c>
      <c r="S10" s="19" t="s">
        <v>5824</v>
      </c>
      <c r="T10" s="133" t="s">
        <v>5774</v>
      </c>
      <c r="U10" s="113">
        <v>4</v>
      </c>
      <c r="X10" s="31" t="s">
        <v>108</v>
      </c>
      <c r="Y10" s="93">
        <f t="shared" si="8"/>
        <v>1</v>
      </c>
      <c r="Z10" s="3">
        <v>0</v>
      </c>
      <c r="AA10" s="3" t="s">
        <v>5825</v>
      </c>
      <c r="AD10" s="6">
        <f t="shared" si="0"/>
        <v>107.25</v>
      </c>
      <c r="AE10" s="72">
        <v>113.01630504000001</v>
      </c>
      <c r="AF10" s="17">
        <f t="shared" si="9"/>
        <v>128.69999999999999</v>
      </c>
      <c r="AG10" s="6">
        <f t="shared" si="1"/>
        <v>73.459999999999994</v>
      </c>
      <c r="AH10" s="32" t="s">
        <v>110</v>
      </c>
      <c r="AI10" s="3">
        <v>0.65</v>
      </c>
      <c r="AJ10" s="18">
        <v>0.46</v>
      </c>
      <c r="AK10" s="6">
        <f t="shared" si="2"/>
        <v>105.11</v>
      </c>
      <c r="AL10" s="6">
        <f t="shared" si="3"/>
        <v>104.03</v>
      </c>
      <c r="AM10" s="6">
        <f t="shared" si="4"/>
        <v>102.96</v>
      </c>
      <c r="AN10" s="6">
        <f t="shared" si="5"/>
        <v>101.89</v>
      </c>
      <c r="AO10" s="6">
        <f t="shared" si="6"/>
        <v>107.25</v>
      </c>
      <c r="BG10" s="12">
        <v>0.02</v>
      </c>
      <c r="BH10" s="12">
        <v>0.03</v>
      </c>
      <c r="BI10" s="12">
        <v>0.04</v>
      </c>
      <c r="BJ10" s="12">
        <v>0.05</v>
      </c>
      <c r="BK10" s="12"/>
      <c r="CC10" s="3" t="str">
        <f t="shared" si="7"/>
        <v>Allied-Moulded-AMHMI120CCHTP.jpg</v>
      </c>
      <c r="CD10" s="16" t="s">
        <v>111</v>
      </c>
      <c r="CE10" s="3"/>
      <c r="CF10" s="3"/>
      <c r="CG10" s="3" t="s">
        <v>5776</v>
      </c>
      <c r="CI10" s="3" t="s">
        <v>97</v>
      </c>
      <c r="CK10" s="3" t="s">
        <v>482</v>
      </c>
      <c r="CL10" s="3" t="s">
        <v>5525</v>
      </c>
      <c r="CM10" s="16" t="s">
        <v>125</v>
      </c>
      <c r="CN10" s="16" t="s">
        <v>167</v>
      </c>
      <c r="CO10" s="16" t="s">
        <v>121</v>
      </c>
      <c r="CP10" s="16"/>
      <c r="CQ10" s="16"/>
      <c r="CR10" s="16" t="s">
        <v>5816</v>
      </c>
      <c r="CS10" s="16" t="s">
        <v>5765</v>
      </c>
    </row>
    <row r="11" spans="1:97" ht="12.75" customHeight="1">
      <c r="A11" s="19" t="s">
        <v>5826</v>
      </c>
      <c r="B11" s="3" t="s">
        <v>5827</v>
      </c>
      <c r="C11" s="3" t="s">
        <v>97</v>
      </c>
      <c r="D11" s="3" t="s">
        <v>5828</v>
      </c>
      <c r="E11" s="16" t="s">
        <v>97</v>
      </c>
      <c r="F11" s="131" t="s">
        <v>5829</v>
      </c>
      <c r="G11" s="25"/>
      <c r="H11" s="25"/>
      <c r="I11" s="100" t="s">
        <v>342</v>
      </c>
      <c r="J11" s="16" t="s">
        <v>101</v>
      </c>
      <c r="K11" s="16"/>
      <c r="L11" s="16" t="s">
        <v>4394</v>
      </c>
      <c r="M11" s="16" t="s">
        <v>4395</v>
      </c>
      <c r="N11" s="16"/>
      <c r="P11" s="26" t="s">
        <v>5830</v>
      </c>
      <c r="Q11" s="26" t="s">
        <v>5831</v>
      </c>
      <c r="R11" s="26" t="s">
        <v>5832</v>
      </c>
      <c r="S11" s="19" t="s">
        <v>5833</v>
      </c>
      <c r="T11" s="133" t="s">
        <v>5795</v>
      </c>
      <c r="U11" s="113">
        <v>5</v>
      </c>
      <c r="X11" s="31" t="s">
        <v>108</v>
      </c>
      <c r="Y11" s="93">
        <f t="shared" si="8"/>
        <v>1</v>
      </c>
      <c r="Z11" s="3">
        <v>0</v>
      </c>
      <c r="AA11" s="3" t="s">
        <v>5834</v>
      </c>
      <c r="AD11" s="6">
        <f t="shared" si="0"/>
        <v>108.2</v>
      </c>
      <c r="AE11" s="72">
        <v>114.01312770999999</v>
      </c>
      <c r="AF11" s="17">
        <f t="shared" si="9"/>
        <v>129.84</v>
      </c>
      <c r="AG11" s="6">
        <f t="shared" si="1"/>
        <v>74.11</v>
      </c>
      <c r="AH11" s="32" t="s">
        <v>110</v>
      </c>
      <c r="AI11" s="3">
        <v>0.65</v>
      </c>
      <c r="AJ11" s="18">
        <v>0.46</v>
      </c>
      <c r="AK11" s="6">
        <f t="shared" si="2"/>
        <v>106.04</v>
      </c>
      <c r="AL11" s="6">
        <f t="shared" si="3"/>
        <v>104.95</v>
      </c>
      <c r="AM11" s="6">
        <f t="shared" si="4"/>
        <v>103.87</v>
      </c>
      <c r="AN11" s="6">
        <f t="shared" si="5"/>
        <v>102.79</v>
      </c>
      <c r="AO11" s="6">
        <f t="shared" si="6"/>
        <v>108.2</v>
      </c>
      <c r="BG11" s="12">
        <v>0.02</v>
      </c>
      <c r="BH11" s="12">
        <v>0.03</v>
      </c>
      <c r="BI11" s="12">
        <v>0.04</v>
      </c>
      <c r="BJ11" s="12">
        <v>0.05</v>
      </c>
      <c r="BK11" s="12"/>
      <c r="CC11" s="3" t="str">
        <f t="shared" si="7"/>
        <v>Allied-Moulded-AMHMI142HTP.jpg</v>
      </c>
      <c r="CD11" s="16" t="s">
        <v>111</v>
      </c>
      <c r="CE11" s="3"/>
      <c r="CF11" s="3"/>
      <c r="CG11" s="3" t="s">
        <v>5776</v>
      </c>
      <c r="CI11" s="3" t="s">
        <v>97</v>
      </c>
      <c r="CK11" s="3" t="s">
        <v>482</v>
      </c>
      <c r="CL11" s="3" t="s">
        <v>5525</v>
      </c>
      <c r="CM11" s="16" t="s">
        <v>1037</v>
      </c>
      <c r="CN11" s="16" t="s">
        <v>125</v>
      </c>
      <c r="CO11" s="16" t="s">
        <v>5777</v>
      </c>
      <c r="CP11" s="16"/>
      <c r="CQ11" s="16"/>
      <c r="CR11" s="16" t="s">
        <v>5816</v>
      </c>
      <c r="CS11" s="16" t="s">
        <v>5765</v>
      </c>
    </row>
    <row r="12" spans="1:97" ht="12.75" customHeight="1">
      <c r="A12" s="19" t="s">
        <v>5835</v>
      </c>
      <c r="B12" s="3" t="s">
        <v>5836</v>
      </c>
      <c r="C12" s="3" t="s">
        <v>97</v>
      </c>
      <c r="D12" s="3" t="s">
        <v>5837</v>
      </c>
      <c r="E12" s="16" t="s">
        <v>97</v>
      </c>
      <c r="F12" s="131" t="s">
        <v>5838</v>
      </c>
      <c r="G12" s="25"/>
      <c r="H12" s="25"/>
      <c r="I12" s="100" t="s">
        <v>342</v>
      </c>
      <c r="J12" s="16" t="s">
        <v>101</v>
      </c>
      <c r="K12" s="16"/>
      <c r="L12" s="16" t="s">
        <v>4394</v>
      </c>
      <c r="M12" s="16" t="s">
        <v>4395</v>
      </c>
      <c r="N12" s="16"/>
      <c r="P12" s="26" t="s">
        <v>5839</v>
      </c>
      <c r="Q12" s="26" t="s">
        <v>5840</v>
      </c>
      <c r="R12" s="26" t="s">
        <v>5841</v>
      </c>
      <c r="S12" s="19" t="s">
        <v>5842</v>
      </c>
      <c r="T12" s="133" t="s">
        <v>5795</v>
      </c>
      <c r="U12" s="113">
        <v>5</v>
      </c>
      <c r="X12" s="31" t="s">
        <v>108</v>
      </c>
      <c r="Y12" s="93">
        <f t="shared" si="8"/>
        <v>1</v>
      </c>
      <c r="Z12" s="3">
        <v>0</v>
      </c>
      <c r="AA12" s="3" t="s">
        <v>5843</v>
      </c>
      <c r="AD12" s="6">
        <f t="shared" si="0"/>
        <v>117.6</v>
      </c>
      <c r="AE12" s="72">
        <v>123.92354257000001</v>
      </c>
      <c r="AF12" s="17">
        <f t="shared" si="9"/>
        <v>141.11999999999998</v>
      </c>
      <c r="AG12" s="6">
        <f t="shared" si="1"/>
        <v>80.55</v>
      </c>
      <c r="AH12" s="32" t="s">
        <v>110</v>
      </c>
      <c r="AI12" s="3">
        <v>0.65</v>
      </c>
      <c r="AJ12" s="18">
        <v>0.46</v>
      </c>
      <c r="AK12" s="6">
        <f t="shared" si="2"/>
        <v>115.25</v>
      </c>
      <c r="AL12" s="6">
        <f t="shared" si="3"/>
        <v>114.07</v>
      </c>
      <c r="AM12" s="6">
        <f t="shared" si="4"/>
        <v>112.9</v>
      </c>
      <c r="AN12" s="6">
        <f t="shared" si="5"/>
        <v>111.72</v>
      </c>
      <c r="AO12" s="6">
        <f t="shared" si="6"/>
        <v>117.6</v>
      </c>
      <c r="BG12" s="12">
        <v>0.02</v>
      </c>
      <c r="BH12" s="12">
        <v>0.03</v>
      </c>
      <c r="BI12" s="12">
        <v>0.04</v>
      </c>
      <c r="BJ12" s="12">
        <v>0.05</v>
      </c>
      <c r="BK12" s="12"/>
      <c r="CC12" s="3" t="str">
        <f t="shared" si="7"/>
        <v>Allied-Moulded-AMHMI142CCHTP.jpg</v>
      </c>
      <c r="CD12" s="16" t="s">
        <v>111</v>
      </c>
      <c r="CE12" s="3"/>
      <c r="CF12" s="3"/>
      <c r="CG12" s="3" t="s">
        <v>5776</v>
      </c>
      <c r="CI12" s="3" t="s">
        <v>97</v>
      </c>
      <c r="CK12" s="3" t="s">
        <v>482</v>
      </c>
      <c r="CL12" s="3" t="s">
        <v>5525</v>
      </c>
      <c r="CM12" s="16" t="s">
        <v>1037</v>
      </c>
      <c r="CN12" s="16" t="s">
        <v>125</v>
      </c>
      <c r="CO12" s="16" t="s">
        <v>121</v>
      </c>
      <c r="CP12" s="16"/>
      <c r="CQ12" s="16"/>
      <c r="CR12" s="16" t="s">
        <v>5816</v>
      </c>
      <c r="CS12" s="16" t="s">
        <v>5765</v>
      </c>
    </row>
    <row r="13" spans="1:97" ht="12.75" customHeight="1">
      <c r="A13" s="19" t="s">
        <v>5844</v>
      </c>
      <c r="B13" s="3" t="s">
        <v>5845</v>
      </c>
      <c r="C13" s="3" t="s">
        <v>97</v>
      </c>
      <c r="D13" s="3" t="s">
        <v>5846</v>
      </c>
      <c r="E13" s="16" t="s">
        <v>97</v>
      </c>
      <c r="F13" s="131" t="s">
        <v>5847</v>
      </c>
      <c r="G13" s="25"/>
      <c r="H13" s="25"/>
      <c r="I13" s="100" t="s">
        <v>342</v>
      </c>
      <c r="J13" s="16" t="s">
        <v>101</v>
      </c>
      <c r="K13" s="16"/>
      <c r="L13" s="16" t="s">
        <v>4394</v>
      </c>
      <c r="M13" s="16" t="s">
        <v>4395</v>
      </c>
      <c r="N13" s="16"/>
      <c r="P13" s="26" t="s">
        <v>5848</v>
      </c>
      <c r="Q13" s="26" t="s">
        <v>5849</v>
      </c>
      <c r="R13" s="26" t="s">
        <v>5850</v>
      </c>
      <c r="S13" s="19" t="s">
        <v>5851</v>
      </c>
      <c r="T13" s="133" t="s">
        <v>5774</v>
      </c>
      <c r="U13" s="113">
        <v>4</v>
      </c>
      <c r="X13" s="31" t="s">
        <v>108</v>
      </c>
      <c r="Y13" s="93">
        <f t="shared" si="8"/>
        <v>1</v>
      </c>
      <c r="Z13" s="3">
        <v>0</v>
      </c>
      <c r="AA13" s="3" t="s">
        <v>5852</v>
      </c>
      <c r="AD13" s="6">
        <f t="shared" si="0"/>
        <v>105.35</v>
      </c>
      <c r="AE13" s="72">
        <v>111.00821910000001</v>
      </c>
      <c r="AF13" s="17">
        <f t="shared" si="9"/>
        <v>126.41999999999999</v>
      </c>
      <c r="AG13" s="6">
        <f t="shared" si="1"/>
        <v>72.16</v>
      </c>
      <c r="AH13" s="32" t="s">
        <v>110</v>
      </c>
      <c r="AI13" s="3">
        <v>0.65</v>
      </c>
      <c r="AJ13" s="18">
        <v>0.46</v>
      </c>
      <c r="AK13" s="6">
        <f t="shared" si="2"/>
        <v>103.24</v>
      </c>
      <c r="AL13" s="6">
        <f t="shared" si="3"/>
        <v>102.19</v>
      </c>
      <c r="AM13" s="6">
        <f t="shared" si="4"/>
        <v>101.14</v>
      </c>
      <c r="AN13" s="6">
        <f t="shared" si="5"/>
        <v>100.08</v>
      </c>
      <c r="AO13" s="6">
        <f t="shared" si="6"/>
        <v>105.35</v>
      </c>
      <c r="BG13" s="12">
        <v>0.02</v>
      </c>
      <c r="BH13" s="12">
        <v>0.03</v>
      </c>
      <c r="BI13" s="12">
        <v>0.04</v>
      </c>
      <c r="BJ13" s="12">
        <v>0.05</v>
      </c>
      <c r="BK13" s="12"/>
      <c r="CC13" s="3" t="str">
        <f t="shared" si="7"/>
        <v>Allied-Moulded-AMHMI120L.jpg</v>
      </c>
      <c r="CD13" s="16" t="s">
        <v>111</v>
      </c>
      <c r="CE13" s="3"/>
      <c r="CF13" s="3"/>
      <c r="CG13" s="3" t="s">
        <v>5776</v>
      </c>
      <c r="CI13" s="3" t="s">
        <v>97</v>
      </c>
      <c r="CK13" s="3" t="s">
        <v>482</v>
      </c>
      <c r="CL13" s="3" t="s">
        <v>5525</v>
      </c>
      <c r="CM13" s="16" t="s">
        <v>125</v>
      </c>
      <c r="CN13" s="16" t="s">
        <v>167</v>
      </c>
      <c r="CO13" s="16" t="s">
        <v>5777</v>
      </c>
      <c r="CP13" s="16"/>
      <c r="CQ13" s="16"/>
      <c r="CS13" s="16" t="s">
        <v>5853</v>
      </c>
    </row>
    <row r="14" spans="1:97" ht="12.75" customHeight="1">
      <c r="A14" s="19" t="s">
        <v>5854</v>
      </c>
      <c r="B14" s="3" t="s">
        <v>5855</v>
      </c>
      <c r="C14" s="3" t="s">
        <v>97</v>
      </c>
      <c r="D14" s="3" t="s">
        <v>5856</v>
      </c>
      <c r="E14" s="16" t="s">
        <v>97</v>
      </c>
      <c r="F14" s="131" t="s">
        <v>5857</v>
      </c>
      <c r="G14" s="25"/>
      <c r="H14" s="25"/>
      <c r="I14" s="100" t="s">
        <v>342</v>
      </c>
      <c r="J14" s="16" t="s">
        <v>101</v>
      </c>
      <c r="K14" s="16"/>
      <c r="L14" s="16" t="s">
        <v>4394</v>
      </c>
      <c r="M14" s="16" t="s">
        <v>4395</v>
      </c>
      <c r="N14" s="16"/>
      <c r="P14" s="26" t="s">
        <v>5858</v>
      </c>
      <c r="Q14" s="26" t="s">
        <v>5859</v>
      </c>
      <c r="R14" s="26" t="s">
        <v>5860</v>
      </c>
      <c r="S14" s="19" t="s">
        <v>5861</v>
      </c>
      <c r="T14" s="133" t="s">
        <v>5774</v>
      </c>
      <c r="U14" s="113">
        <v>4</v>
      </c>
      <c r="X14" s="31" t="s">
        <v>108</v>
      </c>
      <c r="Y14" s="93">
        <f t="shared" si="8"/>
        <v>1</v>
      </c>
      <c r="Z14" s="3">
        <v>0</v>
      </c>
      <c r="AA14" s="3" t="s">
        <v>5862</v>
      </c>
      <c r="AD14" s="6">
        <f t="shared" si="0"/>
        <v>114.84</v>
      </c>
      <c r="AE14" s="72">
        <v>121.01976348000002</v>
      </c>
      <c r="AF14" s="17">
        <f t="shared" si="9"/>
        <v>137.80799999999999</v>
      </c>
      <c r="AG14" s="6">
        <f t="shared" si="1"/>
        <v>78.66</v>
      </c>
      <c r="AH14" s="32" t="s">
        <v>110</v>
      </c>
      <c r="AI14" s="3">
        <v>0.65</v>
      </c>
      <c r="AJ14" s="18">
        <v>0.46</v>
      </c>
      <c r="AK14" s="6">
        <f t="shared" si="2"/>
        <v>112.54</v>
      </c>
      <c r="AL14" s="6">
        <f t="shared" si="3"/>
        <v>111.39</v>
      </c>
      <c r="AM14" s="6">
        <f t="shared" si="4"/>
        <v>110.25</v>
      </c>
      <c r="AN14" s="6">
        <f t="shared" si="5"/>
        <v>109.1</v>
      </c>
      <c r="AO14" s="6">
        <f t="shared" si="6"/>
        <v>114.84</v>
      </c>
      <c r="BG14" s="12">
        <v>0.02</v>
      </c>
      <c r="BH14" s="12">
        <v>0.03</v>
      </c>
      <c r="BI14" s="12">
        <v>0.04</v>
      </c>
      <c r="BJ14" s="12">
        <v>0.05</v>
      </c>
      <c r="BK14" s="12"/>
      <c r="CC14" s="3" t="str">
        <f t="shared" si="7"/>
        <v>Allied-Moulded-AMHMI120CCL.jpg</v>
      </c>
      <c r="CD14" s="16" t="s">
        <v>111</v>
      </c>
      <c r="CE14" s="3"/>
      <c r="CF14" s="3"/>
      <c r="CG14" s="3" t="s">
        <v>5776</v>
      </c>
      <c r="CI14" s="3" t="s">
        <v>97</v>
      </c>
      <c r="CK14" s="3" t="s">
        <v>482</v>
      </c>
      <c r="CL14" s="3" t="s">
        <v>5525</v>
      </c>
      <c r="CM14" s="16" t="s">
        <v>125</v>
      </c>
      <c r="CN14" s="16" t="s">
        <v>167</v>
      </c>
      <c r="CO14" s="16" t="s">
        <v>121</v>
      </c>
      <c r="CP14" s="16"/>
      <c r="CQ14" s="16"/>
      <c r="CS14" s="16" t="s">
        <v>5853</v>
      </c>
    </row>
    <row r="15" spans="1:97" ht="12.75" customHeight="1">
      <c r="A15" s="19" t="s">
        <v>5863</v>
      </c>
      <c r="B15" s="3" t="s">
        <v>5864</v>
      </c>
      <c r="C15" s="3" t="s">
        <v>97</v>
      </c>
      <c r="D15" s="3" t="s">
        <v>5865</v>
      </c>
      <c r="E15" s="16" t="s">
        <v>97</v>
      </c>
      <c r="F15" s="131" t="s">
        <v>5866</v>
      </c>
      <c r="G15" s="25"/>
      <c r="H15" s="25"/>
      <c r="I15" s="100" t="s">
        <v>342</v>
      </c>
      <c r="J15" s="16" t="s">
        <v>101</v>
      </c>
      <c r="K15" s="16"/>
      <c r="L15" s="16" t="s">
        <v>4394</v>
      </c>
      <c r="M15" s="16" t="s">
        <v>4395</v>
      </c>
      <c r="N15" s="16"/>
      <c r="P15" s="26" t="s">
        <v>5867</v>
      </c>
      <c r="Q15" s="26" t="s">
        <v>5868</v>
      </c>
      <c r="R15" s="26" t="s">
        <v>5869</v>
      </c>
      <c r="S15" s="19" t="s">
        <v>5870</v>
      </c>
      <c r="T15" s="133" t="s">
        <v>5795</v>
      </c>
      <c r="U15" s="113">
        <v>5</v>
      </c>
      <c r="X15" s="31" t="s">
        <v>108</v>
      </c>
      <c r="Y15" s="93">
        <f t="shared" si="8"/>
        <v>1</v>
      </c>
      <c r="Z15" s="3">
        <v>0</v>
      </c>
      <c r="AA15" s="3" t="s">
        <v>5871</v>
      </c>
      <c r="AD15" s="6">
        <f t="shared" si="0"/>
        <v>115.89</v>
      </c>
      <c r="AE15" s="72">
        <v>122.11770845999997</v>
      </c>
      <c r="AF15" s="17">
        <f t="shared" si="9"/>
        <v>139.06799999999998</v>
      </c>
      <c r="AG15" s="6">
        <f t="shared" si="1"/>
        <v>79.38</v>
      </c>
      <c r="AH15" s="32" t="s">
        <v>110</v>
      </c>
      <c r="AI15" s="3">
        <v>0.65</v>
      </c>
      <c r="AJ15" s="18">
        <v>0.46</v>
      </c>
      <c r="AK15" s="6">
        <f t="shared" si="2"/>
        <v>113.57</v>
      </c>
      <c r="AL15" s="6">
        <f t="shared" si="3"/>
        <v>112.41</v>
      </c>
      <c r="AM15" s="6">
        <f t="shared" si="4"/>
        <v>111.25</v>
      </c>
      <c r="AN15" s="6">
        <f t="shared" si="5"/>
        <v>110.1</v>
      </c>
      <c r="AO15" s="6">
        <f t="shared" si="6"/>
        <v>115.89</v>
      </c>
      <c r="BG15" s="12">
        <v>0.02</v>
      </c>
      <c r="BH15" s="12">
        <v>0.03</v>
      </c>
      <c r="BI15" s="12">
        <v>0.04</v>
      </c>
      <c r="BJ15" s="12">
        <v>0.05</v>
      </c>
      <c r="BK15" s="12"/>
      <c r="CC15" s="3" t="str">
        <f t="shared" si="7"/>
        <v>Allied-Moulded-AMHMI142L.jpg</v>
      </c>
      <c r="CD15" s="16" t="s">
        <v>111</v>
      </c>
      <c r="CE15" s="3"/>
      <c r="CF15" s="3"/>
      <c r="CG15" s="3" t="s">
        <v>5776</v>
      </c>
      <c r="CI15" s="3" t="s">
        <v>97</v>
      </c>
      <c r="CK15" s="3" t="s">
        <v>482</v>
      </c>
      <c r="CL15" s="3" t="s">
        <v>5525</v>
      </c>
      <c r="CM15" s="16" t="s">
        <v>1037</v>
      </c>
      <c r="CN15" s="16" t="s">
        <v>125</v>
      </c>
      <c r="CO15" s="16" t="s">
        <v>5777</v>
      </c>
      <c r="CP15" s="16"/>
      <c r="CQ15" s="16"/>
      <c r="CS15" s="16" t="s">
        <v>5853</v>
      </c>
    </row>
    <row r="16" spans="1:97" ht="12.75" customHeight="1">
      <c r="A16" s="19" t="s">
        <v>5872</v>
      </c>
      <c r="B16" s="3" t="s">
        <v>5873</v>
      </c>
      <c r="C16" s="3" t="s">
        <v>97</v>
      </c>
      <c r="D16" s="3" t="s">
        <v>5874</v>
      </c>
      <c r="E16" s="16" t="s">
        <v>97</v>
      </c>
      <c r="F16" s="131" t="s">
        <v>5875</v>
      </c>
      <c r="G16" s="25"/>
      <c r="H16" s="25"/>
      <c r="I16" s="100" t="s">
        <v>342</v>
      </c>
      <c r="J16" s="16" t="s">
        <v>101</v>
      </c>
      <c r="K16" s="16"/>
      <c r="L16" s="16" t="s">
        <v>4394</v>
      </c>
      <c r="M16" s="16" t="s">
        <v>4395</v>
      </c>
      <c r="N16" s="16"/>
      <c r="P16" s="26" t="s">
        <v>5876</v>
      </c>
      <c r="Q16" s="26" t="s">
        <v>5877</v>
      </c>
      <c r="R16" s="26" t="s">
        <v>5878</v>
      </c>
      <c r="S16" s="19" t="s">
        <v>5879</v>
      </c>
      <c r="T16" s="133" t="s">
        <v>5795</v>
      </c>
      <c r="U16" s="113">
        <v>5</v>
      </c>
      <c r="X16" s="31" t="s">
        <v>108</v>
      </c>
      <c r="Y16" s="93">
        <f t="shared" si="8"/>
        <v>1</v>
      </c>
      <c r="Z16" s="3">
        <v>0</v>
      </c>
      <c r="AA16" s="3" t="s">
        <v>5880</v>
      </c>
      <c r="AD16" s="6">
        <f t="shared" si="0"/>
        <v>126.71</v>
      </c>
      <c r="AE16" s="72">
        <v>133.53058020000003</v>
      </c>
      <c r="AF16" s="17">
        <f t="shared" si="9"/>
        <v>152.05199999999999</v>
      </c>
      <c r="AG16" s="6">
        <f t="shared" si="1"/>
        <v>86.79</v>
      </c>
      <c r="AH16" s="32" t="s">
        <v>110</v>
      </c>
      <c r="AI16" s="3">
        <v>0.65</v>
      </c>
      <c r="AJ16" s="18">
        <v>0.46</v>
      </c>
      <c r="AK16" s="6">
        <f t="shared" si="2"/>
        <v>124.18</v>
      </c>
      <c r="AL16" s="6">
        <f t="shared" si="3"/>
        <v>122.91</v>
      </c>
      <c r="AM16" s="6">
        <f t="shared" si="4"/>
        <v>121.64</v>
      </c>
      <c r="AN16" s="6">
        <f t="shared" si="5"/>
        <v>120.37</v>
      </c>
      <c r="AO16" s="6">
        <f t="shared" si="6"/>
        <v>126.71</v>
      </c>
      <c r="BG16" s="12">
        <v>0.02</v>
      </c>
      <c r="BH16" s="12">
        <v>0.03</v>
      </c>
      <c r="BI16" s="12">
        <v>0.04</v>
      </c>
      <c r="BJ16" s="12">
        <v>0.05</v>
      </c>
      <c r="BK16" s="12"/>
      <c r="CC16" s="3" t="str">
        <f t="shared" si="7"/>
        <v>Allied-Moulded-AMHMI142CCL.jpg</v>
      </c>
      <c r="CD16" s="16" t="s">
        <v>111</v>
      </c>
      <c r="CE16" s="3"/>
      <c r="CF16" s="3"/>
      <c r="CG16" s="3" t="s">
        <v>5776</v>
      </c>
      <c r="CI16" s="3" t="s">
        <v>97</v>
      </c>
      <c r="CK16" s="3" t="s">
        <v>482</v>
      </c>
      <c r="CL16" s="3" t="s">
        <v>5525</v>
      </c>
      <c r="CM16" s="16" t="s">
        <v>1037</v>
      </c>
      <c r="CN16" s="16" t="s">
        <v>125</v>
      </c>
      <c r="CO16" s="16" t="s">
        <v>121</v>
      </c>
      <c r="CP16" s="16"/>
      <c r="CQ16" s="16"/>
      <c r="CS16" s="16" t="s">
        <v>5853</v>
      </c>
    </row>
    <row r="17" spans="1:92" ht="15" customHeight="1">
      <c r="A17" s="3" t="s">
        <v>5881</v>
      </c>
      <c r="B17" s="3" t="s">
        <v>5882</v>
      </c>
      <c r="C17" s="16" t="s">
        <v>97</v>
      </c>
      <c r="D17" t="s">
        <v>5883</v>
      </c>
      <c r="E17" s="16" t="s">
        <v>97</v>
      </c>
      <c r="F17" s="131" t="s">
        <v>5884</v>
      </c>
      <c r="I17" s="100" t="s">
        <v>342</v>
      </c>
      <c r="J17" s="16" t="s">
        <v>101</v>
      </c>
      <c r="K17" s="16"/>
      <c r="L17" s="16" t="s">
        <v>4394</v>
      </c>
      <c r="M17" s="16" t="s">
        <v>5757</v>
      </c>
      <c r="P17" s="3" t="s">
        <v>5881</v>
      </c>
      <c r="Q17" s="3" t="s">
        <v>5881</v>
      </c>
      <c r="R17" s="3" t="s">
        <v>5881</v>
      </c>
      <c r="S17" s="3" t="s">
        <v>5881</v>
      </c>
      <c r="T17" s="131" t="s">
        <v>5885</v>
      </c>
      <c r="U17" s="114">
        <v>8</v>
      </c>
      <c r="V17" s="114"/>
      <c r="W17"/>
      <c r="X17" s="59" t="s">
        <v>108</v>
      </c>
      <c r="Y17" s="93">
        <f t="shared" ref="Y17:Y42" si="10">IF(AD17=0, 0, IF(OR(H17="", H17&lt;&gt;0), 1, 0))</f>
        <v>1</v>
      </c>
      <c r="Z17" s="3">
        <v>0</v>
      </c>
      <c r="AA17" s="3" t="s">
        <v>5886</v>
      </c>
      <c r="AD17" s="6">
        <f t="shared" ref="AD17:AD42" si="11">ROUND((AG17*(1+AJ17)),2)</f>
        <v>158.77000000000001</v>
      </c>
      <c r="AE17" s="112">
        <v>180.93403330000001</v>
      </c>
      <c r="AF17" s="17">
        <f t="shared" si="9"/>
        <v>190.524</v>
      </c>
      <c r="AG17" s="6">
        <f t="shared" ref="AG17:AG42" si="12">ROUND((AE17*AI17),2)</f>
        <v>117.61</v>
      </c>
      <c r="AH17" s="30" t="s">
        <v>110</v>
      </c>
      <c r="AI17" s="3">
        <v>0.65</v>
      </c>
      <c r="AJ17" s="18">
        <v>0.35</v>
      </c>
      <c r="AK17" s="6">
        <f t="shared" ref="AK17:AK42" si="13">ROUND((AD17-(AD17*BG17)),2)</f>
        <v>157.18</v>
      </c>
      <c r="AL17" s="6">
        <f t="shared" ref="AL17:AL42" si="14">ROUND((AD17-(AD17*BH17)),2)</f>
        <v>155.59</v>
      </c>
      <c r="AM17" s="6">
        <f t="shared" ref="AM17:AM42" si="15">ROUND((AD17-(AD17*BI17)),2)</f>
        <v>154.01</v>
      </c>
      <c r="AN17" s="6">
        <f t="shared" ref="AN17:AN42" si="16">ROUND((AD17-(AD17*BJ17)),2)</f>
        <v>154.01</v>
      </c>
      <c r="AO17" s="6">
        <f t="shared" ref="AO17:AO42" si="17">ROUND((AD17-(AD17*BK17)),2)</f>
        <v>158.77000000000001</v>
      </c>
      <c r="BG17" s="12">
        <v>0.01</v>
      </c>
      <c r="BH17" s="12">
        <v>0.02</v>
      </c>
      <c r="BI17" s="12">
        <v>0.03</v>
      </c>
      <c r="BJ17" s="12">
        <v>0.03</v>
      </c>
      <c r="CC17" s="3" t="str">
        <f t="shared" ref="CC17:CC42" si="18">IF(B17&lt;&gt;"",CONCATENATE(SUBSTITUTE(B17," ","-"),".jpg"),"")</f>
        <v>Allied-Moulded-AMHMI206H.jpg</v>
      </c>
      <c r="CD17" s="16" t="s">
        <v>111</v>
      </c>
      <c r="CE17" s="3"/>
      <c r="CF17" s="3"/>
      <c r="CG17" s="3" t="s">
        <v>5887</v>
      </c>
      <c r="CI17" s="3" t="s">
        <v>97</v>
      </c>
      <c r="CK17" s="3" t="s">
        <v>482</v>
      </c>
      <c r="CM17" s="3" t="s">
        <v>2145</v>
      </c>
      <c r="CN17" s="3" t="s">
        <v>242</v>
      </c>
    </row>
    <row r="18" spans="1:92" ht="15" customHeight="1">
      <c r="A18" s="3" t="s">
        <v>5888</v>
      </c>
      <c r="B18" s="3" t="s">
        <v>5889</v>
      </c>
      <c r="C18" s="16" t="s">
        <v>97</v>
      </c>
      <c r="D18" t="s">
        <v>5890</v>
      </c>
      <c r="E18" s="16" t="s">
        <v>97</v>
      </c>
      <c r="F18" s="131" t="s">
        <v>5891</v>
      </c>
      <c r="I18" s="100" t="s">
        <v>342</v>
      </c>
      <c r="J18" s="16" t="s">
        <v>101</v>
      </c>
      <c r="K18" s="16"/>
      <c r="L18" s="16" t="s">
        <v>4394</v>
      </c>
      <c r="M18" s="16" t="s">
        <v>5757</v>
      </c>
      <c r="P18" s="3" t="s">
        <v>5888</v>
      </c>
      <c r="Q18" s="3" t="s">
        <v>5888</v>
      </c>
      <c r="R18" s="3" t="s">
        <v>5888</v>
      </c>
      <c r="S18" s="3" t="s">
        <v>5888</v>
      </c>
      <c r="T18" s="131" t="s">
        <v>5885</v>
      </c>
      <c r="U18" s="114">
        <v>8</v>
      </c>
      <c r="V18" s="114"/>
      <c r="W18"/>
      <c r="X18" s="59" t="s">
        <v>108</v>
      </c>
      <c r="Y18" s="93">
        <f t="shared" si="10"/>
        <v>1</v>
      </c>
      <c r="Z18" s="3">
        <v>0</v>
      </c>
      <c r="AA18" s="3" t="s">
        <v>5892</v>
      </c>
      <c r="AD18" s="6">
        <f t="shared" si="11"/>
        <v>162.03</v>
      </c>
      <c r="AE18" s="112">
        <v>184.65157625000001</v>
      </c>
      <c r="AF18" s="17">
        <f t="shared" si="9"/>
        <v>194.43600000000001</v>
      </c>
      <c r="AG18" s="6">
        <f t="shared" si="12"/>
        <v>120.02</v>
      </c>
      <c r="AH18" s="30" t="s">
        <v>110</v>
      </c>
      <c r="AI18" s="3">
        <v>0.65</v>
      </c>
      <c r="AJ18" s="18">
        <v>0.35</v>
      </c>
      <c r="AK18" s="6">
        <f t="shared" si="13"/>
        <v>160.41</v>
      </c>
      <c r="AL18" s="6">
        <f t="shared" si="14"/>
        <v>158.79</v>
      </c>
      <c r="AM18" s="6">
        <f t="shared" si="15"/>
        <v>157.16999999999999</v>
      </c>
      <c r="AN18" s="6">
        <f t="shared" si="16"/>
        <v>157.16999999999999</v>
      </c>
      <c r="AO18" s="6">
        <f t="shared" si="17"/>
        <v>162.03</v>
      </c>
      <c r="BG18" s="12">
        <v>0.01</v>
      </c>
      <c r="BH18" s="12">
        <v>0.02</v>
      </c>
      <c r="BI18" s="12">
        <v>0.03</v>
      </c>
      <c r="BJ18" s="12">
        <v>0.03</v>
      </c>
      <c r="CC18" s="3" t="str">
        <f t="shared" si="18"/>
        <v>Allied-Moulded-AMHMI206CCH.jpg</v>
      </c>
      <c r="CD18" s="16" t="s">
        <v>111</v>
      </c>
      <c r="CE18" s="3"/>
      <c r="CF18" s="3"/>
      <c r="CG18" s="3" t="s">
        <v>5887</v>
      </c>
      <c r="CI18" s="3" t="s">
        <v>97</v>
      </c>
      <c r="CK18" s="3" t="s">
        <v>5893</v>
      </c>
      <c r="CM18" s="3" t="s">
        <v>2145</v>
      </c>
      <c r="CN18" s="3" t="s">
        <v>242</v>
      </c>
    </row>
    <row r="19" spans="1:92" ht="15" customHeight="1">
      <c r="A19" s="3" t="s">
        <v>5894</v>
      </c>
      <c r="B19" s="3" t="s">
        <v>5895</v>
      </c>
      <c r="C19" s="16" t="s">
        <v>97</v>
      </c>
      <c r="D19" s="39" t="s">
        <v>5896</v>
      </c>
      <c r="E19" s="16" t="s">
        <v>97</v>
      </c>
      <c r="F19" s="131" t="s">
        <v>5897</v>
      </c>
      <c r="I19" s="100" t="s">
        <v>342</v>
      </c>
      <c r="J19" s="16" t="s">
        <v>101</v>
      </c>
      <c r="K19" s="16"/>
      <c r="L19" s="16" t="s">
        <v>4394</v>
      </c>
      <c r="M19" s="16" t="s">
        <v>5757</v>
      </c>
      <c r="P19" s="3" t="s">
        <v>5894</v>
      </c>
      <c r="Q19" s="3" t="s">
        <v>5894</v>
      </c>
      <c r="R19" s="3" t="s">
        <v>5894</v>
      </c>
      <c r="S19" s="3" t="s">
        <v>5894</v>
      </c>
      <c r="T19" s="131" t="s">
        <v>5885</v>
      </c>
      <c r="U19" s="115">
        <v>8</v>
      </c>
      <c r="V19" s="115"/>
      <c r="W19" s="54"/>
      <c r="X19" s="59" t="s">
        <v>108</v>
      </c>
      <c r="Y19" s="93">
        <f t="shared" si="10"/>
        <v>1</v>
      </c>
      <c r="Z19" s="3">
        <v>0</v>
      </c>
      <c r="AA19" s="3" t="s">
        <v>5898</v>
      </c>
      <c r="AD19" s="6">
        <f t="shared" si="11"/>
        <v>163.69</v>
      </c>
      <c r="AE19" s="74">
        <v>186.54439180000003</v>
      </c>
      <c r="AF19" s="17">
        <f t="shared" si="9"/>
        <v>196.428</v>
      </c>
      <c r="AG19" s="6">
        <f t="shared" si="12"/>
        <v>121.25</v>
      </c>
      <c r="AH19" s="30" t="s">
        <v>110</v>
      </c>
      <c r="AI19" s="3">
        <v>0.65</v>
      </c>
      <c r="AJ19" s="18">
        <v>0.35</v>
      </c>
      <c r="AK19" s="6">
        <f t="shared" si="13"/>
        <v>162.05000000000001</v>
      </c>
      <c r="AL19" s="6">
        <f t="shared" si="14"/>
        <v>160.41999999999999</v>
      </c>
      <c r="AM19" s="6">
        <f t="shared" si="15"/>
        <v>158.78</v>
      </c>
      <c r="AN19" s="6">
        <f t="shared" si="16"/>
        <v>158.78</v>
      </c>
      <c r="AO19" s="6">
        <f t="shared" si="17"/>
        <v>163.69</v>
      </c>
      <c r="BG19" s="12">
        <v>0.01</v>
      </c>
      <c r="BH19" s="12">
        <v>0.02</v>
      </c>
      <c r="BI19" s="12">
        <v>0.03</v>
      </c>
      <c r="BJ19" s="12">
        <v>0.03</v>
      </c>
      <c r="CC19" s="3" t="str">
        <f t="shared" si="18"/>
        <v>Allied-Moulded-AMHMI206HTP.jpg</v>
      </c>
      <c r="CD19" s="16" t="s">
        <v>111</v>
      </c>
      <c r="CE19" s="3"/>
      <c r="CF19" s="3"/>
      <c r="CG19" s="3" t="s">
        <v>5887</v>
      </c>
      <c r="CI19" s="3" t="s">
        <v>97</v>
      </c>
      <c r="CK19" s="3" t="s">
        <v>482</v>
      </c>
      <c r="CM19" s="3" t="s">
        <v>2145</v>
      </c>
      <c r="CN19" s="3" t="s">
        <v>242</v>
      </c>
    </row>
    <row r="20" spans="1:92" ht="15" customHeight="1">
      <c r="A20" s="3" t="s">
        <v>5899</v>
      </c>
      <c r="B20" s="3" t="s">
        <v>5900</v>
      </c>
      <c r="C20" s="16" t="s">
        <v>97</v>
      </c>
      <c r="D20" s="40" t="s">
        <v>5901</v>
      </c>
      <c r="E20" s="16" t="s">
        <v>97</v>
      </c>
      <c r="F20" s="131" t="s">
        <v>5902</v>
      </c>
      <c r="I20" s="100" t="s">
        <v>342</v>
      </c>
      <c r="J20" s="16" t="s">
        <v>101</v>
      </c>
      <c r="K20" s="16"/>
      <c r="L20" s="16" t="s">
        <v>4394</v>
      </c>
      <c r="M20" s="16" t="s">
        <v>5757</v>
      </c>
      <c r="P20" s="3" t="s">
        <v>5899</v>
      </c>
      <c r="Q20" s="3" t="s">
        <v>5899</v>
      </c>
      <c r="R20" s="3" t="s">
        <v>5899</v>
      </c>
      <c r="S20" s="3" t="s">
        <v>5899</v>
      </c>
      <c r="T20" s="131" t="s">
        <v>5885</v>
      </c>
      <c r="U20" s="116">
        <v>8</v>
      </c>
      <c r="V20" s="116"/>
      <c r="W20" s="58"/>
      <c r="X20" s="59" t="s">
        <v>108</v>
      </c>
      <c r="Y20" s="93">
        <f t="shared" si="10"/>
        <v>1</v>
      </c>
      <c r="Z20" s="3">
        <v>0</v>
      </c>
      <c r="AA20" s="3" t="s">
        <v>5903</v>
      </c>
      <c r="AD20" s="6">
        <f t="shared" si="11"/>
        <v>167.27</v>
      </c>
      <c r="AE20" s="74">
        <v>190.61598592000001</v>
      </c>
      <c r="AF20" s="17">
        <f t="shared" si="9"/>
        <v>200.72400000000002</v>
      </c>
      <c r="AG20" s="6">
        <f t="shared" si="12"/>
        <v>123.9</v>
      </c>
      <c r="AH20" s="30" t="s">
        <v>110</v>
      </c>
      <c r="AI20" s="3">
        <v>0.65</v>
      </c>
      <c r="AJ20" s="18">
        <v>0.35</v>
      </c>
      <c r="AK20" s="6">
        <f t="shared" si="13"/>
        <v>165.6</v>
      </c>
      <c r="AL20" s="6">
        <f t="shared" si="14"/>
        <v>163.92</v>
      </c>
      <c r="AM20" s="6">
        <f t="shared" si="15"/>
        <v>162.25</v>
      </c>
      <c r="AN20" s="6">
        <f t="shared" si="16"/>
        <v>162.25</v>
      </c>
      <c r="AO20" s="6">
        <f t="shared" si="17"/>
        <v>167.27</v>
      </c>
      <c r="BG20" s="12">
        <v>0.01</v>
      </c>
      <c r="BH20" s="12">
        <v>0.02</v>
      </c>
      <c r="BI20" s="12">
        <v>0.03</v>
      </c>
      <c r="BJ20" s="12">
        <v>0.03</v>
      </c>
      <c r="CC20" s="3" t="str">
        <f t="shared" si="18"/>
        <v>Allied-Moulded-AMHMI206CCHTP.jpg</v>
      </c>
      <c r="CD20" s="16" t="s">
        <v>111</v>
      </c>
      <c r="CE20" s="3"/>
      <c r="CF20" s="3"/>
      <c r="CG20" s="3" t="s">
        <v>5887</v>
      </c>
      <c r="CI20" s="3" t="s">
        <v>97</v>
      </c>
      <c r="CK20" s="3" t="s">
        <v>5893</v>
      </c>
      <c r="CM20" s="3" t="s">
        <v>2145</v>
      </c>
      <c r="CN20" s="3" t="s">
        <v>242</v>
      </c>
    </row>
    <row r="21" spans="1:92" ht="15" customHeight="1">
      <c r="A21" s="81" t="s">
        <v>5904</v>
      </c>
      <c r="B21" s="81" t="s">
        <v>5905</v>
      </c>
      <c r="C21" s="16" t="s">
        <v>97</v>
      </c>
      <c r="D21" s="95" t="s">
        <v>5906</v>
      </c>
      <c r="E21" s="16" t="s">
        <v>97</v>
      </c>
      <c r="F21" s="131" t="s">
        <v>5907</v>
      </c>
      <c r="I21" s="100" t="s">
        <v>342</v>
      </c>
      <c r="J21" s="16" t="s">
        <v>101</v>
      </c>
      <c r="K21" s="16"/>
      <c r="L21" s="16" t="s">
        <v>4394</v>
      </c>
      <c r="M21" s="16" t="s">
        <v>5757</v>
      </c>
      <c r="P21" s="81" t="s">
        <v>5904</v>
      </c>
      <c r="Q21" s="81" t="s">
        <v>5904</v>
      </c>
      <c r="R21" s="81" t="s">
        <v>5904</v>
      </c>
      <c r="S21" s="81" t="s">
        <v>5904</v>
      </c>
      <c r="T21" s="131" t="s">
        <v>5885</v>
      </c>
      <c r="U21" s="115">
        <v>8</v>
      </c>
      <c r="V21" s="115"/>
      <c r="W21" s="54"/>
      <c r="X21" s="59" t="s">
        <v>108</v>
      </c>
      <c r="Y21" s="93">
        <f t="shared" si="10"/>
        <v>1</v>
      </c>
      <c r="Z21" s="3">
        <v>0</v>
      </c>
      <c r="AA21" s="3" t="s">
        <v>5908</v>
      </c>
      <c r="AD21" s="6">
        <f t="shared" si="11"/>
        <v>173.54</v>
      </c>
      <c r="AE21" s="74">
        <v>197.76510673999996</v>
      </c>
      <c r="AF21" s="17">
        <f t="shared" si="9"/>
        <v>208.24799999999999</v>
      </c>
      <c r="AG21" s="6">
        <f t="shared" si="12"/>
        <v>128.55000000000001</v>
      </c>
      <c r="AH21" s="30" t="s">
        <v>110</v>
      </c>
      <c r="AI21" s="3">
        <v>0.65</v>
      </c>
      <c r="AJ21" s="18">
        <v>0.35</v>
      </c>
      <c r="AK21" s="6">
        <f t="shared" si="13"/>
        <v>171.8</v>
      </c>
      <c r="AL21" s="6">
        <f t="shared" si="14"/>
        <v>170.07</v>
      </c>
      <c r="AM21" s="6">
        <f t="shared" si="15"/>
        <v>168.33</v>
      </c>
      <c r="AN21" s="6">
        <f t="shared" si="16"/>
        <v>168.33</v>
      </c>
      <c r="AO21" s="6">
        <f t="shared" si="17"/>
        <v>173.54</v>
      </c>
      <c r="BG21" s="12">
        <v>0.01</v>
      </c>
      <c r="BH21" s="12">
        <v>0.02</v>
      </c>
      <c r="BI21" s="12">
        <v>0.03</v>
      </c>
      <c r="BJ21" s="12">
        <v>0.03</v>
      </c>
      <c r="CC21" s="3" t="str">
        <f t="shared" si="18"/>
        <v>Allied-Moulded-AMHMI206L.jpg</v>
      </c>
      <c r="CD21" s="16" t="s">
        <v>111</v>
      </c>
      <c r="CE21" s="3"/>
      <c r="CF21" s="3"/>
      <c r="CG21" s="3" t="s">
        <v>5887</v>
      </c>
      <c r="CI21" s="3" t="s">
        <v>97</v>
      </c>
      <c r="CK21" s="3" t="s">
        <v>482</v>
      </c>
      <c r="CM21" s="3" t="s">
        <v>2145</v>
      </c>
      <c r="CN21" s="3" t="s">
        <v>242</v>
      </c>
    </row>
    <row r="22" spans="1:92" ht="15" customHeight="1">
      <c r="A22" s="81" t="s">
        <v>5909</v>
      </c>
      <c r="B22" s="81" t="s">
        <v>5910</v>
      </c>
      <c r="C22" s="16" t="s">
        <v>97</v>
      </c>
      <c r="D22" s="82" t="s">
        <v>5911</v>
      </c>
      <c r="E22" s="16" t="s">
        <v>97</v>
      </c>
      <c r="F22" s="131" t="s">
        <v>5912</v>
      </c>
      <c r="I22" s="100" t="s">
        <v>342</v>
      </c>
      <c r="J22" s="16" t="s">
        <v>101</v>
      </c>
      <c r="K22" s="16"/>
      <c r="L22" s="16" t="s">
        <v>4394</v>
      </c>
      <c r="M22" s="16" t="s">
        <v>5757</v>
      </c>
      <c r="P22" s="81" t="s">
        <v>5909</v>
      </c>
      <c r="Q22" s="81" t="s">
        <v>5909</v>
      </c>
      <c r="R22" s="81" t="s">
        <v>5909</v>
      </c>
      <c r="S22" s="81" t="s">
        <v>5909</v>
      </c>
      <c r="T22" s="131" t="s">
        <v>5885</v>
      </c>
      <c r="U22" s="116">
        <v>8</v>
      </c>
      <c r="V22" s="116"/>
      <c r="W22" s="58"/>
      <c r="X22" s="59" t="s">
        <v>108</v>
      </c>
      <c r="Y22" s="93">
        <f t="shared" si="10"/>
        <v>1</v>
      </c>
      <c r="Z22" s="3">
        <v>0</v>
      </c>
      <c r="AA22" s="3" t="s">
        <v>5913</v>
      </c>
      <c r="AD22" s="6">
        <f t="shared" si="11"/>
        <v>177.05</v>
      </c>
      <c r="AE22" s="74">
        <v>201.76861374000003</v>
      </c>
      <c r="AF22" s="17">
        <f t="shared" si="9"/>
        <v>212.46</v>
      </c>
      <c r="AG22" s="6">
        <f t="shared" si="12"/>
        <v>131.15</v>
      </c>
      <c r="AH22" s="30" t="s">
        <v>110</v>
      </c>
      <c r="AI22" s="3">
        <v>0.65</v>
      </c>
      <c r="AJ22" s="18">
        <v>0.35</v>
      </c>
      <c r="AK22" s="6">
        <f t="shared" si="13"/>
        <v>175.28</v>
      </c>
      <c r="AL22" s="6">
        <f t="shared" si="14"/>
        <v>173.51</v>
      </c>
      <c r="AM22" s="6">
        <f t="shared" si="15"/>
        <v>171.74</v>
      </c>
      <c r="AN22" s="6">
        <f t="shared" si="16"/>
        <v>171.74</v>
      </c>
      <c r="AO22" s="6">
        <f t="shared" si="17"/>
        <v>177.05</v>
      </c>
      <c r="BG22" s="12">
        <v>0.01</v>
      </c>
      <c r="BH22" s="12">
        <v>0.02</v>
      </c>
      <c r="BI22" s="12">
        <v>0.03</v>
      </c>
      <c r="BJ22" s="12">
        <v>0.03</v>
      </c>
      <c r="CC22" s="3" t="str">
        <f t="shared" si="18"/>
        <v>Allied-Moulded-AMHMI206CCL.jpg</v>
      </c>
      <c r="CD22" s="16" t="s">
        <v>111</v>
      </c>
      <c r="CE22" s="3"/>
      <c r="CF22" s="3"/>
      <c r="CG22" s="3" t="s">
        <v>5887</v>
      </c>
      <c r="CI22" s="3" t="s">
        <v>97</v>
      </c>
      <c r="CK22" s="3" t="s">
        <v>5893</v>
      </c>
      <c r="CM22" s="3" t="s">
        <v>2145</v>
      </c>
      <c r="CN22" s="3" t="s">
        <v>242</v>
      </c>
    </row>
    <row r="23" spans="1:92" ht="15" customHeight="1">
      <c r="A23" s="81" t="s">
        <v>5914</v>
      </c>
      <c r="B23" s="81" t="s">
        <v>5915</v>
      </c>
      <c r="C23" s="16" t="s">
        <v>97</v>
      </c>
      <c r="D23" s="95" t="s">
        <v>5916</v>
      </c>
      <c r="E23" s="16" t="s">
        <v>97</v>
      </c>
      <c r="F23" s="131" t="s">
        <v>5917</v>
      </c>
      <c r="I23" s="100" t="s">
        <v>342</v>
      </c>
      <c r="J23" s="16" t="s">
        <v>101</v>
      </c>
      <c r="K23" s="16"/>
      <c r="L23" s="16" t="s">
        <v>4394</v>
      </c>
      <c r="M23" s="16" t="s">
        <v>5757</v>
      </c>
      <c r="P23" s="81" t="s">
        <v>5914</v>
      </c>
      <c r="Q23" s="81" t="s">
        <v>5914</v>
      </c>
      <c r="R23" s="81" t="s">
        <v>5914</v>
      </c>
      <c r="S23" s="81" t="s">
        <v>5914</v>
      </c>
      <c r="T23" s="131" t="s">
        <v>5918</v>
      </c>
      <c r="U23" s="114">
        <v>7</v>
      </c>
      <c r="V23" s="114"/>
      <c r="W23"/>
      <c r="X23" s="59" t="s">
        <v>108</v>
      </c>
      <c r="Y23" s="93">
        <f t="shared" si="10"/>
        <v>1</v>
      </c>
      <c r="Z23" s="3">
        <v>0</v>
      </c>
      <c r="AA23" s="3" t="s">
        <v>5919</v>
      </c>
      <c r="AD23" s="6">
        <f t="shared" si="11"/>
        <v>112.82</v>
      </c>
      <c r="AE23" s="112">
        <v>128.57537070999999</v>
      </c>
      <c r="AF23" s="17">
        <f t="shared" si="9"/>
        <v>135.38399999999999</v>
      </c>
      <c r="AG23" s="6">
        <f t="shared" si="12"/>
        <v>83.57</v>
      </c>
      <c r="AH23" s="30" t="s">
        <v>110</v>
      </c>
      <c r="AI23" s="3">
        <v>0.65</v>
      </c>
      <c r="AJ23" s="18">
        <v>0.35</v>
      </c>
      <c r="AK23" s="6">
        <f t="shared" si="13"/>
        <v>111.69</v>
      </c>
      <c r="AL23" s="6">
        <f t="shared" si="14"/>
        <v>110.56</v>
      </c>
      <c r="AM23" s="6">
        <f t="shared" si="15"/>
        <v>109.44</v>
      </c>
      <c r="AN23" s="6">
        <f t="shared" si="16"/>
        <v>109.44</v>
      </c>
      <c r="AO23" s="6">
        <f t="shared" si="17"/>
        <v>112.82</v>
      </c>
      <c r="BG23" s="12">
        <v>0.01</v>
      </c>
      <c r="BH23" s="12">
        <v>0.02</v>
      </c>
      <c r="BI23" s="12">
        <v>0.03</v>
      </c>
      <c r="BJ23" s="12">
        <v>0.03</v>
      </c>
      <c r="CC23" s="3" t="str">
        <f t="shared" si="18"/>
        <v>Allied-Moulded-AMHMI164H.jpg</v>
      </c>
      <c r="CD23" s="16" t="s">
        <v>111</v>
      </c>
      <c r="CE23" s="3"/>
      <c r="CF23" s="3"/>
      <c r="CG23" s="3" t="s">
        <v>5887</v>
      </c>
      <c r="CI23" s="3" t="s">
        <v>97</v>
      </c>
      <c r="CK23" s="3" t="s">
        <v>482</v>
      </c>
      <c r="CM23" s="3" t="s">
        <v>242</v>
      </c>
      <c r="CN23" s="3" t="s">
        <v>1037</v>
      </c>
    </row>
    <row r="24" spans="1:92" ht="15" customHeight="1">
      <c r="A24" s="81" t="s">
        <v>5920</v>
      </c>
      <c r="B24" s="81" t="s">
        <v>5921</v>
      </c>
      <c r="C24" s="16" t="s">
        <v>97</v>
      </c>
      <c r="D24" s="95" t="s">
        <v>5922</v>
      </c>
      <c r="E24" s="16" t="s">
        <v>97</v>
      </c>
      <c r="F24" s="131" t="s">
        <v>5923</v>
      </c>
      <c r="I24" s="100" t="s">
        <v>342</v>
      </c>
      <c r="J24" s="16" t="s">
        <v>101</v>
      </c>
      <c r="K24" s="16"/>
      <c r="L24" s="16" t="s">
        <v>4394</v>
      </c>
      <c r="M24" s="16" t="s">
        <v>5757</v>
      </c>
      <c r="P24" s="81" t="s">
        <v>5920</v>
      </c>
      <c r="Q24" s="81" t="s">
        <v>5920</v>
      </c>
      <c r="R24" s="81" t="s">
        <v>5920</v>
      </c>
      <c r="S24" s="81" t="s">
        <v>5920</v>
      </c>
      <c r="T24" s="131" t="s">
        <v>5924</v>
      </c>
      <c r="U24" s="114">
        <v>7</v>
      </c>
      <c r="V24" s="114"/>
      <c r="W24"/>
      <c r="X24" s="59" t="s">
        <v>108</v>
      </c>
      <c r="Y24" s="93">
        <f t="shared" si="10"/>
        <v>1</v>
      </c>
      <c r="Z24" s="3">
        <v>0</v>
      </c>
      <c r="AA24" s="3" t="s">
        <v>5925</v>
      </c>
      <c r="AD24" s="6">
        <f t="shared" si="11"/>
        <v>115.36</v>
      </c>
      <c r="AE24" s="112">
        <v>131.46470611000001</v>
      </c>
      <c r="AF24" s="17">
        <f t="shared" si="9"/>
        <v>138.43199999999999</v>
      </c>
      <c r="AG24" s="6">
        <f t="shared" si="12"/>
        <v>85.45</v>
      </c>
      <c r="AH24" s="30" t="s">
        <v>110</v>
      </c>
      <c r="AI24" s="3">
        <v>0.65</v>
      </c>
      <c r="AJ24" s="18">
        <v>0.35</v>
      </c>
      <c r="AK24" s="6">
        <f t="shared" si="13"/>
        <v>114.21</v>
      </c>
      <c r="AL24" s="6">
        <f t="shared" si="14"/>
        <v>113.05</v>
      </c>
      <c r="AM24" s="6">
        <f t="shared" si="15"/>
        <v>111.9</v>
      </c>
      <c r="AN24" s="6">
        <f t="shared" si="16"/>
        <v>111.9</v>
      </c>
      <c r="AO24" s="6">
        <f t="shared" si="17"/>
        <v>115.36</v>
      </c>
      <c r="BG24" s="12">
        <v>0.01</v>
      </c>
      <c r="BH24" s="12">
        <v>0.02</v>
      </c>
      <c r="BI24" s="12">
        <v>0.03</v>
      </c>
      <c r="BJ24" s="12">
        <v>0.03</v>
      </c>
      <c r="CC24" s="3" t="str">
        <f t="shared" si="18"/>
        <v>Allied-Moulded-AMHMI164CCH.jpg</v>
      </c>
      <c r="CD24" s="16" t="s">
        <v>111</v>
      </c>
      <c r="CE24" s="3"/>
      <c r="CF24" s="3"/>
      <c r="CG24" s="3" t="s">
        <v>5887</v>
      </c>
      <c r="CI24" s="3" t="s">
        <v>97</v>
      </c>
      <c r="CK24" s="3" t="s">
        <v>5893</v>
      </c>
      <c r="CM24" s="3" t="s">
        <v>242</v>
      </c>
      <c r="CN24" s="3" t="s">
        <v>1037</v>
      </c>
    </row>
    <row r="25" spans="1:92" ht="15" customHeight="1">
      <c r="A25" s="81" t="s">
        <v>5926</v>
      </c>
      <c r="B25" s="81" t="s">
        <v>5927</v>
      </c>
      <c r="C25" s="16" t="s">
        <v>97</v>
      </c>
      <c r="D25" s="95" t="s">
        <v>5928</v>
      </c>
      <c r="E25" s="16" t="s">
        <v>97</v>
      </c>
      <c r="F25" s="131" t="s">
        <v>5929</v>
      </c>
      <c r="I25" s="100" t="s">
        <v>342</v>
      </c>
      <c r="J25" s="16" t="s">
        <v>101</v>
      </c>
      <c r="K25" s="16"/>
      <c r="L25" s="16" t="s">
        <v>4394</v>
      </c>
      <c r="M25" s="16" t="s">
        <v>5757</v>
      </c>
      <c r="P25" s="81" t="s">
        <v>5926</v>
      </c>
      <c r="Q25" s="81" t="s">
        <v>5926</v>
      </c>
      <c r="R25" s="81" t="s">
        <v>5926</v>
      </c>
      <c r="S25" s="81" t="s">
        <v>5926</v>
      </c>
      <c r="T25" s="131" t="s">
        <v>5930</v>
      </c>
      <c r="U25" s="115">
        <v>7</v>
      </c>
      <c r="V25" s="115"/>
      <c r="W25" s="54"/>
      <c r="X25" s="59" t="s">
        <v>108</v>
      </c>
      <c r="Y25" s="93">
        <f t="shared" si="10"/>
        <v>1</v>
      </c>
      <c r="Z25" s="3">
        <v>0</v>
      </c>
      <c r="AA25" s="3" t="s">
        <v>5931</v>
      </c>
      <c r="AD25" s="6">
        <f t="shared" si="11"/>
        <v>115.99</v>
      </c>
      <c r="AE25" s="74">
        <v>132.18383768999999</v>
      </c>
      <c r="AF25" s="17">
        <f t="shared" si="9"/>
        <v>139.18799999999999</v>
      </c>
      <c r="AG25" s="6">
        <f t="shared" si="12"/>
        <v>85.92</v>
      </c>
      <c r="AH25" s="30" t="s">
        <v>110</v>
      </c>
      <c r="AI25" s="3">
        <v>0.65</v>
      </c>
      <c r="AJ25" s="18">
        <v>0.35</v>
      </c>
      <c r="AK25" s="6">
        <f t="shared" si="13"/>
        <v>114.83</v>
      </c>
      <c r="AL25" s="6">
        <f t="shared" si="14"/>
        <v>113.67</v>
      </c>
      <c r="AM25" s="6">
        <f t="shared" si="15"/>
        <v>112.51</v>
      </c>
      <c r="AN25" s="6">
        <f t="shared" si="16"/>
        <v>112.51</v>
      </c>
      <c r="AO25" s="6">
        <f t="shared" si="17"/>
        <v>115.99</v>
      </c>
      <c r="BG25" s="12">
        <v>0.01</v>
      </c>
      <c r="BH25" s="12">
        <v>0.02</v>
      </c>
      <c r="BI25" s="12">
        <v>0.03</v>
      </c>
      <c r="BJ25" s="12">
        <v>0.03</v>
      </c>
      <c r="CC25" s="3" t="str">
        <f t="shared" si="18"/>
        <v>Allied-Moulded-AMHMI164HTP.jpg</v>
      </c>
      <c r="CD25" s="16" t="s">
        <v>111</v>
      </c>
      <c r="CE25" s="3"/>
      <c r="CF25" s="3"/>
      <c r="CG25" s="3" t="s">
        <v>5887</v>
      </c>
      <c r="CI25" s="3" t="s">
        <v>97</v>
      </c>
      <c r="CK25" s="3" t="s">
        <v>482</v>
      </c>
      <c r="CM25" s="3" t="s">
        <v>242</v>
      </c>
      <c r="CN25" s="3" t="s">
        <v>1037</v>
      </c>
    </row>
    <row r="26" spans="1:92" ht="15" customHeight="1">
      <c r="A26" s="81" t="s">
        <v>5932</v>
      </c>
      <c r="B26" s="81" t="s">
        <v>5933</v>
      </c>
      <c r="C26" s="16" t="s">
        <v>97</v>
      </c>
      <c r="D26" s="82" t="s">
        <v>5934</v>
      </c>
      <c r="E26" s="16" t="s">
        <v>97</v>
      </c>
      <c r="F26" s="131" t="s">
        <v>5935</v>
      </c>
      <c r="I26" s="100" t="s">
        <v>342</v>
      </c>
      <c r="J26" s="16" t="s">
        <v>101</v>
      </c>
      <c r="K26" s="16"/>
      <c r="L26" s="16" t="s">
        <v>4394</v>
      </c>
      <c r="M26" s="16" t="s">
        <v>5757</v>
      </c>
      <c r="P26" s="81" t="s">
        <v>5932</v>
      </c>
      <c r="Q26" s="81" t="s">
        <v>5932</v>
      </c>
      <c r="R26" s="81" t="s">
        <v>5932</v>
      </c>
      <c r="S26" s="81" t="s">
        <v>5932</v>
      </c>
      <c r="T26" s="131" t="s">
        <v>5924</v>
      </c>
      <c r="U26" s="116">
        <v>7</v>
      </c>
      <c r="V26" s="116"/>
      <c r="W26" s="58"/>
      <c r="X26" s="59" t="s">
        <v>108</v>
      </c>
      <c r="Y26" s="93">
        <f t="shared" si="10"/>
        <v>1</v>
      </c>
      <c r="Z26" s="3">
        <v>0</v>
      </c>
      <c r="AA26" s="3" t="s">
        <v>5936</v>
      </c>
      <c r="AD26" s="6">
        <f t="shared" si="11"/>
        <v>119.16</v>
      </c>
      <c r="AE26" s="74">
        <v>135.79870714999998</v>
      </c>
      <c r="AF26" s="17">
        <f t="shared" si="9"/>
        <v>142.99199999999999</v>
      </c>
      <c r="AG26" s="6">
        <f t="shared" si="12"/>
        <v>88.27</v>
      </c>
      <c r="AH26" s="30" t="s">
        <v>110</v>
      </c>
      <c r="AI26" s="3">
        <v>0.65</v>
      </c>
      <c r="AJ26" s="18">
        <v>0.35</v>
      </c>
      <c r="AK26" s="6">
        <f t="shared" si="13"/>
        <v>117.97</v>
      </c>
      <c r="AL26" s="6">
        <f t="shared" si="14"/>
        <v>116.78</v>
      </c>
      <c r="AM26" s="6">
        <f t="shared" si="15"/>
        <v>115.59</v>
      </c>
      <c r="AN26" s="6">
        <f t="shared" si="16"/>
        <v>115.59</v>
      </c>
      <c r="AO26" s="6">
        <f t="shared" si="17"/>
        <v>119.16</v>
      </c>
      <c r="BG26" s="12">
        <v>0.01</v>
      </c>
      <c r="BH26" s="12">
        <v>0.02</v>
      </c>
      <c r="BI26" s="12">
        <v>0.03</v>
      </c>
      <c r="BJ26" s="12">
        <v>0.03</v>
      </c>
      <c r="CC26" s="3" t="str">
        <f t="shared" si="18"/>
        <v>Allied-Moulded-AMHMI164CCHTP.jpg</v>
      </c>
      <c r="CD26" s="16" t="s">
        <v>111</v>
      </c>
      <c r="CE26" s="3"/>
      <c r="CF26" s="3"/>
      <c r="CG26" s="3" t="s">
        <v>5887</v>
      </c>
      <c r="CI26" s="3" t="s">
        <v>97</v>
      </c>
      <c r="CK26" s="3" t="s">
        <v>5893</v>
      </c>
      <c r="CM26" s="3" t="s">
        <v>242</v>
      </c>
      <c r="CN26" s="3" t="s">
        <v>1037</v>
      </c>
    </row>
    <row r="27" spans="1:92" ht="15" customHeight="1">
      <c r="A27" s="81" t="s">
        <v>5937</v>
      </c>
      <c r="B27" s="81" t="s">
        <v>5938</v>
      </c>
      <c r="C27" s="16" t="s">
        <v>97</v>
      </c>
      <c r="D27" s="95" t="s">
        <v>5939</v>
      </c>
      <c r="E27" s="16" t="s">
        <v>97</v>
      </c>
      <c r="F27" s="131" t="s">
        <v>5940</v>
      </c>
      <c r="I27" s="100" t="s">
        <v>342</v>
      </c>
      <c r="J27" s="16" t="s">
        <v>101</v>
      </c>
      <c r="K27" s="16"/>
      <c r="L27" s="16" t="s">
        <v>4394</v>
      </c>
      <c r="M27" s="16" t="s">
        <v>5757</v>
      </c>
      <c r="P27" s="81" t="s">
        <v>5937</v>
      </c>
      <c r="Q27" s="81" t="s">
        <v>5937</v>
      </c>
      <c r="R27" s="81" t="s">
        <v>5937</v>
      </c>
      <c r="S27" s="81" t="s">
        <v>5937</v>
      </c>
      <c r="T27" s="131" t="s">
        <v>5918</v>
      </c>
      <c r="U27" s="115">
        <v>7</v>
      </c>
      <c r="V27" s="115"/>
      <c r="W27" s="54"/>
      <c r="X27" s="59" t="s">
        <v>108</v>
      </c>
      <c r="Y27" s="93">
        <f t="shared" si="10"/>
        <v>1</v>
      </c>
      <c r="Z27" s="3">
        <v>0</v>
      </c>
      <c r="AA27" s="3" t="s">
        <v>5941</v>
      </c>
      <c r="AD27" s="6">
        <f t="shared" si="11"/>
        <v>121.7</v>
      </c>
      <c r="AE27" s="74">
        <v>138.68804048999999</v>
      </c>
      <c r="AF27" s="17">
        <f t="shared" si="9"/>
        <v>146.04</v>
      </c>
      <c r="AG27" s="6">
        <f t="shared" si="12"/>
        <v>90.15</v>
      </c>
      <c r="AH27" s="30" t="s">
        <v>110</v>
      </c>
      <c r="AI27" s="3">
        <v>0.65</v>
      </c>
      <c r="AJ27" s="18">
        <v>0.35</v>
      </c>
      <c r="AK27" s="6">
        <f t="shared" si="13"/>
        <v>120.48</v>
      </c>
      <c r="AL27" s="6">
        <f t="shared" si="14"/>
        <v>119.27</v>
      </c>
      <c r="AM27" s="6">
        <f t="shared" si="15"/>
        <v>118.05</v>
      </c>
      <c r="AN27" s="6">
        <f t="shared" si="16"/>
        <v>118.05</v>
      </c>
      <c r="AO27" s="6">
        <f t="shared" si="17"/>
        <v>121.7</v>
      </c>
      <c r="BG27" s="12">
        <v>0.01</v>
      </c>
      <c r="BH27" s="12">
        <v>0.02</v>
      </c>
      <c r="BI27" s="12">
        <v>0.03</v>
      </c>
      <c r="BJ27" s="12">
        <v>0.03</v>
      </c>
      <c r="CC27" s="3" t="str">
        <f t="shared" si="18"/>
        <v>Allied-Moulded-AMHMI164L.jpg</v>
      </c>
      <c r="CD27" s="16" t="s">
        <v>111</v>
      </c>
      <c r="CE27" s="3"/>
      <c r="CF27" s="3"/>
      <c r="CG27" s="3" t="s">
        <v>5887</v>
      </c>
      <c r="CI27" s="3" t="s">
        <v>97</v>
      </c>
      <c r="CK27" s="3" t="s">
        <v>482</v>
      </c>
      <c r="CM27" s="3" t="s">
        <v>242</v>
      </c>
      <c r="CN27" s="3" t="s">
        <v>1037</v>
      </c>
    </row>
    <row r="28" spans="1:92" ht="15" customHeight="1">
      <c r="A28" s="81" t="s">
        <v>5942</v>
      </c>
      <c r="B28" s="81" t="s">
        <v>5943</v>
      </c>
      <c r="C28" s="16" t="s">
        <v>97</v>
      </c>
      <c r="D28" s="82" t="s">
        <v>5944</v>
      </c>
      <c r="E28" s="16" t="s">
        <v>97</v>
      </c>
      <c r="F28" s="131" t="s">
        <v>5945</v>
      </c>
      <c r="I28" s="100" t="s">
        <v>342</v>
      </c>
      <c r="J28" s="16" t="s">
        <v>101</v>
      </c>
      <c r="K28" s="16"/>
      <c r="L28" s="16" t="s">
        <v>4394</v>
      </c>
      <c r="M28" s="16" t="s">
        <v>5757</v>
      </c>
      <c r="P28" s="81" t="s">
        <v>5942</v>
      </c>
      <c r="Q28" s="81" t="s">
        <v>5942</v>
      </c>
      <c r="R28" s="81" t="s">
        <v>5942</v>
      </c>
      <c r="S28" s="81" t="s">
        <v>5942</v>
      </c>
      <c r="T28" s="131" t="s">
        <v>5918</v>
      </c>
      <c r="U28" s="116">
        <v>7</v>
      </c>
      <c r="V28" s="116"/>
      <c r="W28" s="58"/>
      <c r="X28" s="59" t="s">
        <v>108</v>
      </c>
      <c r="Y28" s="93">
        <f t="shared" si="10"/>
        <v>1</v>
      </c>
      <c r="Z28" s="3">
        <v>0</v>
      </c>
      <c r="AA28" s="3" t="s">
        <v>5946</v>
      </c>
      <c r="AD28" s="6">
        <f t="shared" si="11"/>
        <v>124.86</v>
      </c>
      <c r="AE28" s="74">
        <v>142.29970974</v>
      </c>
      <c r="AF28" s="17">
        <f t="shared" si="9"/>
        <v>149.83199999999999</v>
      </c>
      <c r="AG28" s="6">
        <f t="shared" si="12"/>
        <v>92.49</v>
      </c>
      <c r="AH28" s="30" t="s">
        <v>110</v>
      </c>
      <c r="AI28" s="3">
        <v>0.65</v>
      </c>
      <c r="AJ28" s="18">
        <v>0.35</v>
      </c>
      <c r="AK28" s="6">
        <f t="shared" si="13"/>
        <v>123.61</v>
      </c>
      <c r="AL28" s="6">
        <f t="shared" si="14"/>
        <v>122.36</v>
      </c>
      <c r="AM28" s="6">
        <f t="shared" si="15"/>
        <v>121.11</v>
      </c>
      <c r="AN28" s="6">
        <f t="shared" si="16"/>
        <v>121.11</v>
      </c>
      <c r="AO28" s="6">
        <f t="shared" si="17"/>
        <v>124.86</v>
      </c>
      <c r="BG28" s="12">
        <v>0.01</v>
      </c>
      <c r="BH28" s="12">
        <v>0.02</v>
      </c>
      <c r="BI28" s="12">
        <v>0.03</v>
      </c>
      <c r="BJ28" s="12">
        <v>0.03</v>
      </c>
      <c r="CC28" s="3" t="str">
        <f t="shared" si="18"/>
        <v>Allied-Moulded-AMHMI164CCL.jpg</v>
      </c>
      <c r="CD28" s="16" t="s">
        <v>111</v>
      </c>
      <c r="CE28" s="3"/>
      <c r="CF28" s="3"/>
      <c r="CG28" s="3" t="s">
        <v>5887</v>
      </c>
      <c r="CI28" s="3" t="s">
        <v>97</v>
      </c>
      <c r="CK28" s="3" t="s">
        <v>5893</v>
      </c>
      <c r="CM28" s="3" t="s">
        <v>242</v>
      </c>
      <c r="CN28" s="3" t="s">
        <v>1037</v>
      </c>
    </row>
    <row r="29" spans="1:92" ht="15" customHeight="1">
      <c r="A29" s="81" t="s">
        <v>5947</v>
      </c>
      <c r="B29" s="81" t="s">
        <v>5948</v>
      </c>
      <c r="C29" s="16" t="s">
        <v>97</v>
      </c>
      <c r="D29" s="95" t="s">
        <v>5949</v>
      </c>
      <c r="E29" s="16" t="s">
        <v>97</v>
      </c>
      <c r="F29" s="131" t="s">
        <v>5950</v>
      </c>
      <c r="I29" s="100" t="s">
        <v>342</v>
      </c>
      <c r="J29" s="16" t="s">
        <v>101</v>
      </c>
      <c r="K29" s="16"/>
      <c r="L29" s="16" t="s">
        <v>4394</v>
      </c>
      <c r="M29" s="16" t="s">
        <v>5757</v>
      </c>
      <c r="P29" s="81" t="s">
        <v>5947</v>
      </c>
      <c r="Q29" s="81" t="s">
        <v>5947</v>
      </c>
      <c r="R29" s="81" t="s">
        <v>5947</v>
      </c>
      <c r="S29" s="81" t="s">
        <v>5947</v>
      </c>
      <c r="T29" s="131" t="s">
        <v>5951</v>
      </c>
      <c r="U29" s="114">
        <v>3</v>
      </c>
      <c r="V29" s="114"/>
      <c r="W29"/>
      <c r="X29" s="59" t="s">
        <v>108</v>
      </c>
      <c r="Y29" s="93">
        <f t="shared" si="10"/>
        <v>1</v>
      </c>
      <c r="Z29" s="3">
        <v>0</v>
      </c>
      <c r="AA29" s="3" t="s">
        <v>5952</v>
      </c>
      <c r="AD29" s="6">
        <f t="shared" si="11"/>
        <v>66.930000000000007</v>
      </c>
      <c r="AE29" s="112">
        <v>76.278423660000001</v>
      </c>
      <c r="AF29" s="17">
        <f t="shared" si="9"/>
        <v>80.316000000000003</v>
      </c>
      <c r="AG29" s="6">
        <f t="shared" si="12"/>
        <v>49.58</v>
      </c>
      <c r="AH29" s="30" t="s">
        <v>110</v>
      </c>
      <c r="AI29" s="3">
        <v>0.65</v>
      </c>
      <c r="AJ29" s="18">
        <v>0.35</v>
      </c>
      <c r="AK29" s="6">
        <f t="shared" si="13"/>
        <v>66.260000000000005</v>
      </c>
      <c r="AL29" s="6">
        <f t="shared" si="14"/>
        <v>65.59</v>
      </c>
      <c r="AM29" s="6">
        <f t="shared" si="15"/>
        <v>64.92</v>
      </c>
      <c r="AN29" s="6">
        <f t="shared" si="16"/>
        <v>64.92</v>
      </c>
      <c r="AO29" s="6">
        <f t="shared" si="17"/>
        <v>66.930000000000007</v>
      </c>
      <c r="BG29" s="12">
        <v>0.01</v>
      </c>
      <c r="BH29" s="12">
        <v>0.02</v>
      </c>
      <c r="BI29" s="12">
        <v>0.03</v>
      </c>
      <c r="BJ29" s="12">
        <v>0.03</v>
      </c>
      <c r="CC29" s="3" t="str">
        <f t="shared" si="18"/>
        <v>Allied-Moulded-AMHMI88H.jpg</v>
      </c>
      <c r="CD29" s="16" t="s">
        <v>111</v>
      </c>
      <c r="CE29" s="3"/>
      <c r="CF29" s="3"/>
      <c r="CG29" s="3" t="s">
        <v>5887</v>
      </c>
      <c r="CI29" s="3" t="s">
        <v>97</v>
      </c>
      <c r="CK29" s="3" t="s">
        <v>482</v>
      </c>
      <c r="CM29" s="3" t="s">
        <v>385</v>
      </c>
      <c r="CN29" s="3" t="s">
        <v>385</v>
      </c>
    </row>
    <row r="30" spans="1:92" ht="15" customHeight="1">
      <c r="A30" s="81" t="s">
        <v>5953</v>
      </c>
      <c r="B30" s="81" t="s">
        <v>5954</v>
      </c>
      <c r="C30" s="16" t="s">
        <v>97</v>
      </c>
      <c r="D30" s="95" t="s">
        <v>5955</v>
      </c>
      <c r="E30" s="16" t="s">
        <v>97</v>
      </c>
      <c r="F30" s="131" t="s">
        <v>5956</v>
      </c>
      <c r="I30" s="100" t="s">
        <v>342</v>
      </c>
      <c r="J30" s="16" t="s">
        <v>101</v>
      </c>
      <c r="K30" s="16"/>
      <c r="L30" s="16" t="s">
        <v>4394</v>
      </c>
      <c r="M30" s="16" t="s">
        <v>5757</v>
      </c>
      <c r="P30" s="81" t="s">
        <v>5953</v>
      </c>
      <c r="Q30" s="81" t="s">
        <v>5953</v>
      </c>
      <c r="R30" s="81" t="s">
        <v>5953</v>
      </c>
      <c r="S30" s="81" t="s">
        <v>5953</v>
      </c>
      <c r="T30" s="131" t="s">
        <v>5957</v>
      </c>
      <c r="U30" s="114">
        <v>3</v>
      </c>
      <c r="V30" s="114"/>
      <c r="W30"/>
      <c r="X30" s="59" t="s">
        <v>108</v>
      </c>
      <c r="Y30" s="93">
        <f t="shared" si="10"/>
        <v>1</v>
      </c>
      <c r="Z30" s="3">
        <v>0</v>
      </c>
      <c r="AA30" s="3" t="s">
        <v>5958</v>
      </c>
      <c r="AD30" s="6">
        <f t="shared" si="11"/>
        <v>69.73</v>
      </c>
      <c r="AE30" s="112">
        <v>79.45668950999999</v>
      </c>
      <c r="AF30" s="17">
        <f t="shared" si="9"/>
        <v>83.676000000000002</v>
      </c>
      <c r="AG30" s="6">
        <f t="shared" si="12"/>
        <v>51.65</v>
      </c>
      <c r="AH30" s="30" t="s">
        <v>110</v>
      </c>
      <c r="AI30" s="3">
        <v>0.65</v>
      </c>
      <c r="AJ30" s="18">
        <v>0.35</v>
      </c>
      <c r="AK30" s="6">
        <f t="shared" si="13"/>
        <v>69.03</v>
      </c>
      <c r="AL30" s="6">
        <f t="shared" si="14"/>
        <v>68.34</v>
      </c>
      <c r="AM30" s="6">
        <f t="shared" si="15"/>
        <v>67.64</v>
      </c>
      <c r="AN30" s="6">
        <f t="shared" si="16"/>
        <v>67.64</v>
      </c>
      <c r="AO30" s="6">
        <f t="shared" si="17"/>
        <v>69.73</v>
      </c>
      <c r="BG30" s="12">
        <v>0.01</v>
      </c>
      <c r="BH30" s="12">
        <v>0.02</v>
      </c>
      <c r="BI30" s="12">
        <v>0.03</v>
      </c>
      <c r="BJ30" s="12">
        <v>0.03</v>
      </c>
      <c r="CC30" s="3" t="str">
        <f t="shared" si="18"/>
        <v>Allied-Moulded-AMHMI88CCH.jpg</v>
      </c>
      <c r="CD30" s="16" t="s">
        <v>111</v>
      </c>
      <c r="CE30" s="3"/>
      <c r="CF30" s="3"/>
      <c r="CG30" s="3" t="s">
        <v>5887</v>
      </c>
      <c r="CI30" s="3" t="s">
        <v>97</v>
      </c>
      <c r="CK30" s="3" t="s">
        <v>5893</v>
      </c>
      <c r="CM30" s="3" t="s">
        <v>385</v>
      </c>
      <c r="CN30" s="3" t="s">
        <v>385</v>
      </c>
    </row>
    <row r="31" spans="1:92" ht="15" customHeight="1">
      <c r="A31" s="81" t="s">
        <v>5959</v>
      </c>
      <c r="B31" s="81" t="s">
        <v>5960</v>
      </c>
      <c r="C31" s="16" t="s">
        <v>97</v>
      </c>
      <c r="D31" s="95" t="s">
        <v>5961</v>
      </c>
      <c r="E31" s="16" t="s">
        <v>97</v>
      </c>
      <c r="F31" s="131" t="s">
        <v>5962</v>
      </c>
      <c r="I31" s="100" t="s">
        <v>342</v>
      </c>
      <c r="J31" s="16" t="s">
        <v>101</v>
      </c>
      <c r="K31" s="16"/>
      <c r="L31" s="16" t="s">
        <v>4394</v>
      </c>
      <c r="M31" s="16" t="s">
        <v>5757</v>
      </c>
      <c r="P31" s="81" t="s">
        <v>5959</v>
      </c>
      <c r="Q31" s="81" t="s">
        <v>5959</v>
      </c>
      <c r="R31" s="81" t="s">
        <v>5959</v>
      </c>
      <c r="S31" s="81" t="s">
        <v>5959</v>
      </c>
      <c r="T31" s="131" t="s">
        <v>5963</v>
      </c>
      <c r="U31" s="114">
        <v>3</v>
      </c>
      <c r="V31" s="114"/>
      <c r="W31"/>
      <c r="X31" s="59" t="s">
        <v>108</v>
      </c>
      <c r="Y31" s="93">
        <f t="shared" si="10"/>
        <v>1</v>
      </c>
      <c r="Z31" s="3">
        <v>0</v>
      </c>
      <c r="AA31" s="3" t="s">
        <v>5964</v>
      </c>
      <c r="AD31" s="6">
        <f t="shared" si="11"/>
        <v>69.73</v>
      </c>
      <c r="AE31" s="112">
        <v>79.45668950999999</v>
      </c>
      <c r="AF31" s="17">
        <f t="shared" si="9"/>
        <v>83.676000000000002</v>
      </c>
      <c r="AG31" s="6">
        <f t="shared" si="12"/>
        <v>51.65</v>
      </c>
      <c r="AH31" s="30" t="s">
        <v>110</v>
      </c>
      <c r="AI31" s="3">
        <v>0.65</v>
      </c>
      <c r="AJ31" s="18">
        <v>0.35</v>
      </c>
      <c r="AK31" s="6">
        <f t="shared" si="13"/>
        <v>69.03</v>
      </c>
      <c r="AL31" s="6">
        <f t="shared" si="14"/>
        <v>68.34</v>
      </c>
      <c r="AM31" s="6">
        <f t="shared" si="15"/>
        <v>67.64</v>
      </c>
      <c r="AN31" s="6">
        <f t="shared" si="16"/>
        <v>67.64</v>
      </c>
      <c r="AO31" s="6">
        <f t="shared" si="17"/>
        <v>69.73</v>
      </c>
      <c r="BG31" s="12">
        <v>0.01</v>
      </c>
      <c r="BH31" s="12">
        <v>0.02</v>
      </c>
      <c r="BI31" s="12">
        <v>0.03</v>
      </c>
      <c r="BJ31" s="12">
        <v>0.03</v>
      </c>
      <c r="CC31" s="3" t="str">
        <f t="shared" si="18"/>
        <v>Allied-Moulded-AMHMI108H.jpg</v>
      </c>
      <c r="CD31" s="16" t="s">
        <v>111</v>
      </c>
      <c r="CE31" s="3"/>
      <c r="CF31" s="3"/>
      <c r="CG31" s="3" t="s">
        <v>5887</v>
      </c>
      <c r="CI31" s="3" t="s">
        <v>97</v>
      </c>
      <c r="CK31" s="3" t="s">
        <v>482</v>
      </c>
      <c r="CM31" s="3" t="s">
        <v>167</v>
      </c>
      <c r="CN31" s="3" t="s">
        <v>385</v>
      </c>
    </row>
    <row r="32" spans="1:92" ht="15" customHeight="1">
      <c r="A32" s="81" t="s">
        <v>5965</v>
      </c>
      <c r="B32" s="81" t="s">
        <v>5966</v>
      </c>
      <c r="C32" s="16" t="s">
        <v>97</v>
      </c>
      <c r="D32" s="95" t="s">
        <v>5967</v>
      </c>
      <c r="E32" s="16" t="s">
        <v>97</v>
      </c>
      <c r="F32" s="131" t="s">
        <v>5968</v>
      </c>
      <c r="I32" s="100" t="s">
        <v>342</v>
      </c>
      <c r="J32" s="16" t="s">
        <v>101</v>
      </c>
      <c r="K32" s="16"/>
      <c r="L32" s="16" t="s">
        <v>4394</v>
      </c>
      <c r="M32" s="16" t="s">
        <v>5757</v>
      </c>
      <c r="P32" s="81" t="s">
        <v>5965</v>
      </c>
      <c r="Q32" s="81" t="s">
        <v>5965</v>
      </c>
      <c r="R32" s="81" t="s">
        <v>5965</v>
      </c>
      <c r="S32" s="81" t="s">
        <v>5965</v>
      </c>
      <c r="T32" s="131" t="s">
        <v>5963</v>
      </c>
      <c r="U32" s="114">
        <v>3</v>
      </c>
      <c r="V32" s="114"/>
      <c r="W32"/>
      <c r="X32" s="59" t="s">
        <v>108</v>
      </c>
      <c r="Y32" s="93">
        <f t="shared" si="10"/>
        <v>1</v>
      </c>
      <c r="Z32" s="3">
        <v>0</v>
      </c>
      <c r="AA32" s="3" t="s">
        <v>5969</v>
      </c>
      <c r="AD32" s="6">
        <f t="shared" si="11"/>
        <v>72.89</v>
      </c>
      <c r="AE32" s="112">
        <v>83.068357729999988</v>
      </c>
      <c r="AF32" s="17">
        <f t="shared" si="9"/>
        <v>87.468000000000004</v>
      </c>
      <c r="AG32" s="6">
        <f t="shared" si="12"/>
        <v>53.99</v>
      </c>
      <c r="AH32" s="30" t="s">
        <v>110</v>
      </c>
      <c r="AI32" s="3">
        <v>0.65</v>
      </c>
      <c r="AJ32" s="18">
        <v>0.35</v>
      </c>
      <c r="AK32" s="6">
        <f t="shared" si="13"/>
        <v>72.16</v>
      </c>
      <c r="AL32" s="6">
        <f t="shared" si="14"/>
        <v>71.430000000000007</v>
      </c>
      <c r="AM32" s="6">
        <f t="shared" si="15"/>
        <v>70.7</v>
      </c>
      <c r="AN32" s="6">
        <f t="shared" si="16"/>
        <v>70.7</v>
      </c>
      <c r="AO32" s="6">
        <f t="shared" si="17"/>
        <v>72.89</v>
      </c>
      <c r="BG32" s="12">
        <v>0.01</v>
      </c>
      <c r="BH32" s="12">
        <v>0.02</v>
      </c>
      <c r="BI32" s="12">
        <v>0.03</v>
      </c>
      <c r="BJ32" s="12">
        <v>0.03</v>
      </c>
      <c r="CC32" s="3" t="str">
        <f t="shared" si="18"/>
        <v>Allied-Moulded-AMHMI108CCH.jpg</v>
      </c>
      <c r="CD32" s="16" t="s">
        <v>111</v>
      </c>
      <c r="CE32" s="3"/>
      <c r="CF32" s="3"/>
      <c r="CG32" s="3" t="s">
        <v>5887</v>
      </c>
      <c r="CI32" s="3" t="s">
        <v>97</v>
      </c>
      <c r="CK32" s="3" t="s">
        <v>5893</v>
      </c>
      <c r="CM32" s="3" t="s">
        <v>167</v>
      </c>
      <c r="CN32" s="3" t="s">
        <v>385</v>
      </c>
    </row>
    <row r="33" spans="1:92" ht="15" customHeight="1">
      <c r="A33" s="81" t="s">
        <v>5970</v>
      </c>
      <c r="B33" s="81" t="s">
        <v>5971</v>
      </c>
      <c r="C33" s="16" t="s">
        <v>97</v>
      </c>
      <c r="D33" s="95" t="s">
        <v>5972</v>
      </c>
      <c r="E33" s="16" t="s">
        <v>97</v>
      </c>
      <c r="F33" s="131" t="s">
        <v>5973</v>
      </c>
      <c r="I33" s="100" t="s">
        <v>342</v>
      </c>
      <c r="J33" s="16" t="s">
        <v>101</v>
      </c>
      <c r="K33" s="16"/>
      <c r="L33" s="16" t="s">
        <v>4394</v>
      </c>
      <c r="M33" s="16" t="s">
        <v>5757</v>
      </c>
      <c r="P33" s="81" t="s">
        <v>5970</v>
      </c>
      <c r="Q33" s="81" t="s">
        <v>5970</v>
      </c>
      <c r="R33" s="81" t="s">
        <v>5970</v>
      </c>
      <c r="S33" s="81" t="s">
        <v>5970</v>
      </c>
      <c r="T33" s="131" t="s">
        <v>5951</v>
      </c>
      <c r="U33" s="115">
        <v>3</v>
      </c>
      <c r="V33" s="115"/>
      <c r="W33" s="54"/>
      <c r="X33" s="59" t="s">
        <v>108</v>
      </c>
      <c r="Y33" s="93">
        <f t="shared" si="10"/>
        <v>1</v>
      </c>
      <c r="Z33" s="3">
        <v>0</v>
      </c>
      <c r="AA33" s="3" t="s">
        <v>5974</v>
      </c>
      <c r="AD33" s="6">
        <f t="shared" si="11"/>
        <v>69.73</v>
      </c>
      <c r="AE33" s="74">
        <v>79.45668950999999</v>
      </c>
      <c r="AF33" s="17">
        <f t="shared" si="9"/>
        <v>83.676000000000002</v>
      </c>
      <c r="AG33" s="6">
        <f t="shared" si="12"/>
        <v>51.65</v>
      </c>
      <c r="AH33" s="30" t="s">
        <v>110</v>
      </c>
      <c r="AI33" s="3">
        <v>0.65</v>
      </c>
      <c r="AJ33" s="18">
        <v>0.35</v>
      </c>
      <c r="AK33" s="6">
        <f t="shared" si="13"/>
        <v>69.03</v>
      </c>
      <c r="AL33" s="6">
        <f t="shared" si="14"/>
        <v>68.34</v>
      </c>
      <c r="AM33" s="6">
        <f t="shared" si="15"/>
        <v>67.64</v>
      </c>
      <c r="AN33" s="6">
        <f t="shared" si="16"/>
        <v>67.64</v>
      </c>
      <c r="AO33" s="6">
        <f t="shared" si="17"/>
        <v>69.73</v>
      </c>
      <c r="BG33" s="12">
        <v>0.01</v>
      </c>
      <c r="BH33" s="12">
        <v>0.02</v>
      </c>
      <c r="BI33" s="12">
        <v>0.03</v>
      </c>
      <c r="BJ33" s="12">
        <v>0.03</v>
      </c>
      <c r="CC33" s="3" t="str">
        <f t="shared" si="18"/>
        <v>Allied-Moulded-AMHMI88HTP.jpg</v>
      </c>
      <c r="CD33" s="16" t="s">
        <v>111</v>
      </c>
      <c r="CE33" s="3"/>
      <c r="CF33" s="3"/>
      <c r="CG33" s="3" t="s">
        <v>5887</v>
      </c>
      <c r="CI33" s="3" t="s">
        <v>97</v>
      </c>
      <c r="CK33" s="3" t="s">
        <v>482</v>
      </c>
      <c r="CM33" s="3" t="s">
        <v>385</v>
      </c>
      <c r="CN33" s="3" t="s">
        <v>385</v>
      </c>
    </row>
    <row r="34" spans="1:92" ht="15" customHeight="1">
      <c r="A34" s="81" t="s">
        <v>5975</v>
      </c>
      <c r="B34" s="81" t="s">
        <v>5976</v>
      </c>
      <c r="C34" s="16" t="s">
        <v>97</v>
      </c>
      <c r="D34" s="82" t="s">
        <v>5977</v>
      </c>
      <c r="E34" s="16" t="s">
        <v>97</v>
      </c>
      <c r="F34" s="131" t="s">
        <v>5978</v>
      </c>
      <c r="I34" s="100" t="s">
        <v>342</v>
      </c>
      <c r="J34" s="16" t="s">
        <v>101</v>
      </c>
      <c r="K34" s="16"/>
      <c r="L34" s="16" t="s">
        <v>4394</v>
      </c>
      <c r="M34" s="16" t="s">
        <v>5757</v>
      </c>
      <c r="P34" s="81" t="s">
        <v>5975</v>
      </c>
      <c r="Q34" s="81" t="s">
        <v>5975</v>
      </c>
      <c r="R34" s="81" t="s">
        <v>5975</v>
      </c>
      <c r="S34" s="81" t="s">
        <v>5975</v>
      </c>
      <c r="T34" s="131" t="s">
        <v>5951</v>
      </c>
      <c r="U34" s="116">
        <v>3</v>
      </c>
      <c r="V34" s="116"/>
      <c r="W34" s="58"/>
      <c r="X34" s="59" t="s">
        <v>108</v>
      </c>
      <c r="Y34" s="93">
        <f t="shared" si="10"/>
        <v>1</v>
      </c>
      <c r="Z34" s="3">
        <v>0</v>
      </c>
      <c r="AA34" s="3" t="s">
        <v>5979</v>
      </c>
      <c r="AD34" s="6">
        <f t="shared" si="11"/>
        <v>72.89</v>
      </c>
      <c r="AE34" s="74">
        <v>83.065974310000001</v>
      </c>
      <c r="AF34" s="17">
        <f t="shared" si="9"/>
        <v>87.468000000000004</v>
      </c>
      <c r="AG34" s="6">
        <f t="shared" si="12"/>
        <v>53.99</v>
      </c>
      <c r="AH34" s="30" t="s">
        <v>110</v>
      </c>
      <c r="AI34" s="3">
        <v>0.65</v>
      </c>
      <c r="AJ34" s="18">
        <v>0.35</v>
      </c>
      <c r="AK34" s="6">
        <f t="shared" si="13"/>
        <v>72.16</v>
      </c>
      <c r="AL34" s="6">
        <f t="shared" si="14"/>
        <v>71.430000000000007</v>
      </c>
      <c r="AM34" s="6">
        <f t="shared" si="15"/>
        <v>70.7</v>
      </c>
      <c r="AN34" s="6">
        <f t="shared" si="16"/>
        <v>70.7</v>
      </c>
      <c r="AO34" s="6">
        <f t="shared" si="17"/>
        <v>72.89</v>
      </c>
      <c r="BG34" s="12">
        <v>0.01</v>
      </c>
      <c r="BH34" s="12">
        <v>0.02</v>
      </c>
      <c r="BI34" s="12">
        <v>0.03</v>
      </c>
      <c r="BJ34" s="12">
        <v>0.03</v>
      </c>
      <c r="CC34" s="3" t="str">
        <f t="shared" si="18"/>
        <v>Allied-Moulded-AMHMI88CCHTP.jpg</v>
      </c>
      <c r="CD34" s="16" t="s">
        <v>111</v>
      </c>
      <c r="CE34" s="3"/>
      <c r="CF34" s="3"/>
      <c r="CG34" s="3" t="s">
        <v>5887</v>
      </c>
      <c r="CI34" s="3" t="s">
        <v>97</v>
      </c>
      <c r="CK34" s="3" t="s">
        <v>5893</v>
      </c>
      <c r="CM34" s="3" t="s">
        <v>167</v>
      </c>
      <c r="CN34" s="3" t="s">
        <v>385</v>
      </c>
    </row>
    <row r="35" spans="1:92" ht="15" customHeight="1">
      <c r="A35" s="81" t="s">
        <v>5980</v>
      </c>
      <c r="B35" s="81" t="s">
        <v>5981</v>
      </c>
      <c r="C35" s="16" t="s">
        <v>97</v>
      </c>
      <c r="D35" s="95" t="s">
        <v>5982</v>
      </c>
      <c r="E35" s="16" t="s">
        <v>97</v>
      </c>
      <c r="F35" s="131" t="s">
        <v>5983</v>
      </c>
      <c r="I35" s="100" t="s">
        <v>342</v>
      </c>
      <c r="J35" s="16" t="s">
        <v>101</v>
      </c>
      <c r="K35" s="16"/>
      <c r="L35" s="16" t="s">
        <v>4394</v>
      </c>
      <c r="M35" s="16" t="s">
        <v>5757</v>
      </c>
      <c r="P35" s="81" t="s">
        <v>5980</v>
      </c>
      <c r="Q35" s="81" t="s">
        <v>5980</v>
      </c>
      <c r="R35" s="81" t="s">
        <v>5980</v>
      </c>
      <c r="S35" s="81" t="s">
        <v>5980</v>
      </c>
      <c r="T35" s="131" t="s">
        <v>5963</v>
      </c>
      <c r="U35" s="115">
        <v>3</v>
      </c>
      <c r="V35" s="115"/>
      <c r="W35" s="54"/>
      <c r="X35" s="59" t="s">
        <v>108</v>
      </c>
      <c r="Y35" s="93">
        <f t="shared" si="10"/>
        <v>1</v>
      </c>
      <c r="Z35" s="3">
        <v>0</v>
      </c>
      <c r="AA35" s="3" t="s">
        <v>5984</v>
      </c>
      <c r="AD35" s="6">
        <f t="shared" si="11"/>
        <v>72.25</v>
      </c>
      <c r="AE35" s="74">
        <v>82.34602387999999</v>
      </c>
      <c r="AF35" s="17">
        <f t="shared" si="9"/>
        <v>86.7</v>
      </c>
      <c r="AG35" s="6">
        <f t="shared" si="12"/>
        <v>53.52</v>
      </c>
      <c r="AH35" s="30" t="s">
        <v>110</v>
      </c>
      <c r="AI35" s="3">
        <v>0.65</v>
      </c>
      <c r="AJ35" s="18">
        <v>0.35</v>
      </c>
      <c r="AK35" s="6">
        <f t="shared" si="13"/>
        <v>71.53</v>
      </c>
      <c r="AL35" s="6">
        <f t="shared" si="14"/>
        <v>70.81</v>
      </c>
      <c r="AM35" s="6">
        <f t="shared" si="15"/>
        <v>70.08</v>
      </c>
      <c r="AN35" s="6">
        <f t="shared" si="16"/>
        <v>70.08</v>
      </c>
      <c r="AO35" s="6">
        <f t="shared" si="17"/>
        <v>72.25</v>
      </c>
      <c r="BG35" s="12">
        <v>0.01</v>
      </c>
      <c r="BH35" s="12">
        <v>0.02</v>
      </c>
      <c r="BI35" s="12">
        <v>0.03</v>
      </c>
      <c r="BJ35" s="12">
        <v>0.03</v>
      </c>
      <c r="CC35" s="3" t="str">
        <f t="shared" si="18"/>
        <v>Allied-Moulded-AMHMI108HTP.jpg</v>
      </c>
      <c r="CD35" s="16" t="s">
        <v>111</v>
      </c>
      <c r="CE35" s="3"/>
      <c r="CF35" s="3"/>
      <c r="CG35" s="3" t="s">
        <v>5887</v>
      </c>
      <c r="CI35" s="3" t="s">
        <v>97</v>
      </c>
      <c r="CK35" s="3" t="s">
        <v>482</v>
      </c>
      <c r="CM35" s="3" t="s">
        <v>167</v>
      </c>
      <c r="CN35" s="3" t="s">
        <v>385</v>
      </c>
    </row>
    <row r="36" spans="1:92" ht="15" customHeight="1">
      <c r="A36" s="81" t="s">
        <v>5985</v>
      </c>
      <c r="B36" s="81" t="s">
        <v>5986</v>
      </c>
      <c r="C36" s="16" t="s">
        <v>97</v>
      </c>
      <c r="D36" s="82" t="s">
        <v>5987</v>
      </c>
      <c r="E36" s="16" t="s">
        <v>97</v>
      </c>
      <c r="F36" s="131" t="s">
        <v>5988</v>
      </c>
      <c r="I36" s="100" t="s">
        <v>342</v>
      </c>
      <c r="J36" s="16" t="s">
        <v>101</v>
      </c>
      <c r="K36" s="16"/>
      <c r="L36" s="16" t="s">
        <v>4394</v>
      </c>
      <c r="M36" s="16" t="s">
        <v>5757</v>
      </c>
      <c r="P36" s="81" t="s">
        <v>5985</v>
      </c>
      <c r="Q36" s="81" t="s">
        <v>5985</v>
      </c>
      <c r="R36" s="81" t="s">
        <v>5985</v>
      </c>
      <c r="S36" s="81" t="s">
        <v>5985</v>
      </c>
      <c r="T36" s="131" t="s">
        <v>5963</v>
      </c>
      <c r="U36" s="116">
        <v>3</v>
      </c>
      <c r="V36" s="116"/>
      <c r="W36" s="58"/>
      <c r="X36" s="59" t="s">
        <v>108</v>
      </c>
      <c r="Y36" s="93">
        <f t="shared" si="10"/>
        <v>1</v>
      </c>
      <c r="Z36" s="3">
        <v>0</v>
      </c>
      <c r="AA36" s="3" t="s">
        <v>5989</v>
      </c>
      <c r="AD36" s="6">
        <f t="shared" si="11"/>
        <v>75.42</v>
      </c>
      <c r="AE36" s="74">
        <v>85.957692099999988</v>
      </c>
      <c r="AF36" s="17">
        <f t="shared" si="9"/>
        <v>90.504000000000005</v>
      </c>
      <c r="AG36" s="6">
        <f t="shared" si="12"/>
        <v>55.87</v>
      </c>
      <c r="AH36" s="30" t="s">
        <v>110</v>
      </c>
      <c r="AI36" s="3">
        <v>0.65</v>
      </c>
      <c r="AJ36" s="18">
        <v>0.35</v>
      </c>
      <c r="AK36" s="6">
        <f t="shared" si="13"/>
        <v>74.67</v>
      </c>
      <c r="AL36" s="6">
        <f t="shared" si="14"/>
        <v>73.91</v>
      </c>
      <c r="AM36" s="6">
        <f t="shared" si="15"/>
        <v>73.16</v>
      </c>
      <c r="AN36" s="6">
        <f t="shared" si="16"/>
        <v>73.16</v>
      </c>
      <c r="AO36" s="6">
        <f t="shared" si="17"/>
        <v>75.42</v>
      </c>
      <c r="BG36" s="12">
        <v>0.01</v>
      </c>
      <c r="BH36" s="12">
        <v>0.02</v>
      </c>
      <c r="BI36" s="12">
        <v>0.03</v>
      </c>
      <c r="BJ36" s="12">
        <v>0.03</v>
      </c>
      <c r="CC36" s="3" t="str">
        <f t="shared" si="18"/>
        <v>Allied-Moulded-AMHMI108CCHTP.jpg</v>
      </c>
      <c r="CD36" s="16" t="s">
        <v>111</v>
      </c>
      <c r="CE36" s="3"/>
      <c r="CF36" s="3"/>
      <c r="CG36" s="3" t="s">
        <v>5887</v>
      </c>
      <c r="CI36" s="3" t="s">
        <v>97</v>
      </c>
      <c r="CK36" s="3" t="s">
        <v>5893</v>
      </c>
      <c r="CM36" s="3" t="s">
        <v>167</v>
      </c>
      <c r="CN36" s="3" t="s">
        <v>385</v>
      </c>
    </row>
    <row r="37" spans="1:92" ht="15" customHeight="1">
      <c r="A37" s="81" t="s">
        <v>5990</v>
      </c>
      <c r="B37" s="81" t="s">
        <v>5991</v>
      </c>
      <c r="C37" s="16" t="s">
        <v>97</v>
      </c>
      <c r="D37" s="95" t="s">
        <v>5992</v>
      </c>
      <c r="E37" s="16" t="s">
        <v>97</v>
      </c>
      <c r="F37" s="131" t="s">
        <v>5993</v>
      </c>
      <c r="I37" s="100" t="s">
        <v>342</v>
      </c>
      <c r="J37" s="16" t="s">
        <v>101</v>
      </c>
      <c r="K37" s="16"/>
      <c r="L37" s="16" t="s">
        <v>4394</v>
      </c>
      <c r="M37" s="16" t="s">
        <v>5757</v>
      </c>
      <c r="P37" s="81" t="s">
        <v>5990</v>
      </c>
      <c r="Q37" s="81" t="s">
        <v>5990</v>
      </c>
      <c r="R37" s="81" t="s">
        <v>5990</v>
      </c>
      <c r="S37" s="81" t="s">
        <v>5990</v>
      </c>
      <c r="T37" s="131" t="s">
        <v>5951</v>
      </c>
      <c r="U37" s="115">
        <v>3</v>
      </c>
      <c r="V37" s="115"/>
      <c r="W37" s="54"/>
      <c r="X37" s="59" t="s">
        <v>108</v>
      </c>
      <c r="Y37" s="93">
        <f t="shared" si="10"/>
        <v>1</v>
      </c>
      <c r="Z37" s="3">
        <v>0</v>
      </c>
      <c r="AA37" s="3" t="s">
        <v>5994</v>
      </c>
      <c r="AD37" s="6">
        <f t="shared" si="11"/>
        <v>76.06</v>
      </c>
      <c r="AE37" s="74">
        <v>86.680024919999994</v>
      </c>
      <c r="AF37" s="17">
        <f t="shared" si="9"/>
        <v>91.272000000000006</v>
      </c>
      <c r="AG37" s="6">
        <f t="shared" si="12"/>
        <v>56.34</v>
      </c>
      <c r="AH37" s="30" t="s">
        <v>110</v>
      </c>
      <c r="AI37" s="3">
        <v>0.65</v>
      </c>
      <c r="AJ37" s="18">
        <v>0.35</v>
      </c>
      <c r="AK37" s="6">
        <f t="shared" si="13"/>
        <v>75.3</v>
      </c>
      <c r="AL37" s="6">
        <f t="shared" si="14"/>
        <v>74.540000000000006</v>
      </c>
      <c r="AM37" s="6">
        <f t="shared" si="15"/>
        <v>73.78</v>
      </c>
      <c r="AN37" s="6">
        <f t="shared" si="16"/>
        <v>73.78</v>
      </c>
      <c r="AO37" s="6">
        <f t="shared" si="17"/>
        <v>76.06</v>
      </c>
      <c r="BG37" s="12">
        <v>0.01</v>
      </c>
      <c r="BH37" s="12">
        <v>0.02</v>
      </c>
      <c r="BI37" s="12">
        <v>0.03</v>
      </c>
      <c r="BJ37" s="12">
        <v>0.03</v>
      </c>
      <c r="CC37" s="3" t="str">
        <f t="shared" si="18"/>
        <v>Allied-Moulded-AMHMI88L.jpg</v>
      </c>
      <c r="CD37" s="16" t="s">
        <v>111</v>
      </c>
      <c r="CE37" s="3"/>
      <c r="CF37" s="3"/>
      <c r="CG37" s="3" t="s">
        <v>5887</v>
      </c>
      <c r="CI37" s="3" t="s">
        <v>97</v>
      </c>
      <c r="CK37" s="3" t="s">
        <v>482</v>
      </c>
      <c r="CM37" s="3" t="s">
        <v>385</v>
      </c>
      <c r="CN37" s="3" t="s">
        <v>385</v>
      </c>
    </row>
    <row r="38" spans="1:92" ht="15" customHeight="1">
      <c r="A38" s="81" t="s">
        <v>5995</v>
      </c>
      <c r="B38" s="81" t="s">
        <v>5996</v>
      </c>
      <c r="C38" s="16" t="s">
        <v>97</v>
      </c>
      <c r="D38" s="82" t="s">
        <v>5997</v>
      </c>
      <c r="E38" s="16" t="s">
        <v>97</v>
      </c>
      <c r="F38" s="131" t="s">
        <v>5998</v>
      </c>
      <c r="I38" s="100" t="s">
        <v>342</v>
      </c>
      <c r="J38" s="16" t="s">
        <v>101</v>
      </c>
      <c r="K38" s="16"/>
      <c r="L38" s="16" t="s">
        <v>4394</v>
      </c>
      <c r="M38" s="16" t="s">
        <v>5757</v>
      </c>
      <c r="P38" s="81" t="s">
        <v>5995</v>
      </c>
      <c r="Q38" s="81" t="s">
        <v>5995</v>
      </c>
      <c r="R38" s="81" t="s">
        <v>5995</v>
      </c>
      <c r="S38" s="81" t="s">
        <v>5995</v>
      </c>
      <c r="T38" s="131" t="s">
        <v>5951</v>
      </c>
      <c r="U38" s="116">
        <v>3</v>
      </c>
      <c r="V38" s="116"/>
      <c r="W38" s="58"/>
      <c r="X38" s="59" t="s">
        <v>108</v>
      </c>
      <c r="Y38" s="93">
        <f t="shared" si="10"/>
        <v>1</v>
      </c>
      <c r="Z38" s="3">
        <v>0</v>
      </c>
      <c r="AA38" s="3" t="s">
        <v>5999</v>
      </c>
      <c r="AD38" s="6">
        <f t="shared" si="11"/>
        <v>79.23</v>
      </c>
      <c r="AE38" s="74">
        <v>90.29169417</v>
      </c>
      <c r="AF38" s="17">
        <f t="shared" si="9"/>
        <v>95.076000000000008</v>
      </c>
      <c r="AG38" s="6">
        <f t="shared" si="12"/>
        <v>58.69</v>
      </c>
      <c r="AH38" s="30" t="s">
        <v>110</v>
      </c>
      <c r="AI38" s="3">
        <v>0.65</v>
      </c>
      <c r="AJ38" s="18">
        <v>0.35</v>
      </c>
      <c r="AK38" s="6">
        <f t="shared" si="13"/>
        <v>78.44</v>
      </c>
      <c r="AL38" s="6">
        <f t="shared" si="14"/>
        <v>77.650000000000006</v>
      </c>
      <c r="AM38" s="6">
        <f t="shared" si="15"/>
        <v>76.849999999999994</v>
      </c>
      <c r="AN38" s="6">
        <f t="shared" si="16"/>
        <v>76.849999999999994</v>
      </c>
      <c r="AO38" s="6">
        <f t="shared" si="17"/>
        <v>79.23</v>
      </c>
      <c r="BG38" s="12">
        <v>0.01</v>
      </c>
      <c r="BH38" s="12">
        <v>0.02</v>
      </c>
      <c r="BI38" s="12">
        <v>0.03</v>
      </c>
      <c r="BJ38" s="12">
        <v>0.03</v>
      </c>
      <c r="CC38" s="3" t="str">
        <f t="shared" si="18"/>
        <v>Allied-Moulded-AMHMI88CCL.jpg</v>
      </c>
      <c r="CD38" s="16" t="s">
        <v>111</v>
      </c>
      <c r="CE38" s="3"/>
      <c r="CF38" s="3"/>
      <c r="CG38" s="3" t="s">
        <v>5887</v>
      </c>
      <c r="CI38" s="3" t="s">
        <v>97</v>
      </c>
      <c r="CK38" s="3" t="s">
        <v>5893</v>
      </c>
      <c r="CM38" s="3" t="s">
        <v>385</v>
      </c>
      <c r="CN38" s="3" t="s">
        <v>385</v>
      </c>
    </row>
    <row r="39" spans="1:92" ht="15" customHeight="1">
      <c r="A39" s="81" t="s">
        <v>6000</v>
      </c>
      <c r="B39" s="81" t="s">
        <v>6001</v>
      </c>
      <c r="C39" s="16" t="s">
        <v>97</v>
      </c>
      <c r="D39" s="95" t="s">
        <v>6002</v>
      </c>
      <c r="E39" s="16" t="s">
        <v>97</v>
      </c>
      <c r="F39" s="131" t="s">
        <v>6003</v>
      </c>
      <c r="I39" s="100" t="s">
        <v>342</v>
      </c>
      <c r="J39" s="16" t="s">
        <v>101</v>
      </c>
      <c r="K39" s="16"/>
      <c r="L39" s="16" t="s">
        <v>4394</v>
      </c>
      <c r="M39" s="16" t="s">
        <v>5757</v>
      </c>
      <c r="P39" s="81" t="s">
        <v>6000</v>
      </c>
      <c r="Q39" s="81" t="s">
        <v>6000</v>
      </c>
      <c r="R39" s="81" t="s">
        <v>6000</v>
      </c>
      <c r="S39" s="81" t="s">
        <v>6000</v>
      </c>
      <c r="T39" s="131" t="s">
        <v>5963</v>
      </c>
      <c r="U39" s="115">
        <v>3</v>
      </c>
      <c r="V39" s="115"/>
      <c r="W39" s="54"/>
      <c r="X39" s="59" t="s">
        <v>108</v>
      </c>
      <c r="Y39" s="93">
        <f t="shared" si="10"/>
        <v>1</v>
      </c>
      <c r="Z39" s="3">
        <v>0</v>
      </c>
      <c r="AA39" s="3" t="s">
        <v>6004</v>
      </c>
      <c r="AD39" s="6">
        <f t="shared" si="11"/>
        <v>78.599999999999994</v>
      </c>
      <c r="AE39" s="74">
        <v>89.569359290000008</v>
      </c>
      <c r="AF39" s="17">
        <f t="shared" si="9"/>
        <v>94.32</v>
      </c>
      <c r="AG39" s="6">
        <f t="shared" si="12"/>
        <v>58.22</v>
      </c>
      <c r="AH39" s="30" t="s">
        <v>110</v>
      </c>
      <c r="AI39" s="3">
        <v>0.65</v>
      </c>
      <c r="AJ39" s="18">
        <v>0.35</v>
      </c>
      <c r="AK39" s="6">
        <f t="shared" si="13"/>
        <v>77.81</v>
      </c>
      <c r="AL39" s="6">
        <f t="shared" si="14"/>
        <v>77.03</v>
      </c>
      <c r="AM39" s="6">
        <f t="shared" si="15"/>
        <v>76.239999999999995</v>
      </c>
      <c r="AN39" s="6">
        <f t="shared" si="16"/>
        <v>76.239999999999995</v>
      </c>
      <c r="AO39" s="6">
        <f t="shared" si="17"/>
        <v>78.599999999999994</v>
      </c>
      <c r="BG39" s="12">
        <v>0.01</v>
      </c>
      <c r="BH39" s="12">
        <v>0.02</v>
      </c>
      <c r="BI39" s="12">
        <v>0.03</v>
      </c>
      <c r="BJ39" s="12">
        <v>0.03</v>
      </c>
      <c r="CC39" s="3" t="str">
        <f t="shared" si="18"/>
        <v>Allied-Moulded-AMHMI108L.jpg</v>
      </c>
      <c r="CD39" s="16" t="s">
        <v>111</v>
      </c>
      <c r="CE39" s="3"/>
      <c r="CF39" s="3"/>
      <c r="CG39" s="3" t="s">
        <v>5887</v>
      </c>
      <c r="CI39" s="3" t="s">
        <v>97</v>
      </c>
      <c r="CK39" s="3" t="s">
        <v>482</v>
      </c>
      <c r="CM39" s="3" t="s">
        <v>167</v>
      </c>
      <c r="CN39" s="3" t="s">
        <v>385</v>
      </c>
    </row>
    <row r="40" spans="1:92" ht="15" customHeight="1">
      <c r="A40" s="81" t="s">
        <v>6005</v>
      </c>
      <c r="B40" s="81" t="s">
        <v>6006</v>
      </c>
      <c r="C40" s="16" t="s">
        <v>97</v>
      </c>
      <c r="D40" s="82" t="s">
        <v>6007</v>
      </c>
      <c r="E40" s="16" t="s">
        <v>97</v>
      </c>
      <c r="F40" s="131" t="s">
        <v>6008</v>
      </c>
      <c r="I40" s="100" t="s">
        <v>342</v>
      </c>
      <c r="J40" s="16" t="s">
        <v>101</v>
      </c>
      <c r="K40" s="16"/>
      <c r="L40" s="16" t="s">
        <v>4394</v>
      </c>
      <c r="M40" s="16" t="s">
        <v>5757</v>
      </c>
      <c r="P40" s="81" t="s">
        <v>6005</v>
      </c>
      <c r="Q40" s="81" t="s">
        <v>6005</v>
      </c>
      <c r="R40" s="81" t="s">
        <v>6005</v>
      </c>
      <c r="S40" s="81" t="s">
        <v>6005</v>
      </c>
      <c r="T40" s="131" t="s">
        <v>5963</v>
      </c>
      <c r="U40" s="116">
        <v>3</v>
      </c>
      <c r="V40" s="116"/>
      <c r="W40" s="58"/>
      <c r="X40" s="59" t="s">
        <v>108</v>
      </c>
      <c r="Y40" s="93">
        <f t="shared" si="10"/>
        <v>1</v>
      </c>
      <c r="Z40" s="3">
        <v>0</v>
      </c>
      <c r="AA40" s="3" t="s">
        <v>6009</v>
      </c>
      <c r="AD40" s="6">
        <f t="shared" si="11"/>
        <v>81.77</v>
      </c>
      <c r="AE40" s="74">
        <v>93.181027510000007</v>
      </c>
      <c r="AF40" s="17">
        <f t="shared" si="9"/>
        <v>98.123999999999995</v>
      </c>
      <c r="AG40" s="6">
        <f t="shared" si="12"/>
        <v>60.57</v>
      </c>
      <c r="AH40" s="30" t="s">
        <v>110</v>
      </c>
      <c r="AI40" s="3">
        <v>0.65</v>
      </c>
      <c r="AJ40" s="18">
        <v>0.35</v>
      </c>
      <c r="AK40" s="6">
        <f t="shared" si="13"/>
        <v>80.95</v>
      </c>
      <c r="AL40" s="6">
        <f t="shared" si="14"/>
        <v>80.13</v>
      </c>
      <c r="AM40" s="6">
        <f t="shared" si="15"/>
        <v>79.319999999999993</v>
      </c>
      <c r="AN40" s="6">
        <f t="shared" si="16"/>
        <v>79.319999999999993</v>
      </c>
      <c r="AO40" s="6">
        <f t="shared" si="17"/>
        <v>81.77</v>
      </c>
      <c r="BG40" s="12">
        <v>0.01</v>
      </c>
      <c r="BH40" s="12">
        <v>0.02</v>
      </c>
      <c r="BI40" s="12">
        <v>0.03</v>
      </c>
      <c r="BJ40" s="12">
        <v>0.03</v>
      </c>
      <c r="CC40" s="3" t="str">
        <f t="shared" si="18"/>
        <v>Allied-Moulded-AMHMI108CCL.jpg</v>
      </c>
      <c r="CD40" s="16" t="s">
        <v>111</v>
      </c>
      <c r="CE40" s="3"/>
      <c r="CF40" s="3"/>
      <c r="CG40" s="3" t="s">
        <v>5887</v>
      </c>
      <c r="CI40" s="3" t="s">
        <v>97</v>
      </c>
      <c r="CK40" s="3" t="s">
        <v>5893</v>
      </c>
      <c r="CM40" s="3" t="s">
        <v>167</v>
      </c>
      <c r="CN40" s="3" t="s">
        <v>385</v>
      </c>
    </row>
    <row r="41" spans="1:92" ht="15" customHeight="1">
      <c r="A41" s="81" t="s">
        <v>6010</v>
      </c>
      <c r="B41" s="81" t="s">
        <v>6011</v>
      </c>
      <c r="C41" s="16" t="s">
        <v>97</v>
      </c>
      <c r="D41" s="82" t="s">
        <v>6012</v>
      </c>
      <c r="E41" s="16" t="s">
        <v>97</v>
      </c>
      <c r="F41" s="131" t="s">
        <v>6013</v>
      </c>
      <c r="I41" s="100" t="s">
        <v>342</v>
      </c>
      <c r="J41" s="16" t="s">
        <v>101</v>
      </c>
      <c r="K41" s="16"/>
      <c r="L41" s="16" t="s">
        <v>4394</v>
      </c>
      <c r="M41" s="16" t="s">
        <v>5757</v>
      </c>
      <c r="P41" s="81" t="s">
        <v>6010</v>
      </c>
      <c r="Q41" s="81" t="s">
        <v>6010</v>
      </c>
      <c r="R41" s="81" t="s">
        <v>6010</v>
      </c>
      <c r="S41" s="81" t="s">
        <v>6010</v>
      </c>
      <c r="T41" s="131" t="s">
        <v>5762</v>
      </c>
      <c r="U41" s="116">
        <v>2</v>
      </c>
      <c r="V41" s="116"/>
      <c r="W41" s="58"/>
      <c r="X41" s="59" t="s">
        <v>108</v>
      </c>
      <c r="Y41" s="93">
        <f t="shared" si="10"/>
        <v>1</v>
      </c>
      <c r="Z41" s="3">
        <v>0</v>
      </c>
      <c r="AA41" s="3" t="s">
        <v>6014</v>
      </c>
      <c r="AD41" s="6">
        <f t="shared" si="11"/>
        <v>41.84</v>
      </c>
      <c r="AE41" s="74">
        <v>47.674014529999994</v>
      </c>
      <c r="AF41" s="17">
        <f t="shared" si="9"/>
        <v>50.208000000000006</v>
      </c>
      <c r="AG41" s="6">
        <f t="shared" si="12"/>
        <v>30.99</v>
      </c>
      <c r="AH41" s="30" t="s">
        <v>110</v>
      </c>
      <c r="AI41" s="3">
        <v>0.65</v>
      </c>
      <c r="AJ41" s="18">
        <v>0.35</v>
      </c>
      <c r="AK41" s="6">
        <f t="shared" si="13"/>
        <v>41.42</v>
      </c>
      <c r="AL41" s="6">
        <f t="shared" si="14"/>
        <v>41</v>
      </c>
      <c r="AM41" s="6">
        <f t="shared" si="15"/>
        <v>40.58</v>
      </c>
      <c r="AN41" s="6">
        <f t="shared" si="16"/>
        <v>40.58</v>
      </c>
      <c r="AO41" s="6">
        <f t="shared" si="17"/>
        <v>41.84</v>
      </c>
      <c r="BG41" s="12">
        <v>0.01</v>
      </c>
      <c r="BH41" s="12">
        <v>0.02</v>
      </c>
      <c r="BI41" s="12">
        <v>0.03</v>
      </c>
      <c r="BJ41" s="12">
        <v>0.03</v>
      </c>
      <c r="CC41" s="3" t="str">
        <f t="shared" si="18"/>
        <v>Allied-Moulded-AMHMI138CX.jpg</v>
      </c>
      <c r="CD41" s="16" t="s">
        <v>111</v>
      </c>
      <c r="CE41" s="3"/>
      <c r="CF41" s="3"/>
      <c r="CG41" s="3" t="s">
        <v>5764</v>
      </c>
      <c r="CI41" s="3" t="s">
        <v>97</v>
      </c>
      <c r="CK41" s="3" t="s">
        <v>5893</v>
      </c>
      <c r="CM41" s="3" t="s">
        <v>6015</v>
      </c>
      <c r="CN41" s="3" t="s">
        <v>385</v>
      </c>
    </row>
    <row r="42" spans="1:92" ht="15" customHeight="1">
      <c r="A42" s="81" t="s">
        <v>6016</v>
      </c>
      <c r="B42" s="81" t="s">
        <v>6017</v>
      </c>
      <c r="C42" s="16" t="s">
        <v>97</v>
      </c>
      <c r="D42" s="95" t="s">
        <v>6018</v>
      </c>
      <c r="E42" s="16" t="s">
        <v>97</v>
      </c>
      <c r="F42" s="131" t="s">
        <v>6019</v>
      </c>
      <c r="I42" s="100" t="s">
        <v>342</v>
      </c>
      <c r="J42" s="16" t="s">
        <v>101</v>
      </c>
      <c r="K42" s="16"/>
      <c r="L42" s="16" t="s">
        <v>4394</v>
      </c>
      <c r="M42" s="16" t="s">
        <v>5757</v>
      </c>
      <c r="P42" s="81" t="s">
        <v>6016</v>
      </c>
      <c r="Q42" s="81" t="s">
        <v>6016</v>
      </c>
      <c r="R42" s="81" t="s">
        <v>6016</v>
      </c>
      <c r="S42" s="81" t="s">
        <v>6016</v>
      </c>
      <c r="T42" s="131" t="s">
        <v>5762</v>
      </c>
      <c r="U42" s="115">
        <v>1</v>
      </c>
      <c r="V42" s="115"/>
      <c r="W42" s="54"/>
      <c r="X42" s="59" t="s">
        <v>108</v>
      </c>
      <c r="Y42" s="93">
        <f t="shared" si="10"/>
        <v>1</v>
      </c>
      <c r="Z42" s="3">
        <v>0</v>
      </c>
      <c r="AA42" s="3" t="s">
        <v>6020</v>
      </c>
      <c r="AD42" s="6">
        <f t="shared" si="11"/>
        <v>27.89</v>
      </c>
      <c r="AE42" s="74">
        <v>31.782676009999996</v>
      </c>
      <c r="AF42" s="17">
        <f t="shared" si="9"/>
        <v>33.467999999999996</v>
      </c>
      <c r="AG42" s="6">
        <f t="shared" si="12"/>
        <v>20.66</v>
      </c>
      <c r="AH42" s="30" t="s">
        <v>110</v>
      </c>
      <c r="AI42" s="3">
        <v>0.65</v>
      </c>
      <c r="AJ42" s="18">
        <v>0.35</v>
      </c>
      <c r="AK42" s="6">
        <f t="shared" si="13"/>
        <v>27.61</v>
      </c>
      <c r="AL42" s="6">
        <f t="shared" si="14"/>
        <v>27.33</v>
      </c>
      <c r="AM42" s="6">
        <f t="shared" si="15"/>
        <v>27.05</v>
      </c>
      <c r="AN42" s="6">
        <f t="shared" si="16"/>
        <v>27.05</v>
      </c>
      <c r="AO42" s="6">
        <f t="shared" si="17"/>
        <v>27.89</v>
      </c>
      <c r="BG42" s="12">
        <v>0.01</v>
      </c>
      <c r="BH42" s="12">
        <v>0.02</v>
      </c>
      <c r="BI42" s="12">
        <v>0.03</v>
      </c>
      <c r="BJ42" s="12">
        <v>0.03</v>
      </c>
      <c r="CC42" s="3" t="str">
        <f t="shared" si="18"/>
        <v>Allied-Moulded-AMHMI95CX.jpg</v>
      </c>
      <c r="CD42" s="16" t="s">
        <v>111</v>
      </c>
      <c r="CE42" s="3"/>
      <c r="CF42" s="3"/>
      <c r="CG42" s="3" t="s">
        <v>5764</v>
      </c>
      <c r="CI42" s="3" t="s">
        <v>97</v>
      </c>
      <c r="CK42" s="3" t="s">
        <v>5893</v>
      </c>
      <c r="CM42" s="3" t="s">
        <v>6021</v>
      </c>
      <c r="CN42" s="3" t="s">
        <v>6022</v>
      </c>
    </row>
    <row r="43" spans="1:92" ht="15" customHeight="1">
      <c r="A43" s="3" t="s">
        <v>4391</v>
      </c>
      <c r="B43" s="3" t="s">
        <v>4391</v>
      </c>
      <c r="C43" s="16" t="s">
        <v>97</v>
      </c>
      <c r="D43" s="40" t="s">
        <v>4392</v>
      </c>
      <c r="E43" s="16" t="s">
        <v>97</v>
      </c>
      <c r="F43" s="131" t="s">
        <v>4393</v>
      </c>
      <c r="I43" s="100" t="s">
        <v>342</v>
      </c>
      <c r="J43" s="16" t="s">
        <v>101</v>
      </c>
      <c r="K43" s="16"/>
      <c r="L43" s="16" t="s">
        <v>4394</v>
      </c>
      <c r="M43" s="16" t="s">
        <v>4395</v>
      </c>
      <c r="P43" s="3" t="s">
        <v>4396</v>
      </c>
      <c r="Q43" s="3" t="s">
        <v>4396</v>
      </c>
      <c r="R43" s="3" t="s">
        <v>4396</v>
      </c>
      <c r="S43" s="3" t="s">
        <v>4391</v>
      </c>
      <c r="T43" s="136" t="s">
        <v>4397</v>
      </c>
      <c r="U43" s="51">
        <v>1</v>
      </c>
      <c r="V43" s="58"/>
      <c r="W43" s="58"/>
      <c r="X43" s="59" t="s">
        <v>108</v>
      </c>
      <c r="Y43" s="93">
        <f>IF(AD43=0, 0, IF(OR(H43="", H43&lt;&gt;0), 1, 0))</f>
        <v>1</v>
      </c>
      <c r="Z43" s="3">
        <v>0</v>
      </c>
      <c r="AA43" s="3" t="s">
        <v>4398</v>
      </c>
      <c r="AD43" s="6">
        <f>ROUND((AG43*(1+AJ43)),2)</f>
        <v>30.24</v>
      </c>
      <c r="AE43" s="69">
        <v>34.455309710000002</v>
      </c>
      <c r="AF43" s="17">
        <f>(AE43*1)</f>
        <v>34.455309710000002</v>
      </c>
      <c r="AG43" s="6">
        <f>ROUND((AE43*AI43),2)</f>
        <v>22.4</v>
      </c>
      <c r="AH43" s="30" t="s">
        <v>110</v>
      </c>
      <c r="AI43" s="3">
        <v>0.65</v>
      </c>
      <c r="AJ43" s="18">
        <v>0.35</v>
      </c>
      <c r="AK43" s="6">
        <f>ROUND((AD43-(AD43*BG43)),2)</f>
        <v>29.94</v>
      </c>
      <c r="AL43" s="6">
        <f>ROUND((AD43-(AD43*BH43)),2)</f>
        <v>29.64</v>
      </c>
      <c r="AM43" s="6">
        <f>ROUND((AD43-(AD43*BI43)),2)</f>
        <v>29.33</v>
      </c>
      <c r="AN43" s="6">
        <f>ROUND((AD43-(AD43*BJ43)),2)</f>
        <v>29.33</v>
      </c>
      <c r="AO43" s="6">
        <f>ROUND((AD43-(AD43*BK43)),2)</f>
        <v>30.24</v>
      </c>
      <c r="BG43" s="12">
        <v>0.01</v>
      </c>
      <c r="BH43" s="12">
        <v>0.02</v>
      </c>
      <c r="BI43" s="12">
        <v>0.03</v>
      </c>
      <c r="BJ43" s="12">
        <v>0.03</v>
      </c>
      <c r="CC43" s="3" t="str">
        <f>IF(B43&lt;&gt;"",CONCATENATE(SUBSTITUTE(B43," ","-"),".jpg"),"")</f>
        <v>Allied-Moulded-AMHMIPROP88.jpg</v>
      </c>
      <c r="CD43" s="16" t="s">
        <v>111</v>
      </c>
      <c r="CE43" s="3"/>
      <c r="CF43" s="3"/>
      <c r="CI43" s="3" t="s">
        <v>97</v>
      </c>
    </row>
    <row r="44" spans="1:92" ht="15" customHeight="1">
      <c r="A44" s="3" t="s">
        <v>4399</v>
      </c>
      <c r="B44" s="3" t="s">
        <v>4399</v>
      </c>
      <c r="C44" s="16" t="s">
        <v>97</v>
      </c>
      <c r="D44" s="39" t="s">
        <v>4400</v>
      </c>
      <c r="E44" s="16" t="s">
        <v>97</v>
      </c>
      <c r="F44" s="131" t="s">
        <v>4401</v>
      </c>
      <c r="I44" s="100" t="s">
        <v>342</v>
      </c>
      <c r="J44" s="16" t="s">
        <v>101</v>
      </c>
      <c r="K44" s="16"/>
      <c r="L44" s="16" t="s">
        <v>4394</v>
      </c>
      <c r="M44" s="16" t="s">
        <v>4395</v>
      </c>
      <c r="P44" s="3" t="s">
        <v>4402</v>
      </c>
      <c r="Q44" s="3" t="s">
        <v>4402</v>
      </c>
      <c r="R44" s="3" t="s">
        <v>4402</v>
      </c>
      <c r="S44" s="3" t="s">
        <v>4399</v>
      </c>
      <c r="T44" s="136" t="s">
        <v>4397</v>
      </c>
      <c r="U44" s="50">
        <v>1</v>
      </c>
      <c r="V44" s="54"/>
      <c r="W44" s="54"/>
      <c r="X44" s="59" t="s">
        <v>108</v>
      </c>
      <c r="Y44" s="93">
        <f>IF(AD44=0, 0, IF(OR(H44="", H44&lt;&gt;0), 1, 0))</f>
        <v>1</v>
      </c>
      <c r="Z44" s="3">
        <v>0</v>
      </c>
      <c r="AA44" s="3" t="s">
        <v>4403</v>
      </c>
      <c r="AD44" s="6">
        <f>ROUND((AG44*(1+AJ44)),2)</f>
        <v>32.06</v>
      </c>
      <c r="AE44" s="69">
        <v>36.543511110000004</v>
      </c>
      <c r="AF44" s="17">
        <f>(AE44*1)</f>
        <v>36.543511110000004</v>
      </c>
      <c r="AG44" s="6">
        <f>ROUND((AE44*AI44),2)</f>
        <v>23.75</v>
      </c>
      <c r="AH44" s="30" t="s">
        <v>110</v>
      </c>
      <c r="AI44" s="3">
        <v>0.65</v>
      </c>
      <c r="AJ44" s="18">
        <v>0.35</v>
      </c>
      <c r="AK44" s="6">
        <f>ROUND((AD44-(AD44*BG44)),2)</f>
        <v>31.74</v>
      </c>
      <c r="AL44" s="6">
        <f>ROUND((AD44-(AD44*BH44)),2)</f>
        <v>31.42</v>
      </c>
      <c r="AM44" s="6">
        <f>ROUND((AD44-(AD44*BI44)),2)</f>
        <v>31.1</v>
      </c>
      <c r="AN44" s="6">
        <f>ROUND((AD44-(AD44*BJ44)),2)</f>
        <v>31.1</v>
      </c>
      <c r="AO44" s="6">
        <f>ROUND((AD44-(AD44*BK44)),2)</f>
        <v>32.06</v>
      </c>
      <c r="BG44" s="12">
        <v>0.01</v>
      </c>
      <c r="BH44" s="12">
        <v>0.02</v>
      </c>
      <c r="BI44" s="12">
        <v>0.03</v>
      </c>
      <c r="BJ44" s="12">
        <v>0.03</v>
      </c>
      <c r="CC44" s="3" t="str">
        <f>IF(B44&lt;&gt;"",CONCATENATE(SUBSTITUTE(B44," ","-"),".jpg"),"")</f>
        <v>Allied-Moulded-AMHMIPROP108.jpg</v>
      </c>
      <c r="CD44" s="16" t="s">
        <v>111</v>
      </c>
      <c r="CE44" s="3"/>
      <c r="CF44" s="3"/>
      <c r="CI44" s="3" t="s">
        <v>97</v>
      </c>
    </row>
    <row r="45" spans="1:92" ht="15" customHeight="1">
      <c r="A45" s="3" t="s">
        <v>4404</v>
      </c>
      <c r="B45" s="3" t="s">
        <v>4404</v>
      </c>
      <c r="C45" s="16" t="s">
        <v>97</v>
      </c>
      <c r="D45" s="40" t="s">
        <v>4405</v>
      </c>
      <c r="E45" s="16" t="s">
        <v>97</v>
      </c>
      <c r="F45" s="131" t="s">
        <v>4406</v>
      </c>
      <c r="I45" s="100" t="s">
        <v>342</v>
      </c>
      <c r="J45" s="16" t="s">
        <v>101</v>
      </c>
      <c r="K45" s="16"/>
      <c r="L45" s="16" t="s">
        <v>4394</v>
      </c>
      <c r="M45" s="16" t="s">
        <v>4395</v>
      </c>
      <c r="P45" s="3" t="s">
        <v>4407</v>
      </c>
      <c r="Q45" s="3" t="s">
        <v>4407</v>
      </c>
      <c r="R45" s="3" t="s">
        <v>4407</v>
      </c>
      <c r="S45" s="3" t="s">
        <v>4404</v>
      </c>
      <c r="T45" s="136" t="s">
        <v>4397</v>
      </c>
      <c r="U45" s="51">
        <v>1</v>
      </c>
      <c r="V45" s="58"/>
      <c r="W45" s="58"/>
      <c r="X45" s="59" t="s">
        <v>108</v>
      </c>
      <c r="Y45" s="93">
        <f>IF(AD45=0, 0, IF(OR(H45="", H45&lt;&gt;0), 1, 0))</f>
        <v>1</v>
      </c>
      <c r="Z45" s="3">
        <v>0</v>
      </c>
      <c r="AA45" s="3" t="s">
        <v>4408</v>
      </c>
      <c r="AD45" s="6">
        <f>ROUND((AG45*(1+AJ45)),2)</f>
        <v>33.9</v>
      </c>
      <c r="AE45" s="69">
        <v>38.63171148</v>
      </c>
      <c r="AF45" s="17">
        <f>(AE45*1)</f>
        <v>38.63171148</v>
      </c>
      <c r="AG45" s="6">
        <f>ROUND((AE45*AI45),2)</f>
        <v>25.11</v>
      </c>
      <c r="AH45" s="30" t="s">
        <v>110</v>
      </c>
      <c r="AI45" s="3">
        <v>0.65</v>
      </c>
      <c r="AJ45" s="18">
        <v>0.35</v>
      </c>
      <c r="AK45" s="6">
        <f>ROUND((AD45-(AD45*BG45)),2)</f>
        <v>33.56</v>
      </c>
      <c r="AL45" s="6">
        <f>ROUND((AD45-(AD45*BH45)),2)</f>
        <v>33.22</v>
      </c>
      <c r="AM45" s="6">
        <f>ROUND((AD45-(AD45*BI45)),2)</f>
        <v>32.880000000000003</v>
      </c>
      <c r="AN45" s="6">
        <f>ROUND((AD45-(AD45*BJ45)),2)</f>
        <v>32.880000000000003</v>
      </c>
      <c r="AO45" s="6">
        <f>ROUND((AD45-(AD45*BK45)),2)</f>
        <v>33.9</v>
      </c>
      <c r="BG45" s="12">
        <v>0.01</v>
      </c>
      <c r="BH45" s="12">
        <v>0.02</v>
      </c>
      <c r="BI45" s="12">
        <v>0.03</v>
      </c>
      <c r="BJ45" s="12">
        <v>0.03</v>
      </c>
      <c r="CC45" s="3" t="str">
        <f>IF(B45&lt;&gt;"",CONCATENATE(SUBSTITUTE(B45," ","-"),".jpg"),"")</f>
        <v>Allied-Moulded-AMHMIPROP120.jpg</v>
      </c>
      <c r="CD45" s="16" t="s">
        <v>111</v>
      </c>
      <c r="CE45" s="3"/>
      <c r="CF45" s="3"/>
      <c r="CI45" s="3" t="s">
        <v>97</v>
      </c>
    </row>
    <row r="46" spans="1:92" ht="15" customHeight="1">
      <c r="A46" s="3" t="s">
        <v>4409</v>
      </c>
      <c r="B46" s="3" t="s">
        <v>4409</v>
      </c>
      <c r="C46" s="16" t="s">
        <v>97</v>
      </c>
      <c r="D46" s="39" t="s">
        <v>4410</v>
      </c>
      <c r="E46" s="16" t="s">
        <v>97</v>
      </c>
      <c r="F46" s="131" t="s">
        <v>4411</v>
      </c>
      <c r="I46" s="100" t="s">
        <v>342</v>
      </c>
      <c r="J46" s="16" t="s">
        <v>101</v>
      </c>
      <c r="K46" s="16"/>
      <c r="L46" s="16" t="s">
        <v>4394</v>
      </c>
      <c r="M46" s="16" t="s">
        <v>4395</v>
      </c>
      <c r="P46" s="3" t="s">
        <v>4412</v>
      </c>
      <c r="Q46" s="3" t="s">
        <v>4412</v>
      </c>
      <c r="R46" s="3" t="s">
        <v>4412</v>
      </c>
      <c r="S46" s="3" t="s">
        <v>4409</v>
      </c>
      <c r="T46" s="136" t="s">
        <v>4397</v>
      </c>
      <c r="U46" s="50">
        <v>1</v>
      </c>
      <c r="V46" s="54"/>
      <c r="W46" s="54"/>
      <c r="X46" s="59" t="s">
        <v>108</v>
      </c>
      <c r="Y46" s="93">
        <f>IF(AD46=0, 0, IF(OR(H46="", H46&lt;&gt;0), 1, 0))</f>
        <v>1</v>
      </c>
      <c r="Z46" s="3">
        <v>0</v>
      </c>
      <c r="AA46" s="3" t="s">
        <v>4413</v>
      </c>
      <c r="AD46" s="6">
        <f>ROUND((AG46*(1+AJ46)),2)</f>
        <v>35.729999999999997</v>
      </c>
      <c r="AE46" s="69">
        <v>40.719912880000003</v>
      </c>
      <c r="AF46" s="17">
        <f>(AE46*1)</f>
        <v>40.719912880000003</v>
      </c>
      <c r="AG46" s="6">
        <f>ROUND((AE46*AI46),2)</f>
        <v>26.47</v>
      </c>
      <c r="AH46" s="30" t="s">
        <v>110</v>
      </c>
      <c r="AI46" s="3">
        <v>0.65</v>
      </c>
      <c r="AJ46" s="18">
        <v>0.35</v>
      </c>
      <c r="AK46" s="6">
        <f>ROUND((AD46-(AD46*BG46)),2)</f>
        <v>35.369999999999997</v>
      </c>
      <c r="AL46" s="6">
        <f>ROUND((AD46-(AD46*BH46)),2)</f>
        <v>35.020000000000003</v>
      </c>
      <c r="AM46" s="6">
        <f>ROUND((AD46-(AD46*BI46)),2)</f>
        <v>34.659999999999997</v>
      </c>
      <c r="AN46" s="6">
        <f>ROUND((AD46-(AD46*BJ46)),2)</f>
        <v>34.659999999999997</v>
      </c>
      <c r="AO46" s="6">
        <f>ROUND((AD46-(AD46*BK46)),2)</f>
        <v>35.729999999999997</v>
      </c>
      <c r="BG46" s="12">
        <v>0.01</v>
      </c>
      <c r="BH46" s="12">
        <v>0.02</v>
      </c>
      <c r="BI46" s="12">
        <v>0.03</v>
      </c>
      <c r="BJ46" s="12">
        <v>0.03</v>
      </c>
      <c r="CC46" s="3" t="str">
        <f>IF(B46&lt;&gt;"",CONCATENATE(SUBSTITUTE(B46," ","-"),".jpg"),"")</f>
        <v>Allied-Moulded-AMHMIPROP142.jpg</v>
      </c>
      <c r="CD46" s="16" t="s">
        <v>111</v>
      </c>
      <c r="CE46" s="3"/>
      <c r="CF46" s="3"/>
      <c r="CI46" s="3" t="s">
        <v>97</v>
      </c>
    </row>
    <row r="47" spans="1:92" ht="15" customHeight="1">
      <c r="A47" s="3" t="s">
        <v>4414</v>
      </c>
      <c r="B47" s="3" t="s">
        <v>4414</v>
      </c>
      <c r="C47" s="16" t="s">
        <v>97</v>
      </c>
      <c r="D47" s="40" t="s">
        <v>4415</v>
      </c>
      <c r="E47" s="16" t="s">
        <v>97</v>
      </c>
      <c r="F47" s="131" t="s">
        <v>4416</v>
      </c>
      <c r="I47" s="100" t="s">
        <v>342</v>
      </c>
      <c r="J47" s="16" t="s">
        <v>101</v>
      </c>
      <c r="K47" s="16"/>
      <c r="L47" s="16" t="s">
        <v>4394</v>
      </c>
      <c r="M47" s="16" t="s">
        <v>4395</v>
      </c>
      <c r="P47" s="3" t="s">
        <v>4417</v>
      </c>
      <c r="Q47" s="3" t="s">
        <v>4417</v>
      </c>
      <c r="R47" s="3" t="s">
        <v>4417</v>
      </c>
      <c r="S47" s="3" t="s">
        <v>4414</v>
      </c>
      <c r="T47" s="136" t="s">
        <v>4397</v>
      </c>
      <c r="U47" s="51">
        <v>1</v>
      </c>
      <c r="V47" s="58"/>
      <c r="W47" s="58"/>
      <c r="X47" s="59" t="s">
        <v>108</v>
      </c>
      <c r="Y47" s="93">
        <f>IF(AD47=0, 0, IF(OR(H47="", H47&lt;&gt;0), 1, 0))</f>
        <v>1</v>
      </c>
      <c r="Z47" s="3">
        <v>0</v>
      </c>
      <c r="AA47" s="3" t="s">
        <v>4418</v>
      </c>
      <c r="AD47" s="6">
        <f>ROUND((AG47*(1+AJ47)),2)</f>
        <v>37.57</v>
      </c>
      <c r="AE47" s="69">
        <v>42.808113249999998</v>
      </c>
      <c r="AF47" s="17">
        <f>(AE47*1)</f>
        <v>42.808113249999998</v>
      </c>
      <c r="AG47" s="6">
        <f>ROUND((AE47*AI47),2)</f>
        <v>27.83</v>
      </c>
      <c r="AH47" s="30" t="s">
        <v>110</v>
      </c>
      <c r="AI47" s="3">
        <v>0.65</v>
      </c>
      <c r="AJ47" s="18">
        <v>0.35</v>
      </c>
      <c r="AK47" s="6">
        <f>ROUND((AD47-(AD47*BG47)),2)</f>
        <v>37.19</v>
      </c>
      <c r="AL47" s="6">
        <f>ROUND((AD47-(AD47*BH47)),2)</f>
        <v>36.82</v>
      </c>
      <c r="AM47" s="6">
        <f>ROUND((AD47-(AD47*BI47)),2)</f>
        <v>36.44</v>
      </c>
      <c r="AN47" s="6">
        <f>ROUND((AD47-(AD47*BJ47)),2)</f>
        <v>36.44</v>
      </c>
      <c r="AO47" s="6">
        <f>ROUND((AD47-(AD47*BK47)),2)</f>
        <v>37.57</v>
      </c>
      <c r="BG47" s="12">
        <v>0.01</v>
      </c>
      <c r="BH47" s="12">
        <v>0.02</v>
      </c>
      <c r="BI47" s="12">
        <v>0.03</v>
      </c>
      <c r="BJ47" s="12">
        <v>0.03</v>
      </c>
      <c r="CC47" s="3" t="str">
        <f>IF(B47&lt;&gt;"",CONCATENATE(SUBSTITUTE(B47," ","-"),".jpg"),"")</f>
        <v>Allied-Moulded-AMHMIPROP164.jpg</v>
      </c>
      <c r="CD47" s="16" t="s">
        <v>111</v>
      </c>
      <c r="CE47" s="3"/>
      <c r="CF47" s="3"/>
      <c r="CI47" s="3" t="s">
        <v>97</v>
      </c>
    </row>
    <row r="48" spans="1:92" ht="15" customHeight="1">
      <c r="A48" s="3" t="s">
        <v>4419</v>
      </c>
      <c r="B48" s="3" t="s">
        <v>4419</v>
      </c>
      <c r="C48" s="16" t="s">
        <v>97</v>
      </c>
      <c r="D48" s="39" t="s">
        <v>4420</v>
      </c>
      <c r="E48" s="16" t="s">
        <v>97</v>
      </c>
      <c r="F48" s="131" t="s">
        <v>4421</v>
      </c>
      <c r="I48" s="100" t="s">
        <v>342</v>
      </c>
      <c r="J48" s="16" t="s">
        <v>101</v>
      </c>
      <c r="K48" s="16"/>
      <c r="L48" s="16" t="s">
        <v>4394</v>
      </c>
      <c r="M48" s="16" t="s">
        <v>4395</v>
      </c>
      <c r="P48" s="3" t="s">
        <v>4422</v>
      </c>
      <c r="Q48" s="3" t="s">
        <v>4422</v>
      </c>
      <c r="R48" s="3" t="s">
        <v>4422</v>
      </c>
      <c r="S48" s="3" t="s">
        <v>4419</v>
      </c>
      <c r="T48" s="136" t="s">
        <v>4397</v>
      </c>
      <c r="U48" s="50">
        <v>1</v>
      </c>
      <c r="V48" s="54"/>
      <c r="W48" s="54"/>
      <c r="X48" s="59" t="s">
        <v>108</v>
      </c>
      <c r="Y48" s="93">
        <f>IF(AD48=0, 0, IF(OR(H48="", H48&lt;&gt;0), 1, 0))</f>
        <v>1</v>
      </c>
      <c r="Z48" s="3">
        <v>0</v>
      </c>
      <c r="AA48" s="3" t="s">
        <v>4423</v>
      </c>
      <c r="AD48" s="6">
        <f>ROUND((AG48*(1+AJ48)),2)</f>
        <v>40.03</v>
      </c>
      <c r="AE48" s="69">
        <v>45.612751750000001</v>
      </c>
      <c r="AF48" s="17">
        <f>(AE48*1)</f>
        <v>45.612751750000001</v>
      </c>
      <c r="AG48" s="6">
        <f>ROUND((AE48*AI48),2)</f>
        <v>29.65</v>
      </c>
      <c r="AH48" s="30" t="s">
        <v>110</v>
      </c>
      <c r="AI48" s="3">
        <v>0.65</v>
      </c>
      <c r="AJ48" s="18">
        <v>0.35</v>
      </c>
      <c r="AK48" s="6">
        <f>ROUND((AD48-(AD48*BG48)),2)</f>
        <v>39.630000000000003</v>
      </c>
      <c r="AL48" s="6">
        <f>ROUND((AD48-(AD48*BH48)),2)</f>
        <v>39.229999999999997</v>
      </c>
      <c r="AM48" s="6">
        <f>ROUND((AD48-(AD48*BI48)),2)</f>
        <v>38.83</v>
      </c>
      <c r="AN48" s="6">
        <f>ROUND((AD48-(AD48*BJ48)),2)</f>
        <v>38.83</v>
      </c>
      <c r="AO48" s="6">
        <f>ROUND((AD48-(AD48*BK48)),2)</f>
        <v>40.03</v>
      </c>
      <c r="BG48" s="12">
        <v>0.01</v>
      </c>
      <c r="BH48" s="12">
        <v>0.02</v>
      </c>
      <c r="BI48" s="12">
        <v>0.03</v>
      </c>
      <c r="BJ48" s="12">
        <v>0.03</v>
      </c>
      <c r="CC48" s="3" t="str">
        <f>IF(B48&lt;&gt;"",CONCATENATE(SUBSTITUTE(B48," ","-"),".jpg"),"")</f>
        <v>Allied-Moulded-AMHMIPROP206.jpg</v>
      </c>
      <c r="CD48" s="16" t="s">
        <v>111</v>
      </c>
      <c r="CE48" s="3"/>
      <c r="CF48" s="3"/>
      <c r="CI48" s="3" t="s">
        <v>97</v>
      </c>
    </row>
  </sheetData>
  <autoFilter ref="A3:CS3" xr:uid="{D2DCB943-2A33-4FE6-879A-C0F11BA7428E}"/>
  <phoneticPr fontId="14" type="noConversion"/>
  <conditionalFormatting sqref="Y1">
    <cfRule type="colorScale" priority="2">
      <colorScale>
        <cfvo type="num" val="0"/>
        <cfvo type="num" val="1"/>
        <color rgb="FFFF0000"/>
        <color rgb="FFFFFF00"/>
      </colorScale>
    </cfRule>
  </conditionalFormatting>
  <conditionalFormatting sqref="Y18:AD20 AG17:AJ20 Z17:AD17">
    <cfRule type="colorScale" priority="6">
      <colorScale>
        <cfvo type="num" val="0"/>
        <cfvo type="num" val="1"/>
        <color rgb="FFFF0000"/>
        <color rgb="FFFFFF00"/>
      </colorScale>
    </cfRule>
  </conditionalFormatting>
  <conditionalFormatting sqref="Y21:AD42 AG21:AJ42">
    <cfRule type="colorScale" priority="7">
      <colorScale>
        <cfvo type="num" val="0"/>
        <cfvo type="num" val="1"/>
        <color rgb="FFFF0000"/>
        <color rgb="FFFFFF00"/>
      </colorScale>
    </cfRule>
  </conditionalFormatting>
  <conditionalFormatting sqref="AF4:AF42">
    <cfRule type="colorScale" priority="5">
      <colorScale>
        <cfvo type="num" val="0"/>
        <cfvo type="num" val="1"/>
        <color rgb="FFFF0000"/>
        <color rgb="FFFFFF00"/>
      </colorScale>
    </cfRule>
  </conditionalFormatting>
  <conditionalFormatting sqref="AF50:AJ1048576 Y50:AD1048576 Y5:AD16 Z4:AD4 AG4:AJ16">
    <cfRule type="colorScale" priority="9">
      <colorScale>
        <cfvo type="num" val="0"/>
        <cfvo type="num" val="1"/>
        <color rgb="FFFF0000"/>
        <color rgb="FFFFFF00"/>
      </colorScale>
    </cfRule>
  </conditionalFormatting>
  <conditionalFormatting sqref="Y43:AD48 AF43:AJ48">
    <cfRule type="colorScale" priority="1">
      <colorScale>
        <cfvo type="num" val="0"/>
        <cfvo type="num" val="1"/>
        <color rgb="FFFF0000"/>
        <color rgb="FFFFFF00"/>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03C98FCB58F640B10A3847784D3C45" ma:contentTypeVersion="23" ma:contentTypeDescription="Create a new document." ma:contentTypeScope="" ma:versionID="4bb622bb97d82aa59e60ad2d4563a3ef">
  <xsd:schema xmlns:xsd="http://www.w3.org/2001/XMLSchema" xmlns:xs="http://www.w3.org/2001/XMLSchema" xmlns:p="http://schemas.microsoft.com/office/2006/metadata/properties" xmlns:ns2="1e5d8254-5917-4ce6-87e3-aae0922867a5" xmlns:ns3="7279f19c-4df6-474d-9205-6c61848aad62" targetNamespace="http://schemas.microsoft.com/office/2006/metadata/properties" ma:root="true" ma:fieldsID="8392577c3ec16caac63ec546bf4e84da" ns2:_="" ns3:_="">
    <xsd:import namespace="1e5d8254-5917-4ce6-87e3-aae0922867a5"/>
    <xsd:import namespace="7279f19c-4df6-474d-9205-6c61848aad6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Date" minOccurs="0"/>
                <xsd:element ref="ns3:lb916d8373f14e75b8d3845cffdfa9c5" minOccurs="0"/>
                <xsd:element ref="ns3:Nick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d8254-5917-4ce6-87e3-aae0922867a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0ead563-9a79-4081-afbb-1dd8f5b74077}" ma:internalName="TaxCatchAll" ma:showField="CatchAllData" ma:web="1e5d8254-5917-4ce6-87e3-aae0922867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279f19c-4df6-474d-9205-6c61848aad6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d4c46e2-912c-4bef-97b2-165fbfe7d30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Date" ma:index="26" nillable="true" ma:displayName="Date" ma:format="Dropdown" ma:internalName="Date" ma:percentage="FALSE">
      <xsd:simpleType>
        <xsd:restriction base="dms:Number"/>
      </xsd:simpleType>
    </xsd:element>
    <xsd:element name="lb916d8373f14e75b8d3845cffdfa9c5" ma:index="28" nillable="true" ma:taxonomy="true" ma:internalName="lb916d8373f14e75b8d3845cffdfa9c5" ma:taxonomyFieldName="Metadata" ma:displayName="Metadata" ma:default="" ma:fieldId="{5b916d83-73f1-4e75-b8d3-845cffdfa9c5}" ma:sspId="5d4c46e2-912c-4bef-97b2-165fbfe7d305" ma:termSetId="386095d1-c68d-4c6d-b587-48ddaf1aecc9" ma:anchorId="00000000-0000-0000-0000-000000000000" ma:open="true" ma:isKeyword="false">
      <xsd:complexType>
        <xsd:sequence>
          <xsd:element ref="pc:Terms" minOccurs="0" maxOccurs="1"/>
        </xsd:sequence>
      </xsd:complexType>
    </xsd:element>
    <xsd:element name="Nickname" ma:index="29" nillable="true" ma:displayName="Nickname" ma:format="Dropdown" ma:internalName="Nicknam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e5d8254-5917-4ce6-87e3-aae0922867a5" xsi:nil="true"/>
    <lcf76f155ced4ddcb4097134ff3c332f xmlns="7279f19c-4df6-474d-9205-6c61848aad62">
      <Terms xmlns="http://schemas.microsoft.com/office/infopath/2007/PartnerControls"/>
    </lcf76f155ced4ddcb4097134ff3c332f>
    <Date xmlns="7279f19c-4df6-474d-9205-6c61848aad62" xsi:nil="true"/>
    <lb916d8373f14e75b8d3845cffdfa9c5 xmlns="7279f19c-4df6-474d-9205-6c61848aad62">
      <Terms xmlns="http://schemas.microsoft.com/office/infopath/2007/PartnerControls"/>
    </lb916d8373f14e75b8d3845cffdfa9c5>
    <Nickname xmlns="7279f19c-4df6-474d-9205-6c61848aad62" xsi:nil="true"/>
  </documentManagement>
</p:properties>
</file>

<file path=customXml/itemProps1.xml><?xml version="1.0" encoding="utf-8"?>
<ds:datastoreItem xmlns:ds="http://schemas.openxmlformats.org/officeDocument/2006/customXml" ds:itemID="{E799A286-EDF7-4E8C-AFDA-306DDD9EAB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d8254-5917-4ce6-87e3-aae0922867a5"/>
    <ds:schemaRef ds:uri="7279f19c-4df6-474d-9205-6c61848aad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856FAA-65C2-44D1-99CF-C8023C9264C7}">
  <ds:schemaRefs>
    <ds:schemaRef ds:uri="http://schemas.microsoft.com/sharepoint/v3/contenttype/forms"/>
  </ds:schemaRefs>
</ds:datastoreItem>
</file>

<file path=customXml/itemProps3.xml><?xml version="1.0" encoding="utf-8"?>
<ds:datastoreItem xmlns:ds="http://schemas.openxmlformats.org/officeDocument/2006/customXml" ds:itemID="{5122E793-41C1-4163-8ECE-8A77CC569A57}">
  <ds:schemaRefs>
    <ds:schemaRef ds:uri="http://schemas.microsoft.com/office/2006/metadata/properties"/>
    <ds:schemaRef ds:uri="http://schemas.microsoft.com/office/infopath/2007/PartnerControls"/>
    <ds:schemaRef ds:uri="1e5d8254-5917-4ce6-87e3-aae0922867a5"/>
    <ds:schemaRef ds:uri="7279f19c-4df6-474d-9205-6c61848aad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Non-Metallic Enclosures</vt:lpstr>
      <vt:lpstr>Accessories</vt:lpstr>
      <vt:lpstr>Pushbutton Enclosures</vt:lpstr>
      <vt:lpstr>Hinged Front Panel</vt:lpstr>
      <vt:lpstr>Backplates</vt:lpstr>
      <vt:lpstr>Hole Seals</vt:lpstr>
      <vt:lpstr>Inspection Windows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Smith</dc:creator>
  <cp:keywords/>
  <dc:description/>
  <cp:lastModifiedBy>Natalie Moon</cp:lastModifiedBy>
  <cp:revision/>
  <dcterms:created xsi:type="dcterms:W3CDTF">2018-02-10T02:49:33Z</dcterms:created>
  <dcterms:modified xsi:type="dcterms:W3CDTF">2026-03-10T23:34:23Z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0x010100A603C98FCB58F640B10A3847784D3C45</vt:lpwstr>
  </property>
  <property fmtid="{D5CDD505-2E9C-101B-9397-08002B2CF9AE}" pid="3" name="MediaServiceImageTags">
    <vt:lpwstr/>
  </property>
  <property fmtid="{D5CDD505-2E9C-101B-9397-08002B2CF9AE}" pid="4" name="Metadata">
    <vt:lpwstr/>
  </property>
</Properties>
</file>